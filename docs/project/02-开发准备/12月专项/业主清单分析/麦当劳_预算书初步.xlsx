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算书-初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_ "/>
    <numFmt numFmtId="165" formatCode="0.00_);[Red]\(0.00\)"/>
    <numFmt numFmtId="166" formatCode="#,##0_ "/>
  </numFmts>
  <fonts count="29">
    <font>
      <name val="Calibri"/>
      <family val="2"/>
      <color theme="1"/>
      <sz val="11"/>
      <scheme val="minor"/>
    </font>
    <font>
      <name val="黑体"/>
      <charset val="134"/>
      <b val="1"/>
      <color theme="0"/>
      <sz val="16"/>
    </font>
    <font>
      <name val="微软雅黑"/>
      <charset val="134"/>
      <sz val="12"/>
    </font>
    <font>
      <name val="微软雅黑"/>
      <charset val="134"/>
      <color theme="1"/>
      <sz val="11"/>
    </font>
    <font>
      <name val="Tahoma"/>
      <charset val="134"/>
      <sz val="8"/>
    </font>
    <font>
      <name val="Tahoma"/>
      <charset val="134"/>
      <sz val="9"/>
    </font>
    <font>
      <name val="宋体"/>
      <charset val="134"/>
      <sz val="9"/>
    </font>
    <font>
      <name val="Calibri"/>
      <charset val="134"/>
      <color theme="1"/>
      <sz val="11"/>
      <scheme val="minor"/>
    </font>
    <font>
      <name val="Arial"/>
      <charset val="134"/>
      <sz val="9"/>
    </font>
    <font>
      <name val="Arial"/>
      <charset val="134"/>
      <b val="1"/>
      <sz val="12"/>
    </font>
    <font>
      <name val="宋体-简"/>
      <charset val="134"/>
      <sz val="9"/>
    </font>
    <font>
      <name val="宋体"/>
      <charset val="134"/>
      <sz val="10"/>
    </font>
    <font>
      <name val="微软雅黑"/>
      <charset val="134"/>
      <color rgb="FFFFC000"/>
      <sz val="9"/>
    </font>
    <font>
      <name val="Calibri"/>
      <charset val="134"/>
      <color theme="1"/>
      <sz val="11"/>
      <u val="single"/>
      <scheme val="minor"/>
    </font>
    <font>
      <name val="微软雅黑"/>
      <charset val="134"/>
      <color rgb="FFFF0000"/>
      <sz val="9"/>
    </font>
    <font>
      <name val="微软雅黑"/>
      <charset val="134"/>
      <sz val="9"/>
    </font>
    <font>
      <name val="微软雅黑"/>
      <charset val="134"/>
      <color rgb="FF92D050"/>
      <sz val="9"/>
    </font>
    <font>
      <name val="Tahoma"/>
      <charset val="134"/>
      <b val="1"/>
      <sz val="9"/>
    </font>
    <font>
      <name val="宋体"/>
      <charset val="134"/>
      <b val="1"/>
      <sz val="9"/>
    </font>
    <font>
      <name val="微软雅黑"/>
      <charset val="134"/>
      <b val="1"/>
      <sz val="9"/>
    </font>
    <font>
      <name val="宋体"/>
      <charset val="134"/>
      <b val="1"/>
      <color theme="0"/>
      <sz val="9"/>
    </font>
    <font>
      <name val="宋体-简"/>
      <charset val="134"/>
      <b val="1"/>
      <sz val="9"/>
    </font>
    <font>
      <name val="Arial"/>
      <charset val="134"/>
      <sz val="8"/>
    </font>
    <font>
      <name val="Arial"/>
      <charset val="134"/>
      <b val="1"/>
      <sz val="8"/>
    </font>
    <font>
      <name val="Arial"/>
      <charset val="134"/>
      <color rgb="FF92D050"/>
      <sz val="9"/>
    </font>
    <font>
      <name val="宋体"/>
      <charset val="134"/>
      <color rgb="FF92D050"/>
      <sz val="9"/>
    </font>
    <font>
      <name val="Arial"/>
      <charset val="134"/>
      <color rgb="FF00B050"/>
      <sz val="8"/>
    </font>
    <font>
      <name val="Arial"/>
      <charset val="134"/>
      <color rgb="FF00B050"/>
      <sz val="9"/>
    </font>
    <font>
      <name val="宋体"/>
      <charset val="134"/>
      <color rgb="FF00B050"/>
      <sz val="9"/>
    </font>
  </fonts>
  <fills count="16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7" tint="0.8"/>
        <bgColor rgb="FF000000"/>
      </patternFill>
    </fill>
    <fill>
      <patternFill patternType="solid">
        <fgColor theme="5" tint="0.8"/>
        <bgColor rgb="FF000000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9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/>
    </xf>
    <xf numFmtId="0" fontId="6" fillId="4" borderId="0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 wrapText="1"/>
    </xf>
    <xf numFmtId="164" fontId="8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right" vertical="center"/>
    </xf>
    <xf numFmtId="164" fontId="9" fillId="4" borderId="0" applyAlignment="1" pivotButton="0" quotePrefix="0" xfId="0">
      <alignment horizontal="right" vertical="center"/>
    </xf>
    <xf numFmtId="164" fontId="6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6" borderId="4" applyAlignment="1" pivotButton="0" quotePrefix="0" xfId="0">
      <alignment horizontal="center" vertical="center" wrapText="1"/>
    </xf>
    <xf numFmtId="0" fontId="2" fillId="7" borderId="4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right" vertical="center"/>
    </xf>
    <xf numFmtId="164" fontId="6" fillId="5" borderId="5" applyAlignment="1" pivotButton="0" quotePrefix="0" xfId="0">
      <alignment horizontal="center" vertical="center"/>
    </xf>
    <xf numFmtId="164" fontId="5" fillId="5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6" fillId="5" borderId="1" applyAlignment="1" pivotButton="0" quotePrefix="0" xfId="0">
      <alignment horizontal="center" vertical="center" wrapText="1"/>
    </xf>
    <xf numFmtId="164" fontId="8" fillId="4" borderId="0" applyAlignment="1" pivotButton="0" quotePrefix="0" xfId="0">
      <alignment horizontal="right" vertical="center"/>
    </xf>
    <xf numFmtId="164" fontId="5" fillId="9" borderId="5" applyAlignment="1" pivotButton="0" quotePrefix="0" xfId="0">
      <alignment horizontal="center" vertical="center"/>
    </xf>
    <xf numFmtId="1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164" fontId="6" fillId="4" borderId="0" applyAlignment="1" pivotButton="0" quotePrefix="0" xfId="0">
      <alignment horizontal="right" vertical="center"/>
    </xf>
    <xf numFmtId="164" fontId="6" fillId="9" borderId="5" applyAlignment="1" pivotButton="0" quotePrefix="0" xfId="0">
      <alignment horizontal="center" vertical="center"/>
    </xf>
    <xf numFmtId="10" fontId="5" fillId="9" borderId="5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wrapText="1"/>
    </xf>
    <xf numFmtId="0" fontId="12" fillId="0" borderId="8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0" fontId="13" fillId="3" borderId="5" applyAlignment="1" pivotButton="0" quotePrefix="0" xfId="0">
      <alignment horizontal="center" vertical="center"/>
    </xf>
    <xf numFmtId="164" fontId="5" fillId="3" borderId="5" applyAlignment="1" pivotButton="0" quotePrefix="0" xfId="0">
      <alignment horizontal="center" vertical="center"/>
    </xf>
    <xf numFmtId="0" fontId="14" fillId="0" borderId="8" applyAlignment="1" pivotButton="0" quotePrefix="0" xfId="0">
      <alignment horizontal="left" vertical="center"/>
    </xf>
    <xf numFmtId="0" fontId="15" fillId="0" borderId="8" applyAlignment="1" pivotButton="0" quotePrefix="0" xfId="0">
      <alignment horizontal="left" vertical="center"/>
    </xf>
    <xf numFmtId="0" fontId="15" fillId="4" borderId="9" applyAlignment="1" pivotButton="0" quotePrefix="0" xfId="0">
      <alignment horizontal="right" vertical="center"/>
    </xf>
    <xf numFmtId="9" fontId="7" fillId="3" borderId="5" applyAlignment="1" pivotButton="0" quotePrefix="0" xfId="0">
      <alignment horizontal="center" vertical="center"/>
    </xf>
    <xf numFmtId="0" fontId="16" fillId="0" borderId="8" applyAlignment="1" pivotButton="0" quotePrefix="0" xfId="0">
      <alignment horizontal="left" vertical="center"/>
    </xf>
    <xf numFmtId="0" fontId="8" fillId="4" borderId="0" applyAlignment="1" pivotButton="0" quotePrefix="0" xfId="0">
      <alignment vertical="center"/>
    </xf>
    <xf numFmtId="164" fontId="8" fillId="4" borderId="0" applyAlignment="1" pivotButton="0" quotePrefix="0" xfId="0">
      <alignment vertical="center"/>
    </xf>
    <xf numFmtId="164" fontId="5" fillId="4" borderId="0" applyAlignment="1" pivotButton="0" quotePrefix="0" xfId="0">
      <alignment vertical="center"/>
    </xf>
    <xf numFmtId="0" fontId="17" fillId="0" borderId="10" applyAlignment="1" pivotButton="0" quotePrefix="0" xfId="0">
      <alignment horizontal="center" vertical="center"/>
    </xf>
    <xf numFmtId="49" fontId="17" fillId="0" borderId="10" applyAlignment="1" pivotButton="0" quotePrefix="0" xfId="0">
      <alignment horizontal="center" vertical="center" wrapText="1"/>
    </xf>
    <xf numFmtId="49" fontId="17" fillId="0" borderId="10" applyAlignment="1" pivotButton="0" quotePrefix="0" xfId="0">
      <alignment vertical="center"/>
    </xf>
    <xf numFmtId="0" fontId="18" fillId="0" borderId="11" applyAlignment="1" pivotButton="0" quotePrefix="0" xfId="0">
      <alignment horizontal="center" vertical="center"/>
    </xf>
    <xf numFmtId="49" fontId="17" fillId="0" borderId="11" applyAlignment="1" pivotButton="0" quotePrefix="0" xfId="0">
      <alignment horizontal="center" vertical="center"/>
    </xf>
    <xf numFmtId="0" fontId="18" fillId="0" borderId="11" applyAlignment="1" pivotButton="0" quotePrefix="0" xfId="0">
      <alignment horizontal="center" vertical="center" wrapText="1"/>
    </xf>
    <xf numFmtId="164" fontId="19" fillId="0" borderId="8" applyAlignment="1" pivotButton="0" quotePrefix="0" xfId="0">
      <alignment horizontal="center" vertical="center"/>
    </xf>
    <xf numFmtId="165" fontId="19" fillId="0" borderId="8" applyAlignment="1" pivotButton="0" quotePrefix="0" xfId="0">
      <alignment horizontal="center" vertical="center"/>
    </xf>
    <xf numFmtId="164" fontId="18" fillId="0" borderId="11" applyAlignment="1" pivotButton="0" quotePrefix="0" xfId="0">
      <alignment horizontal="center" vertical="center" wrapText="1"/>
    </xf>
    <xf numFmtId="164" fontId="18" fillId="0" borderId="12" applyAlignment="1" pivotButton="0" quotePrefix="0" xfId="0">
      <alignment horizontal="center" vertical="center"/>
    </xf>
    <xf numFmtId="166" fontId="18" fillId="0" borderId="13" applyAlignment="1" pivotButton="0" quotePrefix="0" xfId="0">
      <alignment horizontal="center" vertical="center"/>
    </xf>
    <xf numFmtId="0" fontId="20" fillId="10" borderId="14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10" fontId="15" fillId="0" borderId="0" applyAlignment="1" pivotButton="0" quotePrefix="0" xfId="0">
      <alignment horizontal="center" vertical="center"/>
    </xf>
    <xf numFmtId="9" fontId="15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8" applyAlignment="1" pivotButton="0" quotePrefix="0" xfId="0">
      <alignment horizontal="right" vertical="center"/>
    </xf>
    <xf numFmtId="0" fontId="8" fillId="0" borderId="8" applyAlignment="1" pivotButton="0" quotePrefix="0" xfId="0">
      <alignment vertical="center"/>
    </xf>
    <xf numFmtId="0" fontId="8" fillId="0" borderId="8" applyAlignment="1" pivotButton="0" quotePrefix="0" xfId="0">
      <alignment vertical="top" wrapText="1"/>
    </xf>
    <xf numFmtId="164" fontId="8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164" fontId="5" fillId="11" borderId="8" applyAlignment="1" pivotButton="0" quotePrefix="0" xfId="0">
      <alignment horizontal="right" vertical="center"/>
    </xf>
    <xf numFmtId="164" fontId="5" fillId="0" borderId="8" applyAlignment="1" pivotButton="0" quotePrefix="0" xfId="0">
      <alignment vertical="center"/>
    </xf>
    <xf numFmtId="164" fontId="15" fillId="0" borderId="8" applyAlignment="1" pivotButton="0" quotePrefix="0" xfId="0">
      <alignment vertical="center"/>
    </xf>
    <xf numFmtId="0" fontId="23" fillId="12" borderId="8" applyAlignment="1" pivotButton="0" quotePrefix="0" xfId="0">
      <alignment horizontal="center" vertical="center"/>
    </xf>
    <xf numFmtId="0" fontId="5" fillId="0" borderId="15" applyAlignment="1" pivotButton="0" quotePrefix="0" xfId="0">
      <alignment horizontal="left" vertical="center"/>
    </xf>
    <xf numFmtId="0" fontId="15" fillId="0" borderId="0" applyAlignment="1" pivotButton="0" quotePrefix="0" xfId="0">
      <alignment vertical="center"/>
    </xf>
    <xf numFmtId="10" fontId="15" fillId="0" borderId="0" applyAlignment="1" pivotButton="0" quotePrefix="0" xfId="0">
      <alignment vertical="center"/>
    </xf>
    <xf numFmtId="9" fontId="14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6" fillId="0" borderId="8" applyAlignment="1" pivotButton="0" quotePrefix="0" xfId="0">
      <alignment vertical="top" wrapText="1"/>
    </xf>
    <xf numFmtId="164" fontId="8" fillId="13" borderId="8" applyAlignment="1" pivotButton="0" quotePrefix="0" xfId="0">
      <alignment horizontal="center" vertical="center"/>
    </xf>
    <xf numFmtId="0" fontId="10" fillId="0" borderId="8" applyAlignment="1" pivotButton="0" quotePrefix="0" xfId="0">
      <alignment vertical="top" wrapText="1"/>
    </xf>
    <xf numFmtId="0" fontId="24" fillId="0" borderId="8" applyAlignment="1" pivotButton="0" quotePrefix="0" xfId="0">
      <alignment vertical="top" wrapText="1"/>
    </xf>
    <xf numFmtId="164" fontId="8" fillId="14" borderId="8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5" fillId="0" borderId="8" applyAlignment="1" pivotButton="0" quotePrefix="0" xfId="0">
      <alignment vertical="top" wrapText="1"/>
    </xf>
    <xf numFmtId="0" fontId="26" fillId="0" borderId="8" applyAlignment="1" pivotButton="0" quotePrefix="0" xfId="0">
      <alignment horizontal="right" vertical="center"/>
    </xf>
    <xf numFmtId="0" fontId="27" fillId="0" borderId="8" applyAlignment="1" pivotButton="0" quotePrefix="0" xfId="0">
      <alignment vertical="center"/>
    </xf>
    <xf numFmtId="0" fontId="27" fillId="0" borderId="8" applyAlignment="1" pivotButton="0" quotePrefix="0" xfId="0">
      <alignment vertical="top" wrapText="1"/>
    </xf>
    <xf numFmtId="0" fontId="28" fillId="0" borderId="8" applyAlignment="1" pivotButton="0" quotePrefix="0" xfId="0">
      <alignment horizontal="left" vertical="top" wrapText="1"/>
    </xf>
    <xf numFmtId="0" fontId="5" fillId="0" borderId="16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center"/>
    </xf>
    <xf numFmtId="164" fontId="18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center" vertical="center"/>
    </xf>
    <xf numFmtId="164" fontId="18" fillId="1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41"/>
  <sheetViews>
    <sheetView workbookViewId="0">
      <selection activeCell="A1" sqref="A1"/>
    </sheetView>
  </sheetViews>
  <sheetFormatPr baseColWidth="8" defaultRowHeight="15"/>
  <cols>
    <col width="4.7734375" customWidth="1" min="1" max="1"/>
    <col width="6.7734375" customWidth="1" min="2" max="2"/>
    <col width="4.6640625" customWidth="1" min="4" max="4"/>
    <col width="10.5625" customWidth="1" min="5" max="5"/>
    <col width="10.5625" customWidth="1" min="6" max="6"/>
    <col width="10.5625" customWidth="1" min="7" max="7"/>
    <col width="10.4453125" customWidth="1" min="9" max="9"/>
    <col width="41.84375" customWidth="1" min="10" max="10"/>
    <col width="10.6640625" customWidth="1" min="11" max="11"/>
    <col width="8" customWidth="1" min="13" max="13"/>
    <col width="11" customWidth="1" min="14" max="14"/>
    <col width="10.7734375" customWidth="1" min="15" max="15"/>
    <col width="12.3359375" customWidth="1" min="16" max="16"/>
    <col width="8.3359375" customWidth="1" min="18" max="18"/>
    <col width="15.3359375" customWidth="1" min="19" max="19"/>
    <col width="9" customWidth="1" min="20" max="20"/>
    <col width="9.25" customWidth="1" min="21" max="21"/>
    <col width="9" customWidth="1" min="22" max="22"/>
    <col width="9" customWidth="1" min="33" max="33"/>
    <col width="5.109375" customWidth="1" min="236" max="236"/>
    <col width="4.6640625" customWidth="1" min="237" max="237"/>
    <col width="7.109375" customWidth="1" min="238" max="238"/>
    <col width="10.3359375" customWidth="1" min="239" max="239"/>
    <col width="12" customWidth="1" min="240" max="240"/>
    <col width="19.6640625" customWidth="1" min="241" max="241"/>
    <col width="42.6640625" customWidth="1" min="242" max="242"/>
    <col width="8.109375" customWidth="1" min="243" max="243"/>
    <col width="9" customWidth="1" min="244" max="244"/>
    <col width="4.8828125" customWidth="1" min="245" max="245"/>
    <col width="9" customWidth="1" min="246" max="246"/>
    <col width="8.3359375" customWidth="1" min="247" max="247"/>
    <col width="14.6640625" customWidth="1" min="250" max="250"/>
    <col width="9" customWidth="1" min="251" max="251"/>
    <col width="9" customWidth="1" min="253" max="253"/>
  </cols>
  <sheetData>
    <row r="1" ht="35.25" customHeight="1">
      <c r="A1" s="1" t="inlineStr">
        <is>
          <t>麦当劳(中国)工程预算书(IN RMB)    V20250409</t>
        </is>
      </c>
      <c r="T1" s="2" t="n"/>
      <c r="U1" s="2" t="inlineStr">
        <is>
          <t>要求</t>
        </is>
      </c>
      <c r="V1" s="2" t="n"/>
      <c r="W1" s="2" t="inlineStr">
        <is>
          <t>子目飘红15个</t>
        </is>
      </c>
      <c r="X1" s="3" t="n"/>
      <c r="Y1" s="2" t="inlineStr">
        <is>
          <t>做店速度 3天内；</t>
        </is>
      </c>
      <c r="Z1" s="3" t="n"/>
      <c r="AA1" s="2" t="n"/>
      <c r="AB1" s="2" t="inlineStr">
        <is>
          <t>总价绝对值偏差控制在±2%以内；</t>
        </is>
      </c>
      <c r="AC1" s="2" t="n"/>
      <c r="AD1" s="2" t="n"/>
      <c r="AE1" s="4" t="inlineStr">
        <is>
          <t>ABS偏差4%以内；</t>
        </is>
      </c>
      <c r="AF1" s="2" t="n"/>
    </row>
    <row r="2" ht="15.6" customHeight="1">
      <c r="A2" s="5" t="n"/>
      <c r="B2" s="5" t="n"/>
      <c r="C2" s="5" t="n"/>
      <c r="D2" s="6" t="n"/>
      <c r="E2" s="7" t="inlineStr">
        <is>
          <t>麦咖啡</t>
        </is>
      </c>
      <c r="F2" s="8" t="n">
        <v>1</v>
      </c>
      <c r="G2" s="9" t="n"/>
      <c r="H2" s="10" t="inlineStr">
        <is>
          <t>区域</t>
        </is>
      </c>
      <c r="I2" s="10" t="n"/>
      <c r="J2" s="11" t="inlineStr">
        <is>
          <t>中区</t>
        </is>
      </c>
      <c r="K2" s="12" t="n"/>
      <c r="L2" s="12" t="n"/>
      <c r="M2" s="13" t="inlineStr">
        <is>
          <t>麦当劳项目经理</t>
        </is>
      </c>
      <c r="N2" s="14" t="n"/>
      <c r="O2" s="15" t="inlineStr">
        <is>
          <t>高虹</t>
        </is>
      </c>
      <c r="P2" s="16" t="n"/>
      <c r="Q2" s="16" t="n"/>
      <c r="R2" s="16" t="n"/>
      <c r="S2" s="17" t="n"/>
      <c r="T2" s="3" t="n"/>
      <c r="U2" s="18" t="inlineStr">
        <is>
          <t>总价金额</t>
        </is>
      </c>
      <c r="V2" s="19" t="inlineStr">
        <is>
          <t>总金额偏差</t>
        </is>
      </c>
      <c r="W2" s="19" t="inlineStr">
        <is>
          <t>总金额偏差率</t>
        </is>
      </c>
      <c r="X2" s="20" t="inlineStr">
        <is>
          <t>ABS偏差</t>
        </is>
      </c>
      <c r="Y2" s="20" t="inlineStr">
        <is>
          <t>ABS偏差率</t>
        </is>
      </c>
      <c r="Z2" s="3" t="n"/>
      <c r="AA2" s="3" t="inlineStr">
        <is>
          <t>初步差异：</t>
        </is>
      </c>
      <c r="AB2" s="3" t="inlineStr">
        <is>
          <t>飘红</t>
        </is>
      </c>
      <c r="AC2" s="3" t="inlineStr">
        <is>
          <t>漏项</t>
        </is>
      </c>
      <c r="AD2" s="3" t="inlineStr">
        <is>
          <t>多项</t>
        </is>
      </c>
      <c r="AE2" s="3" t="n"/>
      <c r="AF2" s="3" t="n"/>
    </row>
    <row r="3" ht="15.6" customHeight="1">
      <c r="A3" s="5" t="n"/>
      <c r="B3" s="5" t="n"/>
      <c r="C3" s="5" t="n"/>
      <c r="D3" s="6" t="n"/>
      <c r="E3" s="7" t="inlineStr">
        <is>
          <t>店内甜品站</t>
        </is>
      </c>
      <c r="F3" s="21" t="n"/>
      <c r="G3" s="9" t="n"/>
      <c r="H3" s="10" t="inlineStr">
        <is>
          <t>市场</t>
        </is>
      </c>
      <c r="I3" s="10" t="n"/>
      <c r="J3" s="22" t="inlineStr">
        <is>
          <t>上海</t>
        </is>
      </c>
      <c r="K3" s="12" t="n"/>
      <c r="L3" s="12" t="n"/>
      <c r="M3" s="23" t="inlineStr">
        <is>
          <t>餐厅类型</t>
        </is>
      </c>
      <c r="N3" s="14" t="n"/>
      <c r="O3" s="24" t="inlineStr">
        <is>
          <t>新店</t>
        </is>
      </c>
      <c r="P3" s="25" t="inlineStr">
        <is>
          <t>Instore</t>
        </is>
      </c>
      <c r="Q3" s="26" t="n"/>
      <c r="R3" s="26" t="n"/>
      <c r="S3" s="27" t="n"/>
      <c r="T3" s="3" t="inlineStr">
        <is>
          <t>REVIT</t>
        </is>
      </c>
      <c r="U3" s="3">
        <f>P2540</f>
        <v/>
      </c>
      <c r="V3" s="3" t="n"/>
      <c r="W3" s="3" t="n"/>
      <c r="X3" s="3" t="n"/>
      <c r="Y3" s="3" t="n"/>
      <c r="Z3" s="3" t="n"/>
      <c r="AB3" s="3" t="n">
        <v>28</v>
      </c>
      <c r="AC3" s="3" t="n"/>
      <c r="AD3" s="3" t="n"/>
      <c r="AF3" s="3" t="n"/>
    </row>
    <row r="4" ht="13.8" customHeight="1">
      <c r="A4" s="5" t="n"/>
      <c r="B4" s="5" t="n"/>
      <c r="C4" s="5" t="n"/>
      <c r="D4" s="6" t="n"/>
      <c r="E4" s="7" t="inlineStr">
        <is>
          <t>独立甜品站</t>
        </is>
      </c>
      <c r="F4" s="21" t="n"/>
      <c r="G4" s="9" t="n"/>
      <c r="H4" s="10" t="inlineStr">
        <is>
          <t>城市</t>
        </is>
      </c>
      <c r="I4" s="10" t="n"/>
      <c r="J4" s="28" t="inlineStr">
        <is>
          <t>上海市</t>
        </is>
      </c>
      <c r="K4" s="12" t="n"/>
      <c r="L4" s="12" t="n"/>
      <c r="M4" s="23" t="inlineStr">
        <is>
          <t>招标方式</t>
        </is>
      </c>
      <c r="N4" s="29" t="n"/>
      <c r="O4" s="30" t="inlineStr">
        <is>
          <t>集中招标</t>
        </is>
      </c>
      <c r="P4" s="26" t="n"/>
      <c r="Q4" s="26" t="n"/>
      <c r="R4" s="26" t="n"/>
      <c r="S4" s="27" t="n"/>
      <c r="T4" s="3" t="inlineStr">
        <is>
          <t>初稿</t>
        </is>
      </c>
      <c r="U4" s="3">
        <f>Q2540</f>
        <v/>
      </c>
      <c r="V4" s="3">
        <f>U3-U4</f>
        <v/>
      </c>
      <c r="W4" s="31">
        <f>V4/U3</f>
        <v/>
      </c>
      <c r="X4" s="3">
        <f>V2540</f>
        <v/>
      </c>
      <c r="Y4" s="31">
        <f>X4/U3</f>
        <v/>
      </c>
      <c r="Z4" s="3" t="n"/>
      <c r="AB4" s="3" t="n"/>
      <c r="AF4" s="3" t="n"/>
    </row>
    <row r="5" ht="13.8" customHeight="1">
      <c r="A5" s="5" t="n"/>
      <c r="B5" s="5" t="n"/>
      <c r="C5" s="5" t="n"/>
      <c r="D5" s="6" t="n"/>
      <c r="E5" s="32" t="inlineStr">
        <is>
          <t>MDS</t>
        </is>
      </c>
      <c r="F5" s="21" t="n">
        <v>1</v>
      </c>
      <c r="G5" s="9" t="n"/>
      <c r="H5" s="10" t="inlineStr">
        <is>
          <t>餐厅名称</t>
        </is>
      </c>
      <c r="I5" s="10" t="n"/>
      <c r="J5" s="28" t="inlineStr">
        <is>
          <t>浦东张江中科路地铁站餐厅</t>
        </is>
      </c>
      <c r="K5" s="12" t="n"/>
      <c r="L5" s="12" t="n"/>
      <c r="M5" s="10" t="inlineStr">
        <is>
          <t>中标单价选用</t>
        </is>
      </c>
      <c r="N5" s="33" t="n"/>
      <c r="O5" s="34" t="inlineStr">
        <is>
          <t>上海锦伟</t>
        </is>
      </c>
      <c r="P5" s="26" t="n"/>
      <c r="Q5" s="26" t="n"/>
      <c r="R5" s="26" t="n"/>
      <c r="S5" s="27" t="n"/>
      <c r="T5" s="3" t="n"/>
      <c r="U5" s="3" t="n"/>
      <c r="V5" s="3" t="n"/>
      <c r="W5" s="3" t="n"/>
      <c r="X5" s="3" t="n"/>
      <c r="Y5" s="3" t="n"/>
      <c r="Z5" s="3" t="n"/>
      <c r="AB5" s="3" t="n"/>
      <c r="AC5" s="3" t="n"/>
      <c r="AD5" s="3" t="n"/>
      <c r="AE5" s="3" t="n"/>
      <c r="AF5" s="3" t="n"/>
    </row>
    <row r="6" ht="13.8" customHeight="1">
      <c r="A6" s="5" t="n"/>
      <c r="B6" s="5" t="n"/>
      <c r="C6" s="5" t="n"/>
      <c r="D6" s="6" t="n"/>
      <c r="E6" s="32" t="inlineStr">
        <is>
          <t>卫生间</t>
        </is>
      </c>
      <c r="F6" s="21" t="n"/>
      <c r="G6" s="9" t="n"/>
      <c r="H6" s="10" t="inlineStr">
        <is>
          <t>PP编码</t>
        </is>
      </c>
      <c r="I6" s="10" t="n"/>
      <c r="J6" s="28" t="inlineStr">
        <is>
          <t>234618</t>
        </is>
      </c>
      <c r="K6" s="12" t="n"/>
      <c r="L6" s="12" t="n"/>
      <c r="M6" s="10" t="inlineStr">
        <is>
          <t>异地施工上浮系数</t>
        </is>
      </c>
      <c r="N6" s="33" t="n"/>
      <c r="O6" s="35" t="n">
        <v>0</v>
      </c>
      <c r="P6" s="26" t="n"/>
      <c r="Q6" s="26" t="n"/>
      <c r="R6" s="26" t="n"/>
      <c r="S6" s="27" t="n"/>
      <c r="T6" s="3" t="n"/>
      <c r="U6" s="3" t="n"/>
      <c r="V6" s="3" t="n"/>
      <c r="W6" s="3" t="n"/>
      <c r="X6" s="3" t="n"/>
      <c r="Y6" s="3" t="n"/>
      <c r="Z6" s="3" t="n"/>
      <c r="AA6" s="3" t="inlineStr">
        <is>
          <t>如何通过检查发现？</t>
        </is>
      </c>
      <c r="AB6" s="3" t="n"/>
      <c r="AC6" s="3" t="n"/>
      <c r="AD6" s="3" t="n"/>
      <c r="AE6" s="3" t="n"/>
      <c r="AF6" s="3" t="n"/>
    </row>
    <row r="7" ht="13.8" customHeight="1">
      <c r="A7" s="5" t="n"/>
      <c r="B7" s="5" t="n"/>
      <c r="C7" s="5" t="n"/>
      <c r="D7" s="6" t="n"/>
      <c r="E7" s="36" t="inlineStr">
        <is>
          <t>楼梯</t>
        </is>
      </c>
      <c r="F7" s="21" t="n"/>
      <c r="G7" s="9" t="n"/>
      <c r="H7" s="10" t="inlineStr">
        <is>
          <t>面积</t>
        </is>
      </c>
      <c r="I7" s="10" t="n"/>
      <c r="J7" s="11" t="n">
        <v>185</v>
      </c>
      <c r="K7" s="12" t="n"/>
      <c r="L7" s="12" t="n"/>
      <c r="M7" s="10" t="n"/>
      <c r="N7" s="33" t="n"/>
      <c r="O7" s="37" t="n"/>
      <c r="S7" s="38" t="n"/>
      <c r="T7" s="3" t="n"/>
      <c r="U7" s="39" t="inlineStr">
        <is>
          <t>电箱图，弱点常规配置，餐厅常规配置</t>
        </is>
      </c>
      <c r="X7" s="3" t="n"/>
      <c r="Y7" s="3" t="n"/>
      <c r="Z7" s="3" t="n"/>
      <c r="AA7" s="3" t="inlineStr">
        <is>
          <t>拿审核表检查错误，补充细节</t>
        </is>
      </c>
      <c r="AB7" s="3" t="n"/>
      <c r="AC7" s="3" t="n"/>
      <c r="AD7" s="3" t="n"/>
      <c r="AE7" s="3" t="n"/>
      <c r="AF7" s="3" t="n"/>
    </row>
    <row r="8" ht="13.8" customHeight="1">
      <c r="A8" s="5" t="n"/>
      <c r="B8" s="5" t="n"/>
      <c r="C8" s="5" t="n"/>
      <c r="D8" s="6" t="n"/>
      <c r="E8" s="40" t="inlineStr">
        <is>
          <t>分离式厨房</t>
        </is>
      </c>
      <c r="F8" s="41" t="n"/>
      <c r="G8" s="9" t="n"/>
      <c r="H8" s="10" t="inlineStr">
        <is>
          <t>座位数</t>
        </is>
      </c>
      <c r="I8" s="10" t="n"/>
      <c r="J8" s="11" t="n">
        <v>40</v>
      </c>
      <c r="K8" s="12" t="n"/>
      <c r="L8" s="12" t="n"/>
      <c r="M8" s="23" t="inlineStr">
        <is>
          <t>编制人</t>
        </is>
      </c>
      <c r="N8" s="29" t="n"/>
      <c r="O8" s="42" t="n"/>
      <c r="P8" s="26" t="n"/>
      <c r="Q8" s="26" t="n"/>
      <c r="R8" s="26" t="n"/>
      <c r="S8" s="27" t="n"/>
      <c r="T8" s="3" t="n"/>
      <c r="U8" s="43" t="inlineStr">
        <is>
          <t>委托书，项目信息，部分市场特性等无需通过建模出具的清单</t>
        </is>
      </c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</row>
    <row r="9" ht="13.8" customHeight="1">
      <c r="A9" s="5" t="n"/>
      <c r="B9" s="5" t="n"/>
      <c r="C9" s="5" t="n"/>
      <c r="D9" s="6" t="n"/>
      <c r="E9" s="36" t="inlineStr">
        <is>
          <t>儿童乐园</t>
        </is>
      </c>
      <c r="F9" s="21" t="n"/>
      <c r="G9" s="9" t="n"/>
      <c r="H9" s="10" t="inlineStr">
        <is>
          <t>层高</t>
        </is>
      </c>
      <c r="I9" s="10" t="n"/>
      <c r="J9" s="11" t="n"/>
      <c r="K9" s="12" t="n"/>
      <c r="L9" s="12" t="n"/>
      <c r="M9" s="23" t="inlineStr">
        <is>
          <t>审核人</t>
        </is>
      </c>
      <c r="N9" s="29" t="n"/>
      <c r="O9" s="42" t="n"/>
      <c r="P9" s="26" t="n"/>
      <c r="Q9" s="26" t="n"/>
      <c r="R9" s="26" t="n"/>
      <c r="S9" s="27" t="n"/>
      <c r="T9" s="3" t="n"/>
      <c r="U9" s="44" t="inlineStr">
        <is>
          <t>建模正常可出清单</t>
        </is>
      </c>
      <c r="V9" s="3" t="n"/>
      <c r="W9" s="3" t="n"/>
      <c r="X9" s="3" t="n"/>
      <c r="Y9" s="3" t="inlineStr">
        <is>
          <t>建模出量率</t>
        </is>
      </c>
      <c r="Z9" s="3" t="inlineStr">
        <is>
          <t>刨除不建模出量的，建模出量率</t>
        </is>
      </c>
      <c r="AA9" s="3" t="n"/>
      <c r="AB9" s="3" t="n"/>
      <c r="AC9" s="3" t="n"/>
      <c r="AD9" s="3" t="n"/>
      <c r="AE9" s="3" t="n"/>
      <c r="AF9" s="3" t="n"/>
    </row>
    <row r="10" ht="13.8" customHeight="1">
      <c r="A10" s="5" t="n"/>
      <c r="B10" s="5" t="n"/>
      <c r="C10" s="5" t="n"/>
      <c r="D10" s="6" t="n"/>
      <c r="E10" s="45" t="inlineStr">
        <is>
          <t>税率</t>
        </is>
      </c>
      <c r="F10" s="46" t="n">
        <v>0.09</v>
      </c>
      <c r="G10" s="9" t="n"/>
      <c r="H10" s="10" t="inlineStr">
        <is>
          <t>设计风格</t>
        </is>
      </c>
      <c r="I10" s="10" t="n"/>
      <c r="J10" s="11" t="inlineStr">
        <is>
          <t>Geometry</t>
        </is>
      </c>
      <c r="K10" s="12" t="n"/>
      <c r="L10" s="12" t="n"/>
      <c r="M10" s="23" t="inlineStr">
        <is>
          <t>编制日期</t>
        </is>
      </c>
      <c r="N10" s="29" t="n"/>
      <c r="O10" s="42" t="n"/>
      <c r="P10" s="26" t="n"/>
      <c r="Q10" s="26" t="n"/>
      <c r="R10" s="26" t="n"/>
      <c r="S10" s="27" t="n"/>
      <c r="T10" s="3" t="n"/>
      <c r="U10" s="47" t="inlineStr">
        <is>
          <t>技术原因，暂时无法出清单的</t>
        </is>
      </c>
      <c r="V10" s="3" t="n"/>
      <c r="W10" s="3" t="n"/>
      <c r="X10" s="3" t="n"/>
      <c r="Y10" s="31">
        <f>W9/(W7+W8+W9+W10)</f>
        <v/>
      </c>
      <c r="Z10" s="31">
        <f>W9/(W9+W10)</f>
        <v/>
      </c>
      <c r="AA10" s="3" t="n"/>
      <c r="AB10" s="3" t="n"/>
      <c r="AC10" s="3" t="n"/>
      <c r="AD10" s="3" t="n"/>
      <c r="AE10" s="3" t="n"/>
      <c r="AF10" s="3" t="n"/>
    </row>
    <row r="11" ht="13.8" customHeight="1">
      <c r="A11" s="5" t="n"/>
      <c r="B11" s="5" t="n"/>
      <c r="C11" s="5" t="n"/>
      <c r="D11" s="6" t="n"/>
      <c r="E11" s="36" t="n"/>
      <c r="F11" s="9" t="n"/>
      <c r="G11" s="9" t="n"/>
      <c r="H11" s="9" t="n"/>
      <c r="I11" s="9" t="n"/>
      <c r="J11" s="48" t="n"/>
      <c r="K11" s="12" t="n"/>
      <c r="L11" s="12" t="n"/>
      <c r="M11" s="48" t="n"/>
      <c r="N11" s="49" t="n"/>
      <c r="O11" s="50" t="n"/>
      <c r="P11" s="50" t="n"/>
      <c r="Q11" s="50" t="n"/>
      <c r="R11" s="9" t="n"/>
      <c r="S11" s="9" t="n"/>
    </row>
    <row r="12" ht="27" customHeight="1">
      <c r="A12" s="51" t="inlineStr">
        <is>
          <t>CO</t>
        </is>
      </c>
      <c r="B12" s="52" t="inlineStr">
        <is>
          <t>PMT
Code</t>
        </is>
      </c>
      <c r="C12" s="52" t="inlineStr">
        <is>
          <t>Asset
Code</t>
        </is>
      </c>
      <c r="D12" s="53" t="inlineStr">
        <is>
          <t>BE类型</t>
        </is>
      </c>
      <c r="E12" s="54" t="inlineStr">
        <is>
          <t>类别</t>
        </is>
      </c>
      <c r="F12" s="54" t="inlineStr">
        <is>
          <t>编号1</t>
        </is>
      </c>
      <c r="G12" s="54" t="inlineStr">
        <is>
          <t>编号2</t>
        </is>
      </c>
      <c r="H12" s="54" t="inlineStr">
        <is>
          <t>编号3</t>
        </is>
      </c>
      <c r="I12" s="55" t="inlineStr">
        <is>
          <t>SKU编码</t>
        </is>
      </c>
      <c r="J12" s="56" t="inlineStr">
        <is>
          <t>项目名称</t>
        </is>
      </c>
      <c r="K12" s="57" t="inlineStr">
        <is>
          <t>revit数量</t>
        </is>
      </c>
      <c r="L12" s="58" t="inlineStr">
        <is>
          <t>初稿数量</t>
        </is>
      </c>
      <c r="M12" s="54" t="inlineStr">
        <is>
          <t>单位</t>
        </is>
      </c>
      <c r="N12" s="59" t="inlineStr">
        <is>
          <t>综合单价（不含税）</t>
        </is>
      </c>
      <c r="O12" s="59" t="inlineStr">
        <is>
          <t>综合单价（含税）</t>
        </is>
      </c>
      <c r="P12" s="60" t="inlineStr">
        <is>
          <t>revit合价</t>
        </is>
      </c>
      <c r="Q12" s="57" t="inlineStr">
        <is>
          <t>初稿合价</t>
        </is>
      </c>
      <c r="R12" s="61" t="inlineStr">
        <is>
          <t>检查</t>
        </is>
      </c>
      <c r="S12" s="62" t="inlineStr">
        <is>
          <t>备注</t>
        </is>
      </c>
      <c r="T12" s="63" t="inlineStr">
        <is>
          <t>工程量差异</t>
        </is>
      </c>
      <c r="U12" s="63" t="inlineStr">
        <is>
          <t>合价差异</t>
        </is>
      </c>
      <c r="V12" s="63" t="inlineStr">
        <is>
          <t>合价ABS</t>
        </is>
      </c>
      <c r="W12" s="64" t="inlineStr">
        <is>
          <t>差异率</t>
        </is>
      </c>
      <c r="X12" s="65" t="inlineStr">
        <is>
          <t>ABS差异</t>
        </is>
      </c>
      <c r="Y12" s="63" t="inlineStr">
        <is>
          <t>调平原因</t>
        </is>
      </c>
      <c r="Z12" s="63" t="inlineStr">
        <is>
          <t>清单来源</t>
        </is>
      </c>
      <c r="AA12" s="63" t="inlineStr">
        <is>
          <t>错误原因</t>
        </is>
      </c>
      <c r="AG12" s="66" t="inlineStr">
        <is>
          <t>取参逻辑</t>
        </is>
      </c>
      <c r="AH12" s="66" t="inlineStr">
        <is>
          <t>工程量来源</t>
        </is>
      </c>
    </row>
    <row r="13" ht="11.4" customHeight="1">
      <c r="A13" s="67" t="inlineStr">
        <is>
          <t>7</t>
        </is>
      </c>
      <c r="B13" s="67" t="inlineStr">
        <is>
          <t>1005</t>
        </is>
      </c>
      <c r="C13" s="67" t="inlineStr">
        <is>
          <t>6002</t>
        </is>
      </c>
      <c r="D13" s="68" t="inlineStr">
        <is>
          <t>01</t>
        </is>
      </c>
      <c r="E13" s="68" t="inlineStr">
        <is>
          <t>0 地产费用</t>
        </is>
      </c>
      <c r="F13" s="68" t="inlineStr">
        <is>
          <t>0.2 房产建筑</t>
        </is>
      </c>
      <c r="G13" s="68" t="inlineStr">
        <is>
          <t>DT基础(分包)</t>
        </is>
      </c>
      <c r="H13" s="68" t="inlineStr">
        <is>
          <t>DT基础(分包)</t>
        </is>
      </c>
      <c r="I13" s="69" t="inlineStr">
        <is>
          <t>1000040096</t>
        </is>
      </c>
      <c r="J13" s="69" t="inlineStr">
        <is>
          <t>DT基础(分包)</t>
        </is>
      </c>
      <c r="K13" s="70" t="n"/>
      <c r="L13" s="70" t="n"/>
      <c r="M13" s="71" t="inlineStr">
        <is>
          <t>项</t>
        </is>
      </c>
      <c r="N13" s="72" t="n"/>
      <c r="O13" s="72">
        <f>ROUND(N13*(1+$F$10),2)</f>
        <v/>
      </c>
      <c r="P13" s="73">
        <f>ROUND(K13*N13,2)</f>
        <v/>
      </c>
      <c r="Q13" s="74">
        <f>ROUND(L13*N13,2)</f>
        <v/>
      </c>
      <c r="R13" s="75" t="n"/>
      <c r="S13" s="76" t="n"/>
      <c r="T13" s="77">
        <f>K13-L13</f>
        <v/>
      </c>
      <c r="U13" s="77">
        <f>P13-Q13</f>
        <v/>
      </c>
      <c r="V13" s="77">
        <f>ABS(U13)</f>
        <v/>
      </c>
      <c r="W13" s="78">
        <f>T13/L13</f>
        <v/>
      </c>
      <c r="X13" s="79">
        <f>ABS(W13)</f>
        <v/>
      </c>
      <c r="AH13" s="80" t="inlineStr">
        <is>
          <t>委托书</t>
        </is>
      </c>
    </row>
    <row r="14" ht="11.4" customHeight="1">
      <c r="A14" s="67" t="inlineStr">
        <is>
          <t>8</t>
        </is>
      </c>
      <c r="B14" s="67" t="inlineStr">
        <is>
          <t>1006</t>
        </is>
      </c>
      <c r="C14" s="67" t="inlineStr">
        <is>
          <t>6002</t>
        </is>
      </c>
      <c r="D14" s="68" t="inlineStr">
        <is>
          <t>01</t>
        </is>
      </c>
      <c r="E14" s="68" t="inlineStr">
        <is>
          <t>0 地产费用</t>
        </is>
      </c>
      <c r="F14" s="68" t="inlineStr">
        <is>
          <t>0.2 房产建筑</t>
        </is>
      </c>
      <c r="G14" s="68" t="inlineStr">
        <is>
          <t>DT主体建筑(分包)</t>
        </is>
      </c>
      <c r="H14" s="68" t="inlineStr">
        <is>
          <t>DT主体建筑(分包)</t>
        </is>
      </c>
      <c r="I14" s="69" t="inlineStr">
        <is>
          <t>1000040097</t>
        </is>
      </c>
      <c r="J14" s="69" t="inlineStr">
        <is>
          <t>DT主体建筑(分包)</t>
        </is>
      </c>
      <c r="K14" s="70" t="n"/>
      <c r="L14" s="70" t="n"/>
      <c r="M14" s="71" t="inlineStr">
        <is>
          <t>项</t>
        </is>
      </c>
      <c r="N14" s="72" t="n"/>
      <c r="O14" s="72">
        <f>ROUND(N14*(1+$F$10),2)</f>
        <v/>
      </c>
      <c r="P14" s="73">
        <f>ROUND(K14*N14,2)</f>
        <v/>
      </c>
      <c r="Q14" s="74">
        <f>ROUND(L14*N14,2)</f>
        <v/>
      </c>
      <c r="R14" s="75" t="n"/>
      <c r="S14" s="76" t="n"/>
      <c r="T14" s="77">
        <f>K14-L14</f>
        <v/>
      </c>
      <c r="U14" s="77">
        <f>P14-Q14</f>
        <v/>
      </c>
      <c r="V14" s="77">
        <f>ABS(U14)</f>
        <v/>
      </c>
      <c r="W14" s="78">
        <f>T14/L14</f>
        <v/>
      </c>
      <c r="X14" s="79">
        <f>ABS(W14)</f>
        <v/>
      </c>
      <c r="AH14" s="80" t="inlineStr">
        <is>
          <t>委托书</t>
        </is>
      </c>
    </row>
    <row r="15" ht="11.4" customHeight="1">
      <c r="A15" s="67" t="inlineStr">
        <is>
          <t>33</t>
        </is>
      </c>
      <c r="B15" s="67" t="inlineStr">
        <is>
          <t>1031</t>
        </is>
      </c>
      <c r="C15" s="67" t="inlineStr">
        <is>
          <t>1314</t>
        </is>
      </c>
      <c r="D15" s="68" t="inlineStr">
        <is>
          <t>01</t>
        </is>
      </c>
      <c r="E15" s="68" t="inlineStr">
        <is>
          <t>3 许可证/公用事业费</t>
        </is>
      </c>
      <c r="F15" s="68" t="inlineStr">
        <is>
          <t>3.1 供电费用</t>
        </is>
      </c>
      <c r="G15" s="68" t="inlineStr">
        <is>
          <t>3.1.4 红线电缆接线费</t>
        </is>
      </c>
      <c r="H15" s="68" t="inlineStr">
        <is>
          <t>3.1.4 红线电缆接线费</t>
        </is>
      </c>
      <c r="I15" s="69" t="inlineStr">
        <is>
          <t>1000021726</t>
        </is>
      </c>
      <c r="J15" s="69" t="inlineStr">
        <is>
          <t>红线电缆YJV 120双拼 或 YJV240单根 含桥架（按桥架长度计算）</t>
        </is>
      </c>
      <c r="K15" s="70" t="n"/>
      <c r="L15" s="70" t="n"/>
      <c r="M15" s="71" t="inlineStr">
        <is>
          <t>米</t>
        </is>
      </c>
      <c r="N15" s="72" t="n">
        <v>1000.44</v>
      </c>
      <c r="O15" s="72">
        <f>ROUND(N15*(1+$F$10),2)</f>
        <v/>
      </c>
      <c r="P15" s="73">
        <f>ROUND(K15*N15,2)</f>
        <v/>
      </c>
      <c r="Q15" s="74">
        <f>ROUND(L15*N15,2)</f>
        <v/>
      </c>
      <c r="R15" s="75" t="n"/>
      <c r="S15" s="76" t="n"/>
      <c r="T15" s="77">
        <f>K15-L15</f>
        <v/>
      </c>
      <c r="U15" s="77">
        <f>P15-Q15</f>
        <v/>
      </c>
      <c r="V15" s="77">
        <f>ABS(U15)</f>
        <v/>
      </c>
      <c r="W15" s="78">
        <f>T15/L15</f>
        <v/>
      </c>
      <c r="X15" s="79">
        <f>ABS(W15)</f>
        <v/>
      </c>
      <c r="AH15" s="6" t="inlineStr">
        <is>
          <t>委托书</t>
        </is>
      </c>
    </row>
    <row r="16" ht="11.4" customHeight="1">
      <c r="A16" s="67" t="inlineStr">
        <is>
          <t>33</t>
        </is>
      </c>
      <c r="B16" s="67" t="inlineStr">
        <is>
          <t>1031</t>
        </is>
      </c>
      <c r="C16" s="67" t="inlineStr">
        <is>
          <t>1314</t>
        </is>
      </c>
      <c r="D16" s="68" t="inlineStr">
        <is>
          <t>01</t>
        </is>
      </c>
      <c r="E16" s="68" t="inlineStr">
        <is>
          <t>3 许可证/公用事业费</t>
        </is>
      </c>
      <c r="F16" s="68" t="inlineStr">
        <is>
          <t>3.1 供电费用</t>
        </is>
      </c>
      <c r="G16" s="68" t="inlineStr">
        <is>
          <t>3.1.4 红线电缆接线费</t>
        </is>
      </c>
      <c r="H16" s="68" t="inlineStr">
        <is>
          <t>3.1.4 红线电缆接线费</t>
        </is>
      </c>
      <c r="I16" s="69" t="inlineStr">
        <is>
          <t>1000021725</t>
        </is>
      </c>
      <c r="J16" s="69" t="inlineStr">
        <is>
          <t>红线电缆 YJV 95 双拼 或 YJV185单根 含桥架（按桥架长度计算）</t>
        </is>
      </c>
      <c r="K16" s="70" t="n"/>
      <c r="L16" s="70" t="n"/>
      <c r="M16" s="71" t="inlineStr">
        <is>
          <t>米</t>
        </is>
      </c>
      <c r="N16" s="72" t="n">
        <v>872.84</v>
      </c>
      <c r="O16" s="72">
        <f>ROUND(N16*(1+$F$10),2)</f>
        <v/>
      </c>
      <c r="P16" s="73">
        <f>ROUND(K16*N16,2)</f>
        <v/>
      </c>
      <c r="Q16" s="74">
        <f>ROUND(L16*N16,2)</f>
        <v/>
      </c>
      <c r="R16" s="75" t="n"/>
      <c r="S16" s="76" t="n"/>
      <c r="T16" s="77">
        <f>K16-L16</f>
        <v/>
      </c>
      <c r="U16" s="77">
        <f>P16-Q16</f>
        <v/>
      </c>
      <c r="V16" s="77">
        <f>ABS(U16)</f>
        <v/>
      </c>
      <c r="W16" s="78">
        <f>T16/L16</f>
        <v/>
      </c>
      <c r="X16" s="79">
        <f>ABS(W16)</f>
        <v/>
      </c>
      <c r="AH16" s="6" t="inlineStr">
        <is>
          <t>委托书</t>
        </is>
      </c>
    </row>
    <row r="17" ht="11.4" customHeight="1">
      <c r="A17" s="67" t="inlineStr">
        <is>
          <t>33</t>
        </is>
      </c>
      <c r="B17" s="67" t="inlineStr">
        <is>
          <t>1031</t>
        </is>
      </c>
      <c r="C17" s="67" t="inlineStr">
        <is>
          <t>1314</t>
        </is>
      </c>
      <c r="D17" s="68" t="inlineStr">
        <is>
          <t>01</t>
        </is>
      </c>
      <c r="E17" s="68" t="inlineStr">
        <is>
          <t>3 许可证/公用事业费</t>
        </is>
      </c>
      <c r="F17" s="68" t="inlineStr">
        <is>
          <t>3.1 供电费用</t>
        </is>
      </c>
      <c r="G17" s="68" t="inlineStr">
        <is>
          <t>3.1.4 红线电缆接线费</t>
        </is>
      </c>
      <c r="H17" s="68" t="inlineStr">
        <is>
          <t>3.1.4 红线电缆接线费</t>
        </is>
      </c>
      <c r="I17" s="69" t="inlineStr">
        <is>
          <t>1000021727</t>
        </is>
      </c>
      <c r="J17" s="69" t="inlineStr">
        <is>
          <t>铠装红线电缆YJV 120双拼 或 YJV240单根 含桥架（按桥架长度计算）</t>
        </is>
      </c>
      <c r="K17" s="70" t="n"/>
      <c r="L17" s="70" t="n"/>
      <c r="M17" s="71" t="inlineStr">
        <is>
          <t>米</t>
        </is>
      </c>
      <c r="N17" s="72" t="n">
        <v>1000.44</v>
      </c>
      <c r="O17" s="72">
        <f>ROUND(N17*(1+$F$10),2)</f>
        <v/>
      </c>
      <c r="P17" s="73">
        <f>ROUND(K17*N17,2)</f>
        <v/>
      </c>
      <c r="Q17" s="74">
        <f>ROUND(L17*N17,2)</f>
        <v/>
      </c>
      <c r="R17" s="75" t="n"/>
      <c r="S17" s="76" t="n"/>
      <c r="T17" s="77">
        <f>K17-L17</f>
        <v/>
      </c>
      <c r="U17" s="77">
        <f>P17-Q17</f>
        <v/>
      </c>
      <c r="V17" s="77">
        <f>ABS(U17)</f>
        <v/>
      </c>
      <c r="W17" s="78">
        <f>T17/L17</f>
        <v/>
      </c>
      <c r="X17" s="79">
        <f>ABS(W17)</f>
        <v/>
      </c>
      <c r="AH17" s="6" t="inlineStr">
        <is>
          <t>委托书</t>
        </is>
      </c>
    </row>
    <row r="18" ht="11.4" customHeight="1">
      <c r="A18" s="67" t="inlineStr">
        <is>
          <t>33</t>
        </is>
      </c>
      <c r="B18" s="67" t="inlineStr">
        <is>
          <t>1031</t>
        </is>
      </c>
      <c r="C18" s="67" t="inlineStr">
        <is>
          <t>1314</t>
        </is>
      </c>
      <c r="D18" s="68" t="inlineStr">
        <is>
          <t>01</t>
        </is>
      </c>
      <c r="E18" s="68" t="inlineStr">
        <is>
          <t>3 许可证/公用事业费</t>
        </is>
      </c>
      <c r="F18" s="68" t="inlineStr">
        <is>
          <t>3.1 供电费用</t>
        </is>
      </c>
      <c r="G18" s="68" t="inlineStr">
        <is>
          <t>3.1.4 红线电缆接线费</t>
        </is>
      </c>
      <c r="H18" s="68" t="inlineStr">
        <is>
          <t>3.1.4 红线电缆接线费</t>
        </is>
      </c>
      <c r="I18" s="69" t="inlineStr">
        <is>
          <t>1000021728</t>
        </is>
      </c>
      <c r="J18" s="69" t="inlineStr">
        <is>
          <t>铠装红线电缆 YJV 95 双拼 或 YJV185单根 含桥架（按桥架长度计算）</t>
        </is>
      </c>
      <c r="K18" s="70" t="n"/>
      <c r="L18" s="70" t="n"/>
      <c r="M18" s="71" t="inlineStr">
        <is>
          <t>米</t>
        </is>
      </c>
      <c r="N18" s="72" t="n">
        <v>872.84</v>
      </c>
      <c r="O18" s="72">
        <f>ROUND(N18*(1+$F$10),2)</f>
        <v/>
      </c>
      <c r="P18" s="73">
        <f>ROUND(K18*N18,2)</f>
        <v/>
      </c>
      <c r="Q18" s="74">
        <f>ROUND(L18*N18,2)</f>
        <v/>
      </c>
      <c r="R18" s="75" t="n"/>
      <c r="S18" s="76" t="n"/>
      <c r="T18" s="77">
        <f>K18-L18</f>
        <v/>
      </c>
      <c r="U18" s="77">
        <f>P18-Q18</f>
        <v/>
      </c>
      <c r="V18" s="77">
        <f>ABS(U18)</f>
        <v/>
      </c>
      <c r="W18" s="78">
        <f>T18/L18</f>
        <v/>
      </c>
      <c r="X18" s="79">
        <f>ABS(W18)</f>
        <v/>
      </c>
      <c r="AH18" s="6" t="inlineStr">
        <is>
          <t>委托书</t>
        </is>
      </c>
    </row>
    <row r="19" ht="11.4" customHeight="1">
      <c r="A19" s="67" t="inlineStr">
        <is>
          <t>33</t>
        </is>
      </c>
      <c r="B19" s="67" t="inlineStr">
        <is>
          <t>1031</t>
        </is>
      </c>
      <c r="C19" s="67" t="inlineStr">
        <is>
          <t>1314</t>
        </is>
      </c>
      <c r="D19" s="68" t="inlineStr">
        <is>
          <t>01</t>
        </is>
      </c>
      <c r="E19" s="68" t="inlineStr">
        <is>
          <t>3 许可证/公用事业费</t>
        </is>
      </c>
      <c r="F19" s="68" t="inlineStr">
        <is>
          <t>3.1 供电费用</t>
        </is>
      </c>
      <c r="G19" s="68" t="inlineStr">
        <is>
          <t>3.1.4 红线电缆接线费</t>
        </is>
      </c>
      <c r="H19" s="68" t="inlineStr">
        <is>
          <t>3.1.4 红线电缆接线费</t>
        </is>
      </c>
      <c r="I19" s="69" t="inlineStr">
        <is>
          <t>1000040026</t>
        </is>
      </c>
      <c r="J19" s="69" t="inlineStr">
        <is>
          <t>室外电缆沟（含井）开挖及回填</t>
        </is>
      </c>
      <c r="K19" s="70" t="n"/>
      <c r="L19" s="70" t="n"/>
      <c r="M19" s="71" t="inlineStr">
        <is>
          <t>米</t>
        </is>
      </c>
      <c r="N19" s="72" t="n">
        <v>135.14</v>
      </c>
      <c r="O19" s="72">
        <f>ROUND(N19*(1+$F$10),2)</f>
        <v/>
      </c>
      <c r="P19" s="73">
        <f>ROUND(K19*N19,2)</f>
        <v/>
      </c>
      <c r="Q19" s="74">
        <f>ROUND(L19*N19,2)</f>
        <v/>
      </c>
      <c r="R19" s="75" t="n"/>
      <c r="S19" s="76" t="n"/>
      <c r="T19" s="77">
        <f>K19-L19</f>
        <v/>
      </c>
      <c r="U19" s="77">
        <f>P19-Q19</f>
        <v/>
      </c>
      <c r="V19" s="77">
        <f>ABS(U19)</f>
        <v/>
      </c>
      <c r="W19" s="78">
        <f>T19/L19</f>
        <v/>
      </c>
      <c r="X19" s="79">
        <f>ABS(W19)</f>
        <v/>
      </c>
      <c r="AH19" s="6" t="inlineStr">
        <is>
          <t>委托书</t>
        </is>
      </c>
    </row>
    <row r="20" ht="11.4" customHeight="1">
      <c r="A20" s="67" t="inlineStr">
        <is>
          <t>34</t>
        </is>
      </c>
      <c r="B20" s="67" t="inlineStr">
        <is>
          <t>1032</t>
        </is>
      </c>
      <c r="C20" s="67" t="inlineStr">
        <is>
          <t>1320</t>
        </is>
      </c>
      <c r="D20" s="68" t="inlineStr">
        <is>
          <t>01</t>
        </is>
      </c>
      <c r="E20" s="68" t="inlineStr">
        <is>
          <t>3 许可证/公用事业费</t>
        </is>
      </c>
      <c r="F20" s="68" t="inlineStr">
        <is>
          <t>3.2 给、排水接驳费</t>
        </is>
      </c>
      <c r="G20" s="68" t="inlineStr">
        <is>
          <t>给、排水接驳费</t>
        </is>
      </c>
      <c r="H20" s="68" t="inlineStr">
        <is>
          <t>给、排水接驳费</t>
        </is>
      </c>
      <c r="I20" s="69" t="inlineStr">
        <is>
          <t>1000021729</t>
        </is>
      </c>
      <c r="J20" s="69" t="inlineStr">
        <is>
          <t>给水接驳费</t>
        </is>
      </c>
      <c r="K20" s="70" t="n"/>
      <c r="L20" s="70" t="n"/>
      <c r="M20" s="71" t="inlineStr">
        <is>
          <t>米</t>
        </is>
      </c>
      <c r="N20" s="72" t="n">
        <v>96.36</v>
      </c>
      <c r="O20" s="72">
        <f>ROUND(N20*(1+$F$10),2)</f>
        <v/>
      </c>
      <c r="P20" s="73">
        <f>ROUND(K20*N20,2)</f>
        <v/>
      </c>
      <c r="Q20" s="74">
        <f>ROUND(L20*N20,2)</f>
        <v/>
      </c>
      <c r="R20" s="75" t="n"/>
      <c r="S20" s="76" t="n"/>
      <c r="T20" s="77">
        <f>K20-L20</f>
        <v/>
      </c>
      <c r="U20" s="77">
        <f>P20-Q20</f>
        <v/>
      </c>
      <c r="V20" s="77">
        <f>ABS(U20)</f>
        <v/>
      </c>
      <c r="W20" s="78">
        <f>T20/L20</f>
        <v/>
      </c>
      <c r="X20" s="79">
        <f>ABS(W20)</f>
        <v/>
      </c>
      <c r="AH20" s="6" t="inlineStr">
        <is>
          <t>委托书</t>
        </is>
      </c>
    </row>
    <row r="21" ht="11.4" customHeight="1">
      <c r="A21" s="67" t="inlineStr">
        <is>
          <t>34</t>
        </is>
      </c>
      <c r="B21" s="67" t="inlineStr">
        <is>
          <t>1032</t>
        </is>
      </c>
      <c r="C21" s="67" t="inlineStr">
        <is>
          <t>1320</t>
        </is>
      </c>
      <c r="D21" s="68" t="inlineStr">
        <is>
          <t>01</t>
        </is>
      </c>
      <c r="E21" s="68" t="inlineStr">
        <is>
          <t>3 许可证/公用事业费</t>
        </is>
      </c>
      <c r="F21" s="68" t="inlineStr">
        <is>
          <t>3.2 给、排水接驳费</t>
        </is>
      </c>
      <c r="G21" s="68" t="inlineStr">
        <is>
          <t>给、排水接驳费</t>
        </is>
      </c>
      <c r="H21" s="68" t="inlineStr">
        <is>
          <t>给、排水接驳费</t>
        </is>
      </c>
      <c r="I21" s="69" t="inlineStr">
        <is>
          <t>1000021730</t>
        </is>
      </c>
      <c r="J21" s="69" t="inlineStr">
        <is>
          <t>排水接驳费</t>
        </is>
      </c>
      <c r="K21" s="70" t="n"/>
      <c r="L21" s="70" t="n"/>
      <c r="M21" s="71" t="inlineStr">
        <is>
          <t>米</t>
        </is>
      </c>
      <c r="N21" s="72" t="n">
        <v>92.09</v>
      </c>
      <c r="O21" s="72">
        <f>ROUND(N21*(1+$F$10),2)</f>
        <v/>
      </c>
      <c r="P21" s="73">
        <f>ROUND(K21*N21,2)</f>
        <v/>
      </c>
      <c r="Q21" s="74">
        <f>ROUND(L21*N21,2)</f>
        <v/>
      </c>
      <c r="R21" s="75" t="n"/>
      <c r="S21" s="76" t="n"/>
      <c r="T21" s="77">
        <f>K21-L21</f>
        <v/>
      </c>
      <c r="U21" s="77">
        <f>P21-Q21</f>
        <v/>
      </c>
      <c r="V21" s="77">
        <f>ABS(U21)</f>
        <v/>
      </c>
      <c r="W21" s="78">
        <f>T21/L21</f>
        <v/>
      </c>
      <c r="X21" s="79">
        <f>ABS(W21)</f>
        <v/>
      </c>
      <c r="AH21" s="6" t="inlineStr">
        <is>
          <t>委托书</t>
        </is>
      </c>
    </row>
    <row r="22" ht="11.4" customHeight="1">
      <c r="A22" s="67" t="inlineStr">
        <is>
          <t>37</t>
        </is>
      </c>
      <c r="B22" s="67" t="inlineStr">
        <is>
          <t>1035</t>
        </is>
      </c>
      <c r="C22" s="67" t="inlineStr">
        <is>
          <t>1350</t>
        </is>
      </c>
      <c r="D22" s="68" t="inlineStr">
        <is>
          <t>01</t>
        </is>
      </c>
      <c r="E22" s="68" t="inlineStr">
        <is>
          <t>3 许可证/公用事业费</t>
        </is>
      </c>
      <c r="F22" s="68" t="inlineStr">
        <is>
          <t>3.5 电话系统</t>
        </is>
      </c>
      <c r="G22" s="68" t="inlineStr">
        <is>
          <t>电话申请费</t>
        </is>
      </c>
      <c r="H22" s="68" t="inlineStr">
        <is>
          <t>电话申请费</t>
        </is>
      </c>
      <c r="I22" s="69" t="inlineStr">
        <is>
          <t>1000040027</t>
        </is>
      </c>
      <c r="J22" s="69" t="inlineStr">
        <is>
          <t>电话申请费</t>
        </is>
      </c>
      <c r="K22" s="70" t="n"/>
      <c r="L22" s="70" t="n"/>
      <c r="M22" s="71" t="inlineStr">
        <is>
          <t>项</t>
        </is>
      </c>
      <c r="N22" s="72" t="n">
        <v>1801.8</v>
      </c>
      <c r="O22" s="72">
        <f>ROUND(N22*(1+$F$10),2)</f>
        <v/>
      </c>
      <c r="P22" s="73">
        <f>ROUND(K22*N22,2)</f>
        <v/>
      </c>
      <c r="Q22" s="74">
        <f>ROUND(L22*N22,2)</f>
        <v/>
      </c>
      <c r="R22" s="75" t="n"/>
      <c r="S22" s="76" t="n"/>
      <c r="T22" s="77">
        <f>K22-L22</f>
        <v/>
      </c>
      <c r="U22" s="77">
        <f>P22-Q22</f>
        <v/>
      </c>
      <c r="V22" s="77">
        <f>ABS(U22)</f>
        <v/>
      </c>
      <c r="W22" s="78">
        <f>T22/L22</f>
        <v/>
      </c>
      <c r="X22" s="79">
        <f>ABS(W22)</f>
        <v/>
      </c>
      <c r="AH22" s="6" t="inlineStr">
        <is>
          <t>委托书</t>
        </is>
      </c>
    </row>
    <row r="23" ht="11.4" customHeight="1">
      <c r="A23" s="67" t="inlineStr">
        <is>
          <t>38</t>
        </is>
      </c>
      <c r="B23" s="67" t="inlineStr">
        <is>
          <t>1036</t>
        </is>
      </c>
      <c r="C23" s="67" t="inlineStr">
        <is>
          <t>1360</t>
        </is>
      </c>
      <c r="D23" s="68" t="inlineStr">
        <is>
          <t>01</t>
        </is>
      </c>
      <c r="E23" s="68" t="inlineStr">
        <is>
          <t>3 许可证/公用事业费</t>
        </is>
      </c>
      <c r="F23" s="68" t="inlineStr">
        <is>
          <t>3.6 其他许可证申请费</t>
        </is>
      </c>
      <c r="G23" s="68" t="inlineStr">
        <is>
          <t>其他许可证申请费</t>
        </is>
      </c>
      <c r="H23" s="68" t="inlineStr">
        <is>
          <t>其他许可证申请费</t>
        </is>
      </c>
      <c r="I23" s="69" t="inlineStr">
        <is>
          <t>1000040028</t>
        </is>
      </c>
      <c r="J23" s="69" t="inlineStr">
        <is>
          <t>有线电视申请费</t>
        </is>
      </c>
      <c r="K23" s="70" t="n"/>
      <c r="L23" s="70" t="n"/>
      <c r="M23" s="71" t="inlineStr">
        <is>
          <t>项</t>
        </is>
      </c>
      <c r="N23" s="72" t="n">
        <v>1351.35</v>
      </c>
      <c r="O23" s="72">
        <f>ROUND(N23*(1+$F$10),2)</f>
        <v/>
      </c>
      <c r="P23" s="73">
        <f>ROUND(K23*N23,2)</f>
        <v/>
      </c>
      <c r="Q23" s="74">
        <f>ROUND(L23*N23,2)</f>
        <v/>
      </c>
      <c r="R23" s="75" t="n"/>
      <c r="S23" s="76" t="n"/>
      <c r="T23" s="77">
        <f>K23-L23</f>
        <v/>
      </c>
      <c r="U23" s="77">
        <f>P23-Q23</f>
        <v/>
      </c>
      <c r="V23" s="77">
        <f>ABS(U23)</f>
        <v/>
      </c>
      <c r="W23" s="78">
        <f>T23/L23</f>
        <v/>
      </c>
      <c r="X23" s="79">
        <f>ABS(W23)</f>
        <v/>
      </c>
      <c r="AH23" s="6" t="inlineStr">
        <is>
          <t>委托书</t>
        </is>
      </c>
    </row>
    <row r="24" ht="11.4" customHeight="1">
      <c r="A24" s="67" t="inlineStr">
        <is>
          <t>38</t>
        </is>
      </c>
      <c r="B24" s="67" t="inlineStr">
        <is>
          <t>1036</t>
        </is>
      </c>
      <c r="C24" s="67" t="inlineStr">
        <is>
          <t>1360</t>
        </is>
      </c>
      <c r="D24" s="68" t="inlineStr">
        <is>
          <t>01</t>
        </is>
      </c>
      <c r="E24" s="68" t="inlineStr">
        <is>
          <t>3 许可证/公用事业费</t>
        </is>
      </c>
      <c r="F24" s="68" t="inlineStr">
        <is>
          <t>3.6 其他许可证申请费</t>
        </is>
      </c>
      <c r="G24" s="68" t="inlineStr">
        <is>
          <t>其他许可证申请费</t>
        </is>
      </c>
      <c r="H24" s="68" t="inlineStr">
        <is>
          <t>其他许可证申请费</t>
        </is>
      </c>
      <c r="I24" s="69" t="inlineStr">
        <is>
          <t>1000040098</t>
        </is>
      </c>
      <c r="J24" s="69" t="inlineStr">
        <is>
          <t>其他许可证申请费（含：1.环评费、2.环保申请费、3.规划申报费、4.城管／市容申报费、5.建委／招标办之甲方报建费、6.卫生防疫站申报费、7.房屋鉴定费、8.市政申请费</t>
        </is>
      </c>
      <c r="K24" s="70" t="n">
        <v>1</v>
      </c>
      <c r="L24" s="70" t="n">
        <v>1</v>
      </c>
      <c r="M24" s="71" t="inlineStr">
        <is>
          <t>项</t>
        </is>
      </c>
      <c r="N24" s="72" t="n">
        <v>41284.4</v>
      </c>
      <c r="O24" s="72">
        <f>ROUND(N24*(1+$F$10),2)</f>
        <v/>
      </c>
      <c r="P24" s="73">
        <f>ROUND(K24*N24,2)</f>
        <v/>
      </c>
      <c r="Q24" s="74">
        <f>ROUND(L24*N24,2)</f>
        <v/>
      </c>
      <c r="R24" s="75" t="n"/>
      <c r="S24" s="76" t="n"/>
      <c r="T24" s="77">
        <f>K24-L24</f>
        <v/>
      </c>
      <c r="U24" s="77">
        <f>P24-Q24</f>
        <v/>
      </c>
      <c r="V24" s="77">
        <f>ABS(U24)</f>
        <v/>
      </c>
      <c r="W24" s="78">
        <f>T24/L24</f>
        <v/>
      </c>
      <c r="X24" s="79">
        <f>ABS(W24)</f>
        <v/>
      </c>
      <c r="AH24" s="6" t="inlineStr">
        <is>
          <t>委托书</t>
        </is>
      </c>
    </row>
    <row r="25" ht="11.4" customHeight="1">
      <c r="A25" s="67" t="inlineStr">
        <is>
          <t>40</t>
        </is>
      </c>
      <c r="B25" s="67" t="inlineStr">
        <is>
          <t>1038</t>
        </is>
      </c>
      <c r="C25" s="67" t="inlineStr">
        <is>
          <t>1410</t>
        </is>
      </c>
      <c r="D25" s="68" t="inlineStr">
        <is>
          <t>01</t>
        </is>
      </c>
      <c r="E25" s="68" t="inlineStr">
        <is>
          <t>4 拆除费</t>
        </is>
      </c>
      <c r="F25" s="68" t="inlineStr">
        <is>
          <t>4.1 场地清拆</t>
        </is>
      </c>
      <c r="G25" s="68" t="inlineStr">
        <is>
          <t>场地清拆</t>
        </is>
      </c>
      <c r="H25" s="68" t="inlineStr">
        <is>
          <t>场地清拆</t>
        </is>
      </c>
      <c r="I25" s="69" t="inlineStr">
        <is>
          <t>1000021731</t>
        </is>
      </c>
      <c r="J25" s="69" t="inlineStr">
        <is>
          <t>现场清拆（零星拆除,含非特殊位置清运）</t>
        </is>
      </c>
      <c r="K25" s="70" t="n">
        <v>185</v>
      </c>
      <c r="L25" s="70" t="n">
        <v>185</v>
      </c>
      <c r="M25" s="71" t="inlineStr">
        <is>
          <t>m2</t>
        </is>
      </c>
      <c r="N25" s="72" t="n">
        <v>27.2</v>
      </c>
      <c r="O25" s="72">
        <f>ROUND(N25*(1+$F$10),2)</f>
        <v/>
      </c>
      <c r="P25" s="73">
        <f>ROUND(K25*N25,2)</f>
        <v/>
      </c>
      <c r="Q25" s="74">
        <f>ROUND(L25*N25,2)</f>
        <v/>
      </c>
      <c r="R25" s="75" t="n"/>
      <c r="S25" s="76" t="n"/>
      <c r="T25" s="77">
        <f>K25-L25</f>
        <v/>
      </c>
      <c r="U25" s="77">
        <f>P25-Q25</f>
        <v/>
      </c>
      <c r="V25" s="77">
        <f>ABS(U25)</f>
        <v/>
      </c>
      <c r="W25" s="78">
        <f>T25/L25</f>
        <v/>
      </c>
      <c r="X25" s="79">
        <f>ABS(W25)</f>
        <v/>
      </c>
      <c r="AH25" s="6" t="inlineStr">
        <is>
          <t>委托书</t>
        </is>
      </c>
    </row>
    <row r="26" ht="11.4" customHeight="1">
      <c r="A26" s="67" t="inlineStr">
        <is>
          <t>40</t>
        </is>
      </c>
      <c r="B26" s="67" t="inlineStr">
        <is>
          <t>1038</t>
        </is>
      </c>
      <c r="C26" s="67" t="inlineStr">
        <is>
          <t>1410</t>
        </is>
      </c>
      <c r="D26" s="68" t="inlineStr">
        <is>
          <t>01</t>
        </is>
      </c>
      <c r="E26" s="68" t="inlineStr">
        <is>
          <t>4 拆除费</t>
        </is>
      </c>
      <c r="F26" s="68" t="inlineStr">
        <is>
          <t>4.1 场地清拆</t>
        </is>
      </c>
      <c r="G26" s="68" t="inlineStr">
        <is>
          <t>场地清拆</t>
        </is>
      </c>
      <c r="H26" s="68" t="inlineStr">
        <is>
          <t>场地清拆</t>
        </is>
      </c>
      <c r="I26" s="69" t="inlineStr">
        <is>
          <t>1000021732</t>
        </is>
      </c>
      <c r="J26" s="69" t="inlineStr">
        <is>
          <t>现场清拆（大面积拆除--天地墙全面拆除，含非特殊位置清运）</t>
        </is>
      </c>
      <c r="K26" s="70" t="n"/>
      <c r="L26" s="70" t="n"/>
      <c r="M26" s="71" t="inlineStr">
        <is>
          <t>m2</t>
        </is>
      </c>
      <c r="N26" s="72" t="n">
        <v>73</v>
      </c>
      <c r="O26" s="72">
        <f>ROUND(N26*(1+$F$10),2)</f>
        <v/>
      </c>
      <c r="P26" s="73">
        <f>ROUND(K26*N26,2)</f>
        <v/>
      </c>
      <c r="Q26" s="74">
        <f>ROUND(L26*N26,2)</f>
        <v/>
      </c>
      <c r="R26" s="75" t="n"/>
      <c r="S26" s="76" t="n"/>
      <c r="T26" s="77">
        <f>K26-L26</f>
        <v/>
      </c>
      <c r="U26" s="77">
        <f>P26-Q26</f>
        <v/>
      </c>
      <c r="V26" s="77">
        <f>ABS(U26)</f>
        <v/>
      </c>
      <c r="W26" s="78">
        <f>T26/L26</f>
        <v/>
      </c>
      <c r="X26" s="79">
        <f>ABS(W26)</f>
        <v/>
      </c>
      <c r="AH26" s="6" t="inlineStr">
        <is>
          <t>委托书</t>
        </is>
      </c>
    </row>
    <row r="27" ht="11.4" customHeight="1">
      <c r="A27" s="67" t="inlineStr">
        <is>
          <t>40</t>
        </is>
      </c>
      <c r="B27" s="67" t="inlineStr">
        <is>
          <t>1038</t>
        </is>
      </c>
      <c r="C27" s="67" t="inlineStr">
        <is>
          <t>1410</t>
        </is>
      </c>
      <c r="D27" s="68" t="inlineStr">
        <is>
          <t>01</t>
        </is>
      </c>
      <c r="E27" s="68" t="inlineStr">
        <is>
          <t>4 拆除费</t>
        </is>
      </c>
      <c r="F27" s="68" t="inlineStr">
        <is>
          <t>4.1 场地清拆</t>
        </is>
      </c>
      <c r="G27" s="68" t="inlineStr">
        <is>
          <t>场地清拆</t>
        </is>
      </c>
      <c r="H27" s="68" t="inlineStr">
        <is>
          <t>场地清拆</t>
        </is>
      </c>
      <c r="I27" s="69" t="inlineStr">
        <is>
          <t>1000021733</t>
        </is>
      </c>
      <c r="J27" s="69" t="inlineStr">
        <is>
          <t>现场清拆（特大面积拆除--天地墙全面拆除、结构拆除，含非特殊位置清运）</t>
        </is>
      </c>
      <c r="K27" s="70" t="n"/>
      <c r="L27" s="70" t="n"/>
      <c r="M27" s="71" t="inlineStr">
        <is>
          <t>m2</t>
        </is>
      </c>
      <c r="N27" s="72" t="n">
        <v>109</v>
      </c>
      <c r="O27" s="72">
        <f>ROUND(N27*(1+$F$10),2)</f>
        <v/>
      </c>
      <c r="P27" s="73">
        <f>ROUND(K27*N27,2)</f>
        <v/>
      </c>
      <c r="Q27" s="74">
        <f>ROUND(L27*N27,2)</f>
        <v/>
      </c>
      <c r="R27" s="75" t="n"/>
      <c r="S27" s="76" t="n"/>
      <c r="T27" s="77">
        <f>K27-L27</f>
        <v/>
      </c>
      <c r="U27" s="77">
        <f>P27-Q27</f>
        <v/>
      </c>
      <c r="V27" s="77">
        <f>ABS(U27)</f>
        <v/>
      </c>
      <c r="W27" s="78">
        <f>T27/L27</f>
        <v/>
      </c>
      <c r="X27" s="79">
        <f>ABS(W27)</f>
        <v/>
      </c>
      <c r="AH27" s="6" t="inlineStr">
        <is>
          <t>委托书</t>
        </is>
      </c>
    </row>
    <row r="28" ht="11.4" customHeight="1">
      <c r="A28" s="67" t="inlineStr">
        <is>
          <t>40</t>
        </is>
      </c>
      <c r="B28" s="67" t="inlineStr">
        <is>
          <t>1038</t>
        </is>
      </c>
      <c r="C28" s="67" t="inlineStr">
        <is>
          <t>1410</t>
        </is>
      </c>
      <c r="D28" s="68" t="inlineStr">
        <is>
          <t>01</t>
        </is>
      </c>
      <c r="E28" s="68" t="inlineStr">
        <is>
          <t>4 拆除费</t>
        </is>
      </c>
      <c r="F28" s="68" t="inlineStr">
        <is>
          <t>4.1 场地清拆</t>
        </is>
      </c>
      <c r="G28" s="68" t="inlineStr">
        <is>
          <t>场地清拆</t>
        </is>
      </c>
      <c r="H28" s="68" t="inlineStr">
        <is>
          <t>场地清拆</t>
        </is>
      </c>
      <c r="I28" s="69" t="inlineStr">
        <is>
          <t>1000021734</t>
        </is>
      </c>
      <c r="J28" s="69" t="inlineStr">
        <is>
          <t>现场清拆（零星拆除,含特殊位置清运）</t>
        </is>
      </c>
      <c r="K28" s="70" t="n"/>
      <c r="L28" s="70" t="n"/>
      <c r="M28" s="71" t="inlineStr">
        <is>
          <t>m2</t>
        </is>
      </c>
      <c r="N28" s="72" t="n">
        <v>54.5</v>
      </c>
      <c r="O28" s="72">
        <f>ROUND(N28*(1+$F$10),2)</f>
        <v/>
      </c>
      <c r="P28" s="73">
        <f>ROUND(K28*N28,2)</f>
        <v/>
      </c>
      <c r="Q28" s="74">
        <f>ROUND(L28*N28,2)</f>
        <v/>
      </c>
      <c r="R28" s="75" t="n"/>
      <c r="S28" s="76" t="n"/>
      <c r="T28" s="77">
        <f>K28-L28</f>
        <v/>
      </c>
      <c r="U28" s="77">
        <f>P28-Q28</f>
        <v/>
      </c>
      <c r="V28" s="77">
        <f>ABS(U28)</f>
        <v/>
      </c>
      <c r="W28" s="78">
        <f>T28/L28</f>
        <v/>
      </c>
      <c r="X28" s="79">
        <f>ABS(W28)</f>
        <v/>
      </c>
      <c r="AH28" s="6" t="inlineStr">
        <is>
          <t>委托书</t>
        </is>
      </c>
    </row>
    <row r="29" ht="11.4" customHeight="1">
      <c r="A29" s="67" t="inlineStr">
        <is>
          <t>40</t>
        </is>
      </c>
      <c r="B29" s="67" t="inlineStr">
        <is>
          <t>1038</t>
        </is>
      </c>
      <c r="C29" s="67" t="inlineStr">
        <is>
          <t>1410</t>
        </is>
      </c>
      <c r="D29" s="68" t="inlineStr">
        <is>
          <t>01</t>
        </is>
      </c>
      <c r="E29" s="68" t="inlineStr">
        <is>
          <t>4 拆除费</t>
        </is>
      </c>
      <c r="F29" s="68" t="inlineStr">
        <is>
          <t>4.1 场地清拆</t>
        </is>
      </c>
      <c r="G29" s="68" t="inlineStr">
        <is>
          <t>场地清拆</t>
        </is>
      </c>
      <c r="H29" s="68" t="inlineStr">
        <is>
          <t>场地清拆</t>
        </is>
      </c>
      <c r="I29" s="69" t="inlineStr">
        <is>
          <t>1000021735</t>
        </is>
      </c>
      <c r="J29" s="69" t="inlineStr">
        <is>
          <t>现场清拆（大面积拆除--天地墙全面拆除，含特殊位置清运）</t>
        </is>
      </c>
      <c r="K29" s="70" t="n"/>
      <c r="L29" s="70" t="n"/>
      <c r="M29" s="71" t="inlineStr">
        <is>
          <t>m2</t>
        </is>
      </c>
      <c r="N29" s="72" t="n">
        <v>181.5</v>
      </c>
      <c r="O29" s="72">
        <f>ROUND(N29*(1+$F$10),2)</f>
        <v/>
      </c>
      <c r="P29" s="73">
        <f>ROUND(K29*N29,2)</f>
        <v/>
      </c>
      <c r="Q29" s="74">
        <f>ROUND(L29*N29,2)</f>
        <v/>
      </c>
      <c r="R29" s="75" t="n"/>
      <c r="S29" s="76" t="n"/>
      <c r="T29" s="77">
        <f>K29-L29</f>
        <v/>
      </c>
      <c r="U29" s="77">
        <f>P29-Q29</f>
        <v/>
      </c>
      <c r="V29" s="77">
        <f>ABS(U29)</f>
        <v/>
      </c>
      <c r="W29" s="78">
        <f>T29/L29</f>
        <v/>
      </c>
      <c r="X29" s="79">
        <f>ABS(W29)</f>
        <v/>
      </c>
      <c r="AH29" s="6" t="inlineStr">
        <is>
          <t>委托书</t>
        </is>
      </c>
    </row>
    <row r="30" ht="11.4" customHeight="1">
      <c r="A30" s="67" t="inlineStr">
        <is>
          <t>40</t>
        </is>
      </c>
      <c r="B30" s="67" t="inlineStr">
        <is>
          <t>1038</t>
        </is>
      </c>
      <c r="C30" s="67" t="inlineStr">
        <is>
          <t>1410</t>
        </is>
      </c>
      <c r="D30" s="68" t="inlineStr">
        <is>
          <t>01</t>
        </is>
      </c>
      <c r="E30" s="68" t="inlineStr">
        <is>
          <t>4 拆除费</t>
        </is>
      </c>
      <c r="F30" s="68" t="inlineStr">
        <is>
          <t>4.1 场地清拆</t>
        </is>
      </c>
      <c r="G30" s="68" t="inlineStr">
        <is>
          <t>场地清拆</t>
        </is>
      </c>
      <c r="H30" s="68" t="inlineStr">
        <is>
          <t>场地清拆</t>
        </is>
      </c>
      <c r="I30" s="69" t="inlineStr">
        <is>
          <t>1000021736</t>
        </is>
      </c>
      <c r="J30" s="69" t="inlineStr">
        <is>
          <t>现场清拆（特大面积拆除--天地墙全面拆除、结构拆除，含特殊位置清运）</t>
        </is>
      </c>
      <c r="K30" s="70" t="n"/>
      <c r="L30" s="70" t="n"/>
      <c r="M30" s="71" t="inlineStr">
        <is>
          <t>m2</t>
        </is>
      </c>
      <c r="N30" s="72" t="n">
        <v>284.5</v>
      </c>
      <c r="O30" s="72">
        <f>ROUND(N30*(1+$F$10),2)</f>
        <v/>
      </c>
      <c r="P30" s="73">
        <f>ROUND(K30*N30,2)</f>
        <v/>
      </c>
      <c r="Q30" s="74">
        <f>ROUND(L30*N30,2)</f>
        <v/>
      </c>
      <c r="R30" s="75" t="n"/>
      <c r="S30" s="76" t="n"/>
      <c r="T30" s="77">
        <f>K30-L30</f>
        <v/>
      </c>
      <c r="U30" s="77">
        <f>P30-Q30</f>
        <v/>
      </c>
      <c r="V30" s="77">
        <f>ABS(U30)</f>
        <v/>
      </c>
      <c r="W30" s="78">
        <f>T30/L30</f>
        <v/>
      </c>
      <c r="X30" s="79">
        <f>ABS(W30)</f>
        <v/>
      </c>
      <c r="AH30" s="6" t="inlineStr">
        <is>
          <t>委托书</t>
        </is>
      </c>
    </row>
    <row r="31" ht="11.4" customHeight="1">
      <c r="A31" s="67" t="inlineStr">
        <is>
          <t>40</t>
        </is>
      </c>
      <c r="B31" s="67" t="inlineStr">
        <is>
          <t>1038</t>
        </is>
      </c>
      <c r="C31" s="67" t="inlineStr">
        <is>
          <t>1410</t>
        </is>
      </c>
      <c r="D31" s="68" t="inlineStr">
        <is>
          <t>01</t>
        </is>
      </c>
      <c r="E31" s="68" t="inlineStr">
        <is>
          <t>4 拆除费</t>
        </is>
      </c>
      <c r="F31" s="68" t="inlineStr">
        <is>
          <t>4.1 场地清拆</t>
        </is>
      </c>
      <c r="G31" s="68" t="inlineStr">
        <is>
          <t>场地清拆</t>
        </is>
      </c>
      <c r="H31" s="68" t="inlineStr">
        <is>
          <t>场地清拆</t>
        </is>
      </c>
      <c r="I31" s="69" t="inlineStr">
        <is>
          <t>1000021737</t>
        </is>
      </c>
      <c r="J31" s="69" t="inlineStr">
        <is>
          <t>场地清洁</t>
        </is>
      </c>
      <c r="K31" s="70" t="n">
        <v>185</v>
      </c>
      <c r="L31" s="70" t="n">
        <v>185</v>
      </c>
      <c r="M31" s="71" t="inlineStr">
        <is>
          <t>m2</t>
        </is>
      </c>
      <c r="N31" s="72" t="n">
        <v>20</v>
      </c>
      <c r="O31" s="72">
        <f>ROUND(N31*(1+$F$10),2)</f>
        <v/>
      </c>
      <c r="P31" s="73">
        <f>ROUND(K31*N31,2)</f>
        <v/>
      </c>
      <c r="Q31" s="74">
        <f>ROUND(L31*N31,2)</f>
        <v/>
      </c>
      <c r="R31" s="75" t="n"/>
      <c r="S31" s="76" t="n"/>
      <c r="T31" s="77">
        <f>K31-L31</f>
        <v/>
      </c>
      <c r="U31" s="77">
        <f>P31-Q31</f>
        <v/>
      </c>
      <c r="V31" s="77">
        <f>ABS(U31)</f>
        <v/>
      </c>
      <c r="W31" s="78">
        <f>T31/L31</f>
        <v/>
      </c>
      <c r="X31" s="79">
        <f>ABS(W31)</f>
        <v/>
      </c>
      <c r="AH31" s="6" t="inlineStr">
        <is>
          <t>委托书</t>
        </is>
      </c>
    </row>
    <row r="32" ht="11.4" customHeight="1">
      <c r="A32" s="67" t="inlineStr">
        <is>
          <t>41</t>
        </is>
      </c>
      <c r="B32" s="67" t="inlineStr">
        <is>
          <t>1039</t>
        </is>
      </c>
      <c r="C32" s="67" t="inlineStr">
        <is>
          <t>1420</t>
        </is>
      </c>
      <c r="D32" s="68" t="inlineStr">
        <is>
          <t>01</t>
        </is>
      </c>
      <c r="E32" s="68" t="inlineStr">
        <is>
          <t>4 拆除费</t>
        </is>
      </c>
      <c r="F32" s="68" t="inlineStr">
        <is>
          <t>4.2 围墙板</t>
        </is>
      </c>
      <c r="G32" s="68" t="inlineStr">
        <is>
          <t>围墙板</t>
        </is>
      </c>
      <c r="H32" s="68" t="inlineStr">
        <is>
          <t>围墙板</t>
        </is>
      </c>
      <c r="I32" s="69" t="inlineStr">
        <is>
          <t>1000021738</t>
        </is>
      </c>
      <c r="J32" s="69" t="inlineStr">
        <is>
          <t>场地围墙板等</t>
        </is>
      </c>
      <c r="K32" s="70" t="n">
        <v>50.19</v>
      </c>
      <c r="L32" s="70" t="n">
        <v>49.9</v>
      </c>
      <c r="M32" s="71" t="inlineStr">
        <is>
          <t>m2</t>
        </is>
      </c>
      <c r="N32" s="72" t="n">
        <v>58.7</v>
      </c>
      <c r="O32" s="72">
        <f>ROUND(N32*(1+$F$10),2)</f>
        <v/>
      </c>
      <c r="P32" s="73">
        <f>ROUND(K32*N32,2)</f>
        <v/>
      </c>
      <c r="Q32" s="74">
        <f>ROUND(L32*N32,2)</f>
        <v/>
      </c>
      <c r="R32" s="75" t="n"/>
      <c r="S32" s="76" t="n"/>
      <c r="T32" s="77">
        <f>K32-L32</f>
        <v/>
      </c>
      <c r="U32" s="77">
        <f>P32-Q32</f>
        <v/>
      </c>
      <c r="V32" s="77">
        <f>ABS(U32)</f>
        <v/>
      </c>
      <c r="W32" s="78">
        <f>T32/L32</f>
        <v/>
      </c>
      <c r="X32" s="79">
        <f>ABS(W32)</f>
        <v/>
      </c>
      <c r="AG32" s="80" t="inlineStr">
        <is>
          <t>基本墙面积</t>
        </is>
      </c>
    </row>
    <row r="33" ht="11.4" customHeight="1">
      <c r="A33" s="67" t="inlineStr">
        <is>
          <t>44</t>
        </is>
      </c>
      <c r="B33" s="67" t="inlineStr">
        <is>
          <t>1042</t>
        </is>
      </c>
      <c r="C33" s="67" t="inlineStr">
        <is>
          <t>1510</t>
        </is>
      </c>
      <c r="D33" s="68" t="inlineStr">
        <is>
          <t>01</t>
        </is>
      </c>
      <c r="E33" s="68" t="inlineStr">
        <is>
          <t>5 场地发展费</t>
        </is>
      </c>
      <c r="F33" s="68" t="inlineStr">
        <is>
          <t>5.1 场地准备</t>
        </is>
      </c>
      <c r="G33" s="68" t="inlineStr">
        <is>
          <t>场地准备</t>
        </is>
      </c>
      <c r="H33" s="68" t="inlineStr">
        <is>
          <t>措施费</t>
        </is>
      </c>
      <c r="I33" s="69" t="inlineStr">
        <is>
          <t>1000021739</t>
        </is>
      </c>
      <c r="J33" s="69" t="inlineStr">
        <is>
          <t>措施费（新店）</t>
        </is>
      </c>
      <c r="K33" s="70" t="n">
        <v>1</v>
      </c>
      <c r="L33" s="70" t="n">
        <v>1</v>
      </c>
      <c r="M33" s="71" t="inlineStr">
        <is>
          <t>项</t>
        </is>
      </c>
      <c r="N33" s="72" t="n">
        <v>15380</v>
      </c>
      <c r="O33" s="72">
        <f>ROUND(N33*(1+$F$10),2)</f>
        <v/>
      </c>
      <c r="P33" s="73">
        <f>ROUND(K33*N33,2)</f>
        <v/>
      </c>
      <c r="Q33" s="74">
        <f>ROUND(L33*N33,2)</f>
        <v/>
      </c>
      <c r="R33" s="75" t="n"/>
      <c r="S33" s="76" t="n"/>
      <c r="T33" s="77">
        <f>K33-L33</f>
        <v/>
      </c>
      <c r="U33" s="77">
        <f>P33-Q33</f>
        <v/>
      </c>
      <c r="V33" s="77">
        <f>ABS(U33)</f>
        <v/>
      </c>
      <c r="W33" s="78">
        <f>T33/L33</f>
        <v/>
      </c>
      <c r="X33" s="79">
        <f>ABS(W33)</f>
        <v/>
      </c>
      <c r="AH33" s="6" t="inlineStr">
        <is>
          <t>委托书</t>
        </is>
      </c>
    </row>
    <row r="34" ht="11.4" customHeight="1">
      <c r="A34" s="67" t="inlineStr">
        <is>
          <t>44</t>
        </is>
      </c>
      <c r="B34" s="67" t="inlineStr">
        <is>
          <t>1042</t>
        </is>
      </c>
      <c r="C34" s="67" t="inlineStr">
        <is>
          <t>1510</t>
        </is>
      </c>
      <c r="D34" s="68" t="inlineStr">
        <is>
          <t>01</t>
        </is>
      </c>
      <c r="E34" s="68" t="inlineStr">
        <is>
          <t>5 场地发展费</t>
        </is>
      </c>
      <c r="F34" s="68" t="inlineStr">
        <is>
          <t>5.1 场地准备</t>
        </is>
      </c>
      <c r="G34" s="68" t="inlineStr">
        <is>
          <t>场地准备</t>
        </is>
      </c>
      <c r="H34" s="68" t="inlineStr">
        <is>
          <t>措施费</t>
        </is>
      </c>
      <c r="I34" s="69" t="inlineStr">
        <is>
          <t>1000022205</t>
        </is>
      </c>
      <c r="J34" s="69" t="inlineStr">
        <is>
          <t>措施费（改造店）</t>
        </is>
      </c>
      <c r="K34" s="70" t="n"/>
      <c r="L34" s="70" t="n"/>
      <c r="M34" s="71" t="inlineStr">
        <is>
          <t>项</t>
        </is>
      </c>
      <c r="N34" s="72" t="n">
        <v>26126.13</v>
      </c>
      <c r="O34" s="72">
        <f>ROUND(N34*(1+$F$10),2)</f>
        <v/>
      </c>
      <c r="P34" s="73">
        <f>ROUND(K34*N34,2)</f>
        <v/>
      </c>
      <c r="Q34" s="74">
        <f>ROUND(L34*N34,2)</f>
        <v/>
      </c>
      <c r="R34" s="75" t="n"/>
      <c r="S34" s="76" t="n"/>
      <c r="T34" s="77">
        <f>K34-L34</f>
        <v/>
      </c>
      <c r="U34" s="77">
        <f>P34-Q34</f>
        <v/>
      </c>
      <c r="V34" s="77">
        <f>ABS(U34)</f>
        <v/>
      </c>
      <c r="W34" s="78">
        <f>T34/L34</f>
        <v/>
      </c>
      <c r="X34" s="79">
        <f>ABS(W34)</f>
        <v/>
      </c>
      <c r="AH34" s="6" t="inlineStr">
        <is>
          <t>委托书</t>
        </is>
      </c>
    </row>
    <row r="35" ht="11.4" customHeight="1">
      <c r="A35" s="67" t="inlineStr">
        <is>
          <t>44</t>
        </is>
      </c>
      <c r="B35" s="67" t="inlineStr">
        <is>
          <t>1042</t>
        </is>
      </c>
      <c r="C35" s="67" t="inlineStr">
        <is>
          <t>1510</t>
        </is>
      </c>
      <c r="D35" s="68" t="inlineStr">
        <is>
          <t>01</t>
        </is>
      </c>
      <c r="E35" s="68" t="inlineStr">
        <is>
          <t>5 场地发展费</t>
        </is>
      </c>
      <c r="F35" s="68" t="inlineStr">
        <is>
          <t>5.1 场地准备</t>
        </is>
      </c>
      <c r="G35" s="68" t="inlineStr">
        <is>
          <t>场地准备</t>
        </is>
      </c>
      <c r="H35" s="68" t="inlineStr">
        <is>
          <t>措施费</t>
        </is>
      </c>
      <c r="I35" s="69" t="inlineStr">
        <is>
          <t>1000040030</t>
        </is>
      </c>
      <c r="J35" s="69" t="inlineStr">
        <is>
          <t>北区冬季施工费</t>
        </is>
      </c>
      <c r="K35" s="70" t="n"/>
      <c r="L35" s="70" t="n"/>
      <c r="M35" s="71" t="inlineStr">
        <is>
          <t>项</t>
        </is>
      </c>
      <c r="N35" s="72" t="n">
        <v>18018.02</v>
      </c>
      <c r="O35" s="72">
        <f>ROUND(N35*(1+$F$10),2)</f>
        <v/>
      </c>
      <c r="P35" s="73">
        <f>ROUND(K35*N35,2)</f>
        <v/>
      </c>
      <c r="Q35" s="74">
        <f>ROUND(L35*N35,2)</f>
        <v/>
      </c>
      <c r="R35" s="75" t="n"/>
      <c r="S35" s="76" t="n"/>
      <c r="T35" s="77">
        <f>K35-L35</f>
        <v/>
      </c>
      <c r="U35" s="77">
        <f>P35-Q35</f>
        <v/>
      </c>
      <c r="V35" s="77">
        <f>ABS(U35)</f>
        <v/>
      </c>
      <c r="W35" s="78">
        <f>T35/L35</f>
        <v/>
      </c>
      <c r="X35" s="79">
        <f>ABS(W35)</f>
        <v/>
      </c>
      <c r="AH35" s="6" t="inlineStr">
        <is>
          <t>委托书</t>
        </is>
      </c>
    </row>
    <row r="36" ht="11.4" customHeight="1">
      <c r="A36" s="67" t="inlineStr">
        <is>
          <t>44</t>
        </is>
      </c>
      <c r="B36" s="67" t="inlineStr">
        <is>
          <t>1042</t>
        </is>
      </c>
      <c r="C36" s="67" t="inlineStr">
        <is>
          <t>1510</t>
        </is>
      </c>
      <c r="D36" s="68" t="inlineStr">
        <is>
          <t>01</t>
        </is>
      </c>
      <c r="E36" s="68" t="inlineStr">
        <is>
          <t>5 场地发展费</t>
        </is>
      </c>
      <c r="F36" s="68" t="inlineStr">
        <is>
          <t>5.1 场地准备</t>
        </is>
      </c>
      <c r="G36" s="68" t="inlineStr">
        <is>
          <t>场地准备</t>
        </is>
      </c>
      <c r="H36" s="68" t="inlineStr">
        <is>
          <t>措施费</t>
        </is>
      </c>
      <c r="I36" s="69" t="inlineStr">
        <is>
          <t>1000040099</t>
        </is>
      </c>
      <c r="J36" s="69" t="inlineStr">
        <is>
          <t>夜间施工人工补贴</t>
        </is>
      </c>
      <c r="K36" s="70" t="n"/>
      <c r="L36" s="70" t="n"/>
      <c r="M36" s="71" t="inlineStr">
        <is>
          <t>项</t>
        </is>
      </c>
      <c r="N36" s="72" t="n"/>
      <c r="O36" s="72">
        <f>ROUND(N36*(1+$F$10),2)</f>
        <v/>
      </c>
      <c r="P36" s="73">
        <f>ROUND(K36*N36,2)</f>
        <v/>
      </c>
      <c r="Q36" s="74">
        <f>ROUND(L36*N36,2)</f>
        <v/>
      </c>
      <c r="R36" s="75" t="n"/>
      <c r="S36" s="76" t="n"/>
      <c r="T36" s="77">
        <f>K36-L36</f>
        <v/>
      </c>
      <c r="U36" s="77">
        <f>P36-Q36</f>
        <v/>
      </c>
      <c r="V36" s="77">
        <f>ABS(U36)</f>
        <v/>
      </c>
      <c r="W36" s="78">
        <f>T36/L36</f>
        <v/>
      </c>
      <c r="X36" s="79">
        <f>ABS(W36)</f>
        <v/>
      </c>
      <c r="AH36" s="6" t="inlineStr">
        <is>
          <t>委托书</t>
        </is>
      </c>
    </row>
    <row r="37" ht="11.4" customHeight="1">
      <c r="A37" s="67" t="inlineStr">
        <is>
          <t>44</t>
        </is>
      </c>
      <c r="B37" s="67" t="inlineStr">
        <is>
          <t>1042</t>
        </is>
      </c>
      <c r="C37" s="67" t="inlineStr">
        <is>
          <t>1510</t>
        </is>
      </c>
      <c r="D37" s="68" t="inlineStr">
        <is>
          <t>01</t>
        </is>
      </c>
      <c r="E37" s="68" t="inlineStr">
        <is>
          <t>5 场地发展费</t>
        </is>
      </c>
      <c r="F37" s="68" t="inlineStr">
        <is>
          <t>5.1 场地准备</t>
        </is>
      </c>
      <c r="G37" s="68" t="inlineStr">
        <is>
          <t>场地准备</t>
        </is>
      </c>
      <c r="H37" s="68" t="inlineStr">
        <is>
          <t>地面处理</t>
        </is>
      </c>
      <c r="I37" s="69" t="inlineStr">
        <is>
          <t>1000021740</t>
        </is>
      </c>
      <c r="J37" s="69" t="inlineStr">
        <is>
          <t>地面局部抬高</t>
        </is>
      </c>
      <c r="K37" s="70" t="n"/>
      <c r="L37" s="70" t="n"/>
      <c r="M37" s="71" t="inlineStr">
        <is>
          <t>m2</t>
        </is>
      </c>
      <c r="N37" s="72" t="n">
        <v>88.25</v>
      </c>
      <c r="O37" s="72">
        <f>ROUND(N37*(1+$F$10),2)</f>
        <v/>
      </c>
      <c r="P37" s="73">
        <f>ROUND(K37*N37,2)</f>
        <v/>
      </c>
      <c r="Q37" s="74">
        <f>ROUND(L37*N37,2)</f>
        <v/>
      </c>
      <c r="R37" s="75" t="n"/>
      <c r="S37" s="76" t="n"/>
      <c r="T37" s="77">
        <f>K37-L37</f>
        <v/>
      </c>
      <c r="U37" s="77">
        <f>P37-Q37</f>
        <v/>
      </c>
      <c r="V37" s="77">
        <f>ABS(U37)</f>
        <v/>
      </c>
      <c r="W37" s="78">
        <f>T37/L37</f>
        <v/>
      </c>
      <c r="X37" s="79">
        <f>ABS(W37)</f>
        <v/>
      </c>
      <c r="AG37" s="80" t="inlineStr">
        <is>
          <t>楼板面积</t>
        </is>
      </c>
    </row>
    <row r="38" ht="11.4" customHeight="1">
      <c r="A38" s="67" t="inlineStr">
        <is>
          <t>44</t>
        </is>
      </c>
      <c r="B38" s="67" t="inlineStr">
        <is>
          <t>1042</t>
        </is>
      </c>
      <c r="C38" s="67" t="inlineStr">
        <is>
          <t>1510</t>
        </is>
      </c>
      <c r="D38" s="68" t="inlineStr">
        <is>
          <t>01</t>
        </is>
      </c>
      <c r="E38" s="68" t="inlineStr">
        <is>
          <t>5 场地发展费</t>
        </is>
      </c>
      <c r="F38" s="68" t="inlineStr">
        <is>
          <t>5.1 场地准备</t>
        </is>
      </c>
      <c r="G38" s="68" t="inlineStr">
        <is>
          <t>场地准备</t>
        </is>
      </c>
      <c r="H38" s="68" t="inlineStr">
        <is>
          <t>地面处理</t>
        </is>
      </c>
      <c r="I38" s="69" t="inlineStr">
        <is>
          <t>1000021741</t>
        </is>
      </c>
      <c r="J38" s="69" t="inlineStr">
        <is>
          <t>地面找平（水泥砂浆&gt;50mm时)</t>
        </is>
      </c>
      <c r="K38" s="70" t="n">
        <v>12.77</v>
      </c>
      <c r="L38" s="70" t="n">
        <v>12.72</v>
      </c>
      <c r="M38" s="71" t="inlineStr">
        <is>
          <t>m2</t>
        </is>
      </c>
      <c r="N38" s="72" t="n">
        <v>52.68</v>
      </c>
      <c r="O38" s="72">
        <f>ROUND(N38*(1+$F$10),2)</f>
        <v/>
      </c>
      <c r="P38" s="73">
        <f>ROUND(K38*N38,2)</f>
        <v/>
      </c>
      <c r="Q38" s="74">
        <f>ROUND(L38*N38,2)</f>
        <v/>
      </c>
      <c r="R38" s="75" t="n"/>
      <c r="S38" s="76" t="n"/>
      <c r="T38" s="77">
        <f>K38-L38</f>
        <v/>
      </c>
      <c r="U38" s="77">
        <f>P38-Q38</f>
        <v/>
      </c>
      <c r="V38" s="77">
        <f>ABS(U38)</f>
        <v/>
      </c>
      <c r="W38" s="78">
        <f>T38/L38</f>
        <v/>
      </c>
      <c r="X38" s="79">
        <f>ABS(W38)</f>
        <v/>
      </c>
      <c r="AG38" s="80" t="inlineStr">
        <is>
          <t>楼板面积</t>
        </is>
      </c>
    </row>
    <row r="39" ht="11.4" customHeight="1">
      <c r="A39" s="67" t="inlineStr">
        <is>
          <t>44</t>
        </is>
      </c>
      <c r="B39" s="67" t="inlineStr">
        <is>
          <t>1042</t>
        </is>
      </c>
      <c r="C39" s="67" t="inlineStr">
        <is>
          <t>1510</t>
        </is>
      </c>
      <c r="D39" s="68" t="inlineStr">
        <is>
          <t>01</t>
        </is>
      </c>
      <c r="E39" s="68" t="inlineStr">
        <is>
          <t>5 场地发展费</t>
        </is>
      </c>
      <c r="F39" s="68" t="inlineStr">
        <is>
          <t>5.1 场地准备</t>
        </is>
      </c>
      <c r="G39" s="68" t="inlineStr">
        <is>
          <t>场地准备</t>
        </is>
      </c>
      <c r="H39" s="68" t="inlineStr">
        <is>
          <t>防水处理</t>
        </is>
      </c>
      <c r="I39" s="69" t="inlineStr">
        <is>
          <t>1000021742</t>
        </is>
      </c>
      <c r="J39" s="69" t="inlineStr">
        <is>
          <t>地面防水层（五年保修）</t>
        </is>
      </c>
      <c r="K39" s="70" t="n">
        <v>85.2</v>
      </c>
      <c r="L39" s="70" t="n">
        <v>85.17</v>
      </c>
      <c r="M39" s="71" t="inlineStr">
        <is>
          <t>m2</t>
        </is>
      </c>
      <c r="N39" s="72" t="n">
        <v>60.46</v>
      </c>
      <c r="O39" s="72">
        <f>ROUND(N39*(1+$F$10),2)</f>
        <v/>
      </c>
      <c r="P39" s="73">
        <f>ROUND(K39*N39,2)</f>
        <v/>
      </c>
      <c r="Q39" s="74">
        <f>ROUND(L39*N39,2)</f>
        <v/>
      </c>
      <c r="R39" s="75" t="n"/>
      <c r="S39" s="76" t="n"/>
      <c r="T39" s="77">
        <f>K39-L39</f>
        <v/>
      </c>
      <c r="U39" s="77">
        <f>P39-Q39</f>
        <v/>
      </c>
      <c r="V39" s="77">
        <f>ABS(U39)</f>
        <v/>
      </c>
      <c r="W39" s="78">
        <f>T39/L39</f>
        <v/>
      </c>
      <c r="X39" s="79">
        <f>ABS(W39)</f>
        <v/>
      </c>
      <c r="AG39" s="80" t="inlineStr">
        <is>
          <t>楼板面积+上翻高度*踢脚长</t>
        </is>
      </c>
    </row>
    <row r="40" ht="11.4" customHeight="1">
      <c r="A40" s="67" t="inlineStr">
        <is>
          <t>44</t>
        </is>
      </c>
      <c r="B40" s="67" t="inlineStr">
        <is>
          <t>1042</t>
        </is>
      </c>
      <c r="C40" s="67" t="inlineStr">
        <is>
          <t>1510</t>
        </is>
      </c>
      <c r="D40" s="68" t="inlineStr">
        <is>
          <t>01</t>
        </is>
      </c>
      <c r="E40" s="68" t="inlineStr">
        <is>
          <t>5 场地发展费</t>
        </is>
      </c>
      <c r="F40" s="68" t="inlineStr">
        <is>
          <t>5.1 场地准备</t>
        </is>
      </c>
      <c r="G40" s="68" t="inlineStr">
        <is>
          <t>场地准备</t>
        </is>
      </c>
      <c r="H40" s="68" t="inlineStr">
        <is>
          <t>防水处理</t>
        </is>
      </c>
      <c r="I40" s="69" t="inlineStr">
        <is>
          <t>1000021743</t>
        </is>
      </c>
      <c r="J40" s="69" t="inlineStr">
        <is>
          <t>顶板／外墙防水层</t>
        </is>
      </c>
      <c r="K40" s="70" t="n"/>
      <c r="L40" s="70" t="n"/>
      <c r="M40" s="71" t="inlineStr">
        <is>
          <t>m2</t>
        </is>
      </c>
      <c r="N40" s="72" t="n">
        <v>71.58</v>
      </c>
      <c r="O40" s="72">
        <f>ROUND(N40*(1+$F$10),2)</f>
        <v/>
      </c>
      <c r="P40" s="73">
        <f>ROUND(K40*N40,2)</f>
        <v/>
      </c>
      <c r="Q40" s="74">
        <f>ROUND(L40*N40,2)</f>
        <v/>
      </c>
      <c r="R40" s="75" t="n"/>
      <c r="S40" s="76" t="n"/>
      <c r="T40" s="77">
        <f>K40-L40</f>
        <v/>
      </c>
      <c r="U40" s="77">
        <f>P40-Q40</f>
        <v/>
      </c>
      <c r="V40" s="77">
        <f>ABS(U40)</f>
        <v/>
      </c>
      <c r="W40" s="78">
        <f>T40/L40</f>
        <v/>
      </c>
      <c r="X40" s="79">
        <f>ABS(W40)</f>
        <v/>
      </c>
      <c r="AH40" s="80" t="inlineStr">
        <is>
          <t>调整</t>
        </is>
      </c>
    </row>
    <row r="41" ht="11.4" customHeight="1">
      <c r="A41" s="67" t="inlineStr">
        <is>
          <t>44</t>
        </is>
      </c>
      <c r="B41" s="67" t="inlineStr">
        <is>
          <t>1042</t>
        </is>
      </c>
      <c r="C41" s="67" t="inlineStr">
        <is>
          <t>1510</t>
        </is>
      </c>
      <c r="D41" s="68" t="inlineStr">
        <is>
          <t>01</t>
        </is>
      </c>
      <c r="E41" s="68" t="inlineStr">
        <is>
          <t>5 场地发展费</t>
        </is>
      </c>
      <c r="F41" s="68" t="inlineStr">
        <is>
          <t>5.1 场地准备</t>
        </is>
      </c>
      <c r="G41" s="68" t="inlineStr">
        <is>
          <t>场地准备</t>
        </is>
      </c>
      <c r="H41" s="68" t="inlineStr">
        <is>
          <t>防水处理</t>
        </is>
      </c>
      <c r="I41" s="69" t="inlineStr">
        <is>
          <t>1000040031</t>
        </is>
      </c>
      <c r="J41" s="69" t="inlineStr">
        <is>
          <t>门头钢构架含防水层（当招牌悬挑时）</t>
        </is>
      </c>
      <c r="K41" s="70" t="n"/>
      <c r="L41" s="70" t="n"/>
      <c r="M41" s="71" t="inlineStr">
        <is>
          <t>吨</t>
        </is>
      </c>
      <c r="N41" s="72" t="n">
        <v>11207.21</v>
      </c>
      <c r="O41" s="72">
        <f>ROUND(N41*(1+$F$10),2)</f>
        <v/>
      </c>
      <c r="P41" s="73">
        <f>ROUND(K41*N41,2)</f>
        <v/>
      </c>
      <c r="Q41" s="74">
        <f>ROUND(L41*N41,2)</f>
        <v/>
      </c>
      <c r="R41" s="75" t="n"/>
      <c r="S41" s="76" t="n"/>
      <c r="T41" s="77">
        <f>K41-L41</f>
        <v/>
      </c>
      <c r="U41" s="77">
        <f>P41-Q41</f>
        <v/>
      </c>
      <c r="V41" s="77">
        <f>ABS(U41)</f>
        <v/>
      </c>
      <c r="W41" s="78">
        <f>T41/L41</f>
        <v/>
      </c>
      <c r="X41" s="79">
        <f>ABS(W41)</f>
        <v/>
      </c>
      <c r="AG41" s="81" t="inlineStr">
        <is>
          <t>复合天花板
外挑1.5m以上，0.013单价</t>
        </is>
      </c>
    </row>
    <row r="42" ht="11.4" customHeight="1">
      <c r="A42" s="67" t="inlineStr">
        <is>
          <t>45</t>
        </is>
      </c>
      <c r="B42" s="67" t="inlineStr">
        <is>
          <t>1043</t>
        </is>
      </c>
      <c r="C42" s="67" t="inlineStr">
        <is>
          <t>1520</t>
        </is>
      </c>
      <c r="D42" s="68" t="inlineStr">
        <is>
          <t>01</t>
        </is>
      </c>
      <c r="E42" s="68" t="inlineStr">
        <is>
          <t>5 场地发展费</t>
        </is>
      </c>
      <c r="F42" s="68" t="inlineStr">
        <is>
          <t>5.2 结构加固</t>
        </is>
      </c>
      <c r="G42" s="68" t="inlineStr">
        <is>
          <t>结构加固</t>
        </is>
      </c>
      <c r="H42" s="68" t="inlineStr">
        <is>
          <t>钢结构</t>
        </is>
      </c>
      <c r="I42" s="69" t="inlineStr">
        <is>
          <t>1000021744</t>
        </is>
      </c>
      <c r="J42" s="69" t="inlineStr">
        <is>
          <t>层高大于6米时吊顶用角钢及吊筋补贴</t>
        </is>
      </c>
      <c r="K42" s="70" t="n"/>
      <c r="L42" s="70" t="n"/>
      <c r="M42" s="71" t="inlineStr">
        <is>
          <t>m2</t>
        </is>
      </c>
      <c r="N42" s="72" t="n">
        <v>14</v>
      </c>
      <c r="O42" s="72">
        <f>ROUND(N42*(1+$F$10),2)</f>
        <v/>
      </c>
      <c r="P42" s="73">
        <f>ROUND(K42*N42,2)</f>
        <v/>
      </c>
      <c r="Q42" s="74">
        <f>ROUND(L42*N42,2)</f>
        <v/>
      </c>
      <c r="R42" s="75" t="n"/>
      <c r="S42" s="76" t="n"/>
      <c r="T42" s="77">
        <f>K42-L42</f>
        <v/>
      </c>
      <c r="U42" s="77">
        <f>P42-Q42</f>
        <v/>
      </c>
      <c r="V42" s="77">
        <f>ABS(U42)</f>
        <v/>
      </c>
      <c r="W42" s="78">
        <f>T42/L42</f>
        <v/>
      </c>
      <c r="X42" s="79">
        <f>ABS(W42)</f>
        <v/>
      </c>
      <c r="AH42" s="80" t="inlineStr">
        <is>
          <t>调整</t>
        </is>
      </c>
    </row>
    <row r="43" ht="11.4" customHeight="1">
      <c r="A43" s="67" t="inlineStr">
        <is>
          <t>73</t>
        </is>
      </c>
      <c r="B43" s="67" t="inlineStr">
        <is>
          <t>1071</t>
        </is>
      </c>
      <c r="C43" s="67" t="inlineStr">
        <is>
          <t>1614</t>
        </is>
      </c>
      <c r="D43" s="68" t="inlineStr">
        <is>
          <t>01</t>
        </is>
      </c>
      <c r="E43" s="68" t="inlineStr">
        <is>
          <t>6 物业施工费</t>
        </is>
      </c>
      <c r="F43" s="68" t="inlineStr">
        <is>
          <t>6.1 总承包工程</t>
        </is>
      </c>
      <c r="G43" s="68" t="inlineStr">
        <is>
          <t>6.1.4 空调通风工程</t>
        </is>
      </c>
      <c r="H43" s="68" t="inlineStr">
        <is>
          <t>空调机/风机安装</t>
        </is>
      </c>
      <c r="I43" s="69" t="inlineStr">
        <is>
          <t>1000021745</t>
        </is>
      </c>
      <c r="J43" s="69" t="inlineStr">
        <is>
          <t>空调室外机（含厨房设备室外机）架空钢构平台</t>
        </is>
      </c>
      <c r="K43" s="70" t="n">
        <v>0.5</v>
      </c>
      <c r="L43" s="70" t="n">
        <v>0.5</v>
      </c>
      <c r="M43" s="71" t="inlineStr">
        <is>
          <t>吨</t>
        </is>
      </c>
      <c r="N43" s="72" t="n">
        <v>8999.799999999999</v>
      </c>
      <c r="O43" s="72">
        <f>ROUND(N43*(1+$F$10),2)</f>
        <v/>
      </c>
      <c r="P43" s="73">
        <f>ROUND(K43*N43,2)</f>
        <v/>
      </c>
      <c r="Q43" s="74">
        <f>ROUND(L43*N43,2)</f>
        <v/>
      </c>
      <c r="R43" s="75" t="n"/>
      <c r="S43" s="76" t="n"/>
      <c r="T43" s="77">
        <f>K43-L43</f>
        <v/>
      </c>
      <c r="U43" s="77">
        <f>P43-Q43</f>
        <v/>
      </c>
      <c r="V43" s="77">
        <f>ABS(U43)</f>
        <v/>
      </c>
      <c r="W43" s="78">
        <f>T43/L43</f>
        <v/>
      </c>
      <c r="X43" s="79">
        <f>ABS(W43)</f>
        <v/>
      </c>
      <c r="AH43" s="80" t="inlineStr">
        <is>
          <t>委托书</t>
        </is>
      </c>
    </row>
    <row r="44" ht="11.4" customHeight="1">
      <c r="A44" s="67" t="inlineStr">
        <is>
          <t>73</t>
        </is>
      </c>
      <c r="B44" s="67" t="inlineStr">
        <is>
          <t>1071</t>
        </is>
      </c>
      <c r="C44" s="67" t="inlineStr">
        <is>
          <t>1614</t>
        </is>
      </c>
      <c r="D44" s="68" t="inlineStr">
        <is>
          <t>01</t>
        </is>
      </c>
      <c r="E44" s="68" t="inlineStr">
        <is>
          <t>6 物业施工费</t>
        </is>
      </c>
      <c r="F44" s="68" t="inlineStr">
        <is>
          <t>6.1 总承包工程</t>
        </is>
      </c>
      <c r="G44" s="68" t="inlineStr">
        <is>
          <t>6.1.4 空调通风工程</t>
        </is>
      </c>
      <c r="H44" s="68" t="inlineStr">
        <is>
          <t>空调机/风机安装</t>
        </is>
      </c>
      <c r="I44" s="69" t="inlineStr">
        <is>
          <t>1000021746</t>
        </is>
      </c>
      <c r="J44" s="69" t="inlineStr">
        <is>
          <t>空调室外机（含厨房设备室外机）混凝土基座</t>
        </is>
      </c>
      <c r="K44" s="70" t="n"/>
      <c r="L44" s="70" t="n"/>
      <c r="M44" s="71" t="inlineStr">
        <is>
          <t>项</t>
        </is>
      </c>
      <c r="N44" s="72" t="n">
        <v>3313.15</v>
      </c>
      <c r="O44" s="72">
        <f>ROUND(N44*(1+$F$10),2)</f>
        <v/>
      </c>
      <c r="P44" s="73">
        <f>ROUND(K44*N44,2)</f>
        <v/>
      </c>
      <c r="Q44" s="74">
        <f>ROUND(L44*N44,2)</f>
        <v/>
      </c>
      <c r="R44" s="75" t="n"/>
      <c r="S44" s="76" t="n"/>
      <c r="T44" s="77">
        <f>K44-L44</f>
        <v/>
      </c>
      <c r="U44" s="77">
        <f>P44-Q44</f>
        <v/>
      </c>
      <c r="V44" s="77">
        <f>ABS(U44)</f>
        <v/>
      </c>
      <c r="W44" s="78">
        <f>T44/L44</f>
        <v/>
      </c>
      <c r="X44" s="79">
        <f>ABS(W44)</f>
        <v/>
      </c>
      <c r="AH44" s="80" t="inlineStr">
        <is>
          <t>委托书</t>
        </is>
      </c>
    </row>
    <row r="45" ht="11.4" customHeight="1">
      <c r="A45" s="67" t="inlineStr">
        <is>
          <t>73</t>
        </is>
      </c>
      <c r="B45" s="67" t="inlineStr">
        <is>
          <t>1071</t>
        </is>
      </c>
      <c r="C45" s="67" t="inlineStr">
        <is>
          <t>1614</t>
        </is>
      </c>
      <c r="D45" s="68" t="inlineStr">
        <is>
          <t>01</t>
        </is>
      </c>
      <c r="E45" s="68" t="inlineStr">
        <is>
          <t>6 物业施工费</t>
        </is>
      </c>
      <c r="F45" s="68" t="inlineStr">
        <is>
          <t>6.1 总承包工程</t>
        </is>
      </c>
      <c r="G45" s="68" t="inlineStr">
        <is>
          <t>6.1.4 空调通风工程</t>
        </is>
      </c>
      <c r="H45" s="68" t="inlineStr">
        <is>
          <t>空调机/风机安装</t>
        </is>
      </c>
      <c r="I45" s="69" t="inlineStr">
        <is>
          <t>1000022172</t>
        </is>
      </c>
      <c r="J45" s="69" t="inlineStr">
        <is>
          <t>空调外机铁丝网围壁</t>
        </is>
      </c>
      <c r="K45" s="70" t="n"/>
      <c r="L45" s="70" t="n"/>
      <c r="M45" s="71" t="inlineStr">
        <is>
          <t>m2</t>
        </is>
      </c>
      <c r="N45" s="72" t="n">
        <v>114.79</v>
      </c>
      <c r="O45" s="72">
        <f>ROUND(N45*(1+$F$10),2)</f>
        <v/>
      </c>
      <c r="P45" s="73">
        <f>ROUND(K45*N45,2)</f>
        <v/>
      </c>
      <c r="Q45" s="74">
        <f>ROUND(L45*N45,2)</f>
        <v/>
      </c>
      <c r="R45" s="75" t="n"/>
      <c r="S45" s="76" t="n"/>
      <c r="T45" s="77">
        <f>K45-L45</f>
        <v/>
      </c>
      <c r="U45" s="77">
        <f>P45-Q45</f>
        <v/>
      </c>
      <c r="V45" s="77">
        <f>ABS(U45)</f>
        <v/>
      </c>
      <c r="W45" s="78">
        <f>T45/L45</f>
        <v/>
      </c>
      <c r="X45" s="79">
        <f>ABS(W45)</f>
        <v/>
      </c>
      <c r="AG45" s="80" t="inlineStr">
        <is>
          <t>基本墙面积</t>
        </is>
      </c>
    </row>
    <row r="46" ht="11.4" customHeight="1">
      <c r="A46" s="67" t="inlineStr">
        <is>
          <t>45</t>
        </is>
      </c>
      <c r="B46" s="67" t="inlineStr">
        <is>
          <t>1043</t>
        </is>
      </c>
      <c r="C46" s="67" t="inlineStr">
        <is>
          <t>1520</t>
        </is>
      </c>
      <c r="D46" s="68" t="inlineStr">
        <is>
          <t>01</t>
        </is>
      </c>
      <c r="E46" s="68" t="inlineStr">
        <is>
          <t>5 场地发展费</t>
        </is>
      </c>
      <c r="F46" s="68" t="inlineStr">
        <is>
          <t>5.2 结构加固</t>
        </is>
      </c>
      <c r="G46" s="68" t="inlineStr">
        <is>
          <t>结构加固</t>
        </is>
      </c>
      <c r="H46" s="68" t="inlineStr">
        <is>
          <t>钢结构</t>
        </is>
      </c>
      <c r="I46" s="69" t="inlineStr">
        <is>
          <t>1000040100</t>
        </is>
      </c>
      <c r="J46" s="69" t="inlineStr">
        <is>
          <t>钢构空调室外机架空平台刷防锈漆</t>
        </is>
      </c>
      <c r="K46" s="70" t="n"/>
      <c r="L46" s="70" t="n"/>
      <c r="M46" s="71" t="inlineStr">
        <is>
          <t>项</t>
        </is>
      </c>
      <c r="N46" s="72" t="n"/>
      <c r="O46" s="72">
        <f>ROUND(N46*(1+$F$10),2)</f>
        <v/>
      </c>
      <c r="P46" s="73">
        <f>ROUND(K46*N46,2)</f>
        <v/>
      </c>
      <c r="Q46" s="74">
        <f>ROUND(L46*N46,2)</f>
        <v/>
      </c>
      <c r="R46" s="75" t="n"/>
      <c r="S46" s="76" t="n"/>
      <c r="T46" s="77">
        <f>K46-L46</f>
        <v/>
      </c>
      <c r="U46" s="77">
        <f>P46-Q46</f>
        <v/>
      </c>
      <c r="V46" s="77">
        <f>ABS(U46)</f>
        <v/>
      </c>
      <c r="W46" s="78">
        <f>T46/L46</f>
        <v/>
      </c>
      <c r="X46" s="79">
        <f>ABS(W46)</f>
        <v/>
      </c>
      <c r="AH46" s="80" t="inlineStr">
        <is>
          <t>委托书</t>
        </is>
      </c>
    </row>
    <row r="47" ht="11.4" customHeight="1">
      <c r="A47" s="67" t="inlineStr">
        <is>
          <t>45</t>
        </is>
      </c>
      <c r="B47" s="67" t="inlineStr">
        <is>
          <t>1043</t>
        </is>
      </c>
      <c r="C47" s="67" t="inlineStr">
        <is>
          <t>1520</t>
        </is>
      </c>
      <c r="D47" s="68" t="inlineStr">
        <is>
          <t>01</t>
        </is>
      </c>
      <c r="E47" s="68" t="inlineStr">
        <is>
          <t>5 场地发展费</t>
        </is>
      </c>
      <c r="F47" s="68" t="inlineStr">
        <is>
          <t>5.2 结构加固</t>
        </is>
      </c>
      <c r="G47" s="68" t="inlineStr">
        <is>
          <t>结构加固</t>
        </is>
      </c>
      <c r="H47" s="68" t="inlineStr">
        <is>
          <t>结构加固</t>
        </is>
      </c>
      <c r="I47" s="69" t="inlineStr">
        <is>
          <t>1000040101</t>
        </is>
      </c>
      <c r="J47" s="69" t="inlineStr">
        <is>
          <t>结构加固</t>
        </is>
      </c>
      <c r="K47" s="70" t="n"/>
      <c r="L47" s="70" t="n"/>
      <c r="M47" s="71" t="inlineStr">
        <is>
          <t>项</t>
        </is>
      </c>
      <c r="N47" s="72" t="n"/>
      <c r="O47" s="72">
        <f>ROUND(N47*(1+$F$10),2)</f>
        <v/>
      </c>
      <c r="P47" s="73">
        <f>ROUND(K47*N47,2)</f>
        <v/>
      </c>
      <c r="Q47" s="74">
        <f>ROUND(L47*N47,2)</f>
        <v/>
      </c>
      <c r="R47" s="75" t="n"/>
      <c r="S47" s="76" t="n"/>
      <c r="T47" s="77">
        <f>K47-L47</f>
        <v/>
      </c>
      <c r="U47" s="77">
        <f>P47-Q47</f>
        <v/>
      </c>
      <c r="V47" s="77">
        <f>ABS(U47)</f>
        <v/>
      </c>
      <c r="W47" s="78">
        <f>T47/L47</f>
        <v/>
      </c>
      <c r="X47" s="79">
        <f>ABS(W47)</f>
        <v/>
      </c>
      <c r="AH47" s="80" t="inlineStr">
        <is>
          <t>调整</t>
        </is>
      </c>
    </row>
    <row r="48" ht="11.4" customHeight="1">
      <c r="A48" s="67" t="inlineStr">
        <is>
          <t>46</t>
        </is>
      </c>
      <c r="B48" s="67" t="inlineStr">
        <is>
          <t>1044</t>
        </is>
      </c>
      <c r="C48" s="67" t="inlineStr">
        <is>
          <t>1530</t>
        </is>
      </c>
      <c r="D48" s="68" t="inlineStr">
        <is>
          <t>01</t>
        </is>
      </c>
      <c r="E48" s="68" t="inlineStr">
        <is>
          <t>5 场地发展费</t>
        </is>
      </c>
      <c r="F48" s="68" t="inlineStr">
        <is>
          <t>5.3 物业外工程</t>
        </is>
      </c>
      <c r="G48" s="68" t="inlineStr">
        <is>
          <t>物业外工程</t>
        </is>
      </c>
      <c r="H48" s="68" t="inlineStr">
        <is>
          <t>地面</t>
        </is>
      </c>
      <c r="I48" s="69" t="inlineStr">
        <is>
          <t>1000021446</t>
        </is>
      </c>
      <c r="J48" s="69" t="inlineStr">
        <is>
          <t>室外地坪及踏步贴砖（琛雄）</t>
        </is>
      </c>
      <c r="K48" s="70" t="n"/>
      <c r="L48" s="70" t="n"/>
      <c r="M48" s="71" t="inlineStr">
        <is>
          <t>m2</t>
        </is>
      </c>
      <c r="N48" s="72" t="n">
        <v>174.03</v>
      </c>
      <c r="O48" s="72">
        <f>ROUND(N48*(1+$F$10),2)</f>
        <v/>
      </c>
      <c r="P48" s="73">
        <f>ROUND(K48*N48,2)</f>
        <v/>
      </c>
      <c r="Q48" s="74">
        <f>ROUND(L48*N48,2)</f>
        <v/>
      </c>
      <c r="R48" s="75" t="n"/>
      <c r="S48" s="76" t="n"/>
      <c r="T48" s="77">
        <f>K48-L48</f>
        <v/>
      </c>
      <c r="U48" s="77">
        <f>P48-Q48</f>
        <v/>
      </c>
      <c r="V48" s="77">
        <f>ABS(U48)</f>
        <v/>
      </c>
      <c r="W48" s="78">
        <f>T48/L48</f>
        <v/>
      </c>
      <c r="X48" s="79">
        <f>ABS(W48)</f>
        <v/>
      </c>
      <c r="AG48" s="80" t="inlineStr">
        <is>
          <t>楼板面积+踏步侧边基本墙面积</t>
        </is>
      </c>
    </row>
    <row r="49" ht="11.4" customHeight="1">
      <c r="A49" s="67" t="inlineStr">
        <is>
          <t>46</t>
        </is>
      </c>
      <c r="B49" s="67" t="inlineStr">
        <is>
          <t>1044</t>
        </is>
      </c>
      <c r="C49" s="67" t="inlineStr">
        <is>
          <t>1530</t>
        </is>
      </c>
      <c r="D49" s="68" t="inlineStr">
        <is>
          <t>01</t>
        </is>
      </c>
      <c r="E49" s="68" t="inlineStr">
        <is>
          <t>5 场地发展费</t>
        </is>
      </c>
      <c r="F49" s="68" t="inlineStr">
        <is>
          <t>5.3 物业外工程</t>
        </is>
      </c>
      <c r="G49" s="68" t="inlineStr">
        <is>
          <t>物业外工程</t>
        </is>
      </c>
      <c r="H49" s="68" t="inlineStr">
        <is>
          <t>地面</t>
        </is>
      </c>
      <c r="I49" s="69" t="inlineStr">
        <is>
          <t>1000021642</t>
        </is>
      </c>
      <c r="J49" s="69" t="inlineStr">
        <is>
          <t>室外地坪及踏步贴砖（共荣）</t>
        </is>
      </c>
      <c r="K49" s="70" t="n"/>
      <c r="L49" s="70" t="n"/>
      <c r="M49" s="71" t="inlineStr">
        <is>
          <t>m2</t>
        </is>
      </c>
      <c r="N49" s="72" t="n">
        <v>159.51</v>
      </c>
      <c r="O49" s="72">
        <f>ROUND(N49*(1+$F$10),2)</f>
        <v/>
      </c>
      <c r="P49" s="73">
        <f>ROUND(K49*N49,2)</f>
        <v/>
      </c>
      <c r="Q49" s="74">
        <f>ROUND(L49*N49,2)</f>
        <v/>
      </c>
      <c r="R49" s="75" t="n"/>
      <c r="S49" s="76" t="n"/>
      <c r="T49" s="77">
        <f>K49-L49</f>
        <v/>
      </c>
      <c r="U49" s="77">
        <f>P49-Q49</f>
        <v/>
      </c>
      <c r="V49" s="77">
        <f>ABS(U49)</f>
        <v/>
      </c>
      <c r="W49" s="78">
        <f>T49/L49</f>
        <v/>
      </c>
      <c r="X49" s="79">
        <f>ABS(W49)</f>
        <v/>
      </c>
      <c r="AG49" s="80" t="inlineStr">
        <is>
          <t>楼板面积+踏步侧边基本墙面积</t>
        </is>
      </c>
    </row>
    <row r="50" ht="11.4" customHeight="1">
      <c r="A50" s="67" t="inlineStr">
        <is>
          <t>46</t>
        </is>
      </c>
      <c r="B50" s="67" t="inlineStr">
        <is>
          <t>1044</t>
        </is>
      </c>
      <c r="C50" s="67" t="inlineStr">
        <is>
          <t>1530</t>
        </is>
      </c>
      <c r="D50" s="68" t="inlineStr">
        <is>
          <t>01</t>
        </is>
      </c>
      <c r="E50" s="68" t="inlineStr">
        <is>
          <t>5 场地发展费</t>
        </is>
      </c>
      <c r="F50" s="68" t="inlineStr">
        <is>
          <t>5.3 物业外工程</t>
        </is>
      </c>
      <c r="G50" s="68" t="inlineStr">
        <is>
          <t>物业外工程</t>
        </is>
      </c>
      <c r="H50" s="68" t="inlineStr">
        <is>
          <t>地面</t>
        </is>
      </c>
      <c r="I50" s="69" t="inlineStr">
        <is>
          <t>1000021447</t>
        </is>
      </c>
      <c r="J50" s="69" t="inlineStr">
        <is>
          <t>室外地坪及踏步贴砖（冠军）</t>
        </is>
      </c>
      <c r="K50" s="70" t="n"/>
      <c r="L50" s="70" t="n"/>
      <c r="M50" s="71" t="inlineStr">
        <is>
          <t>m2</t>
        </is>
      </c>
      <c r="N50" s="72" t="n">
        <v>184.92</v>
      </c>
      <c r="O50" s="72">
        <f>ROUND(N50*(1+$F$10),2)</f>
        <v/>
      </c>
      <c r="P50" s="73">
        <f>ROUND(K50*N50,2)</f>
        <v/>
      </c>
      <c r="Q50" s="74">
        <f>ROUND(L50*N50,2)</f>
        <v/>
      </c>
      <c r="R50" s="75" t="n"/>
      <c r="S50" s="76" t="n"/>
      <c r="T50" s="77">
        <f>K50-L50</f>
        <v/>
      </c>
      <c r="U50" s="77">
        <f>P50-Q50</f>
        <v/>
      </c>
      <c r="V50" s="77">
        <f>ABS(U50)</f>
        <v/>
      </c>
      <c r="W50" s="78">
        <f>T50/L50</f>
        <v/>
      </c>
      <c r="X50" s="79">
        <f>ABS(W50)</f>
        <v/>
      </c>
      <c r="AG50" s="80" t="inlineStr">
        <is>
          <t>楼板面积+踏步侧边基本墙面积</t>
        </is>
      </c>
    </row>
    <row r="51" ht="11.4" customHeight="1">
      <c r="A51" s="67" t="inlineStr">
        <is>
          <t>46</t>
        </is>
      </c>
      <c r="B51" s="67" t="inlineStr">
        <is>
          <t>1044</t>
        </is>
      </c>
      <c r="C51" s="67" t="inlineStr">
        <is>
          <t>1530</t>
        </is>
      </c>
      <c r="D51" s="68" t="inlineStr">
        <is>
          <t>01</t>
        </is>
      </c>
      <c r="E51" s="68" t="inlineStr">
        <is>
          <t>5 场地发展费</t>
        </is>
      </c>
      <c r="F51" s="68" t="inlineStr">
        <is>
          <t>5.3 物业外工程</t>
        </is>
      </c>
      <c r="G51" s="68" t="inlineStr">
        <is>
          <t>物业外工程</t>
        </is>
      </c>
      <c r="H51" s="68" t="inlineStr">
        <is>
          <t>地面</t>
        </is>
      </c>
      <c r="I51" s="69" t="inlineStr">
        <is>
          <t>1000021747</t>
        </is>
      </c>
      <c r="J51" s="69" t="inlineStr">
        <is>
          <t>室外地坪及踏步贴芝麻灰花岗石</t>
        </is>
      </c>
      <c r="K51" s="70" t="n"/>
      <c r="L51" s="70" t="n"/>
      <c r="M51" s="71" t="inlineStr">
        <is>
          <t>m2</t>
        </is>
      </c>
      <c r="N51" s="72" t="n">
        <v>288.05</v>
      </c>
      <c r="O51" s="72">
        <f>ROUND(N51*(1+$F$10),2)</f>
        <v/>
      </c>
      <c r="P51" s="73">
        <f>ROUND(K51*N51,2)</f>
        <v/>
      </c>
      <c r="Q51" s="74">
        <f>ROUND(L51*N51,2)</f>
        <v/>
      </c>
      <c r="R51" s="75" t="n"/>
      <c r="S51" s="76" t="n"/>
      <c r="T51" s="77">
        <f>K51-L51</f>
        <v/>
      </c>
      <c r="U51" s="77">
        <f>P51-Q51</f>
        <v/>
      </c>
      <c r="V51" s="77">
        <f>ABS(U51)</f>
        <v/>
      </c>
      <c r="W51" s="78">
        <f>T51/L51</f>
        <v/>
      </c>
      <c r="X51" s="79">
        <f>ABS(W51)</f>
        <v/>
      </c>
      <c r="AG51" s="80" t="inlineStr">
        <is>
          <t>楼板面积+踏步侧边基本墙面积</t>
        </is>
      </c>
    </row>
    <row r="52" ht="11.4" customHeight="1">
      <c r="A52" s="67" t="inlineStr">
        <is>
          <t>46</t>
        </is>
      </c>
      <c r="B52" s="67" t="inlineStr">
        <is>
          <t>1044</t>
        </is>
      </c>
      <c r="C52" s="67" t="inlineStr">
        <is>
          <t>1530</t>
        </is>
      </c>
      <c r="D52" s="68" t="inlineStr">
        <is>
          <t>01</t>
        </is>
      </c>
      <c r="E52" s="68" t="inlineStr">
        <is>
          <t>5 场地发展费</t>
        </is>
      </c>
      <c r="F52" s="68" t="inlineStr">
        <is>
          <t>5.3 物业外工程</t>
        </is>
      </c>
      <c r="G52" s="68" t="inlineStr">
        <is>
          <t>物业外工程</t>
        </is>
      </c>
      <c r="H52" s="68" t="inlineStr">
        <is>
          <t>地面</t>
        </is>
      </c>
      <c r="I52" s="69" t="inlineStr">
        <is>
          <t>1000021748</t>
        </is>
      </c>
      <c r="J52" s="69" t="inlineStr">
        <is>
          <t>室外踏步基础</t>
        </is>
      </c>
      <c r="K52" s="70" t="n"/>
      <c r="L52" s="70" t="n"/>
      <c r="M52" s="71" t="inlineStr">
        <is>
          <t>m3</t>
        </is>
      </c>
      <c r="N52" s="72" t="n">
        <v>531.74</v>
      </c>
      <c r="O52" s="72">
        <f>ROUND(N52*(1+$F$10),2)</f>
        <v/>
      </c>
      <c r="P52" s="73">
        <f>ROUND(K52*N52,2)</f>
        <v/>
      </c>
      <c r="Q52" s="74">
        <f>ROUND(L52*N52,2)</f>
        <v/>
      </c>
      <c r="R52" s="75" t="n"/>
      <c r="S52" s="76" t="n"/>
      <c r="T52" s="77">
        <f>K52-L52</f>
        <v/>
      </c>
      <c r="U52" s="77">
        <f>P52-Q52</f>
        <v/>
      </c>
      <c r="V52" s="77">
        <f>ABS(U52)</f>
        <v/>
      </c>
      <c r="W52" s="78">
        <f>T52/L52</f>
        <v/>
      </c>
      <c r="X52" s="79">
        <f>ABS(W52)</f>
        <v/>
      </c>
      <c r="AG52" s="80" t="inlineStr">
        <is>
          <t>常规模型-&gt;体积</t>
        </is>
      </c>
    </row>
    <row r="53" ht="11.4" customHeight="1">
      <c r="A53" s="67" t="inlineStr">
        <is>
          <t>46</t>
        </is>
      </c>
      <c r="B53" s="67" t="inlineStr">
        <is>
          <t>1044</t>
        </is>
      </c>
      <c r="C53" s="67" t="inlineStr">
        <is>
          <t>1530</t>
        </is>
      </c>
      <c r="D53" s="68" t="inlineStr">
        <is>
          <t>01</t>
        </is>
      </c>
      <c r="E53" s="68" t="inlineStr">
        <is>
          <t>5 场地发展费</t>
        </is>
      </c>
      <c r="F53" s="68" t="inlineStr">
        <is>
          <t>5.3 物业外工程</t>
        </is>
      </c>
      <c r="G53" s="68" t="inlineStr">
        <is>
          <t>物业外工程</t>
        </is>
      </c>
      <c r="H53" s="68" t="inlineStr">
        <is>
          <t>地面</t>
        </is>
      </c>
      <c r="I53" s="69" t="inlineStr">
        <is>
          <t>1000021516</t>
        </is>
      </c>
      <c r="J53" s="69" t="inlineStr">
        <is>
          <t>步级沿口火烧石--防滑条</t>
        </is>
      </c>
      <c r="K53" s="70" t="n"/>
      <c r="L53" s="70" t="n"/>
      <c r="M53" s="71" t="inlineStr">
        <is>
          <t>米</t>
        </is>
      </c>
      <c r="N53" s="72" t="n">
        <v>47.51</v>
      </c>
      <c r="O53" s="72">
        <f>ROUND(N53*(1+$F$10),2)</f>
        <v/>
      </c>
      <c r="P53" s="73">
        <f>ROUND(K53*N53,2)</f>
        <v/>
      </c>
      <c r="Q53" s="74">
        <f>ROUND(L53*N53,2)</f>
        <v/>
      </c>
      <c r="R53" s="75" t="n"/>
      <c r="S53" s="76" t="n"/>
      <c r="T53" s="77">
        <f>K53-L53</f>
        <v/>
      </c>
      <c r="U53" s="77">
        <f>P53-Q53</f>
        <v/>
      </c>
      <c r="V53" s="77">
        <f>ABS(U53)</f>
        <v/>
      </c>
      <c r="W53" s="78">
        <f>T53/L53</f>
        <v/>
      </c>
      <c r="X53" s="79">
        <f>ABS(W53)</f>
        <v/>
      </c>
      <c r="AG53" s="80" t="inlineStr">
        <is>
          <t>楼板边长度</t>
        </is>
      </c>
    </row>
    <row r="54" ht="11.4" customHeight="1">
      <c r="A54" s="67" t="inlineStr">
        <is>
          <t>46</t>
        </is>
      </c>
      <c r="B54" s="67" t="inlineStr">
        <is>
          <t>1044</t>
        </is>
      </c>
      <c r="C54" s="67" t="inlineStr">
        <is>
          <t>1530</t>
        </is>
      </c>
      <c r="D54" s="68" t="inlineStr">
        <is>
          <t>01</t>
        </is>
      </c>
      <c r="E54" s="68" t="inlineStr">
        <is>
          <t>5 场地发展费</t>
        </is>
      </c>
      <c r="F54" s="68" t="inlineStr">
        <is>
          <t>5.3 物业外工程</t>
        </is>
      </c>
      <c r="G54" s="68" t="inlineStr">
        <is>
          <t>物业外工程</t>
        </is>
      </c>
      <c r="H54" s="68" t="inlineStr">
        <is>
          <t>地面</t>
        </is>
      </c>
      <c r="I54" s="69" t="inlineStr">
        <is>
          <t>1000041816</t>
        </is>
      </c>
      <c r="J54" s="69" t="inlineStr">
        <is>
          <t>步级沿口火烧石--防滑条（共荣）</t>
        </is>
      </c>
      <c r="K54" s="70" t="n"/>
      <c r="L54" s="70" t="n"/>
      <c r="M54" s="71" t="inlineStr">
        <is>
          <t>米</t>
        </is>
      </c>
      <c r="N54" s="72" t="n">
        <v>43.88</v>
      </c>
      <c r="O54" s="72">
        <f>ROUND(N54*(1+$F$10),2)</f>
        <v/>
      </c>
      <c r="P54" s="73">
        <f>ROUND(K54*N54,2)</f>
        <v/>
      </c>
      <c r="Q54" s="74">
        <f>ROUND(L54*N54,2)</f>
        <v/>
      </c>
      <c r="R54" s="75" t="n"/>
      <c r="S54" s="76" t="n"/>
      <c r="T54" s="77">
        <f>K54-L54</f>
        <v/>
      </c>
      <c r="U54" s="77">
        <f>P54-Q54</f>
        <v/>
      </c>
      <c r="V54" s="77">
        <f>ABS(U54)</f>
        <v/>
      </c>
      <c r="W54" s="78">
        <f>T54/L54</f>
        <v/>
      </c>
      <c r="X54" s="79">
        <f>ABS(W54)</f>
        <v/>
      </c>
      <c r="AG54" s="80" t="inlineStr">
        <is>
          <t>楼板边长度</t>
        </is>
      </c>
    </row>
    <row r="55" ht="11.4" customHeight="1">
      <c r="A55" s="67" t="inlineStr">
        <is>
          <t>46</t>
        </is>
      </c>
      <c r="B55" s="67" t="inlineStr">
        <is>
          <t>1044</t>
        </is>
      </c>
      <c r="C55" s="67" t="inlineStr">
        <is>
          <t>1530</t>
        </is>
      </c>
      <c r="D55" s="68" t="inlineStr">
        <is>
          <t>01</t>
        </is>
      </c>
      <c r="E55" s="68" t="inlineStr">
        <is>
          <t>5 场地发展费</t>
        </is>
      </c>
      <c r="F55" s="68" t="inlineStr">
        <is>
          <t>5.3 物业外工程</t>
        </is>
      </c>
      <c r="G55" s="68" t="inlineStr">
        <is>
          <t>物业外工程</t>
        </is>
      </c>
      <c r="H55" s="68" t="inlineStr">
        <is>
          <t>地面</t>
        </is>
      </c>
      <c r="I55" s="69" t="inlineStr">
        <is>
          <t>1000041822</t>
        </is>
      </c>
      <c r="J55" s="69" t="inlineStr">
        <is>
          <t>步级沿口火烧石--防滑条（冠军）</t>
        </is>
      </c>
      <c r="K55" s="70" t="n"/>
      <c r="L55" s="70" t="n"/>
      <c r="M55" s="71" t="inlineStr">
        <is>
          <t>米</t>
        </is>
      </c>
      <c r="N55" s="72" t="n">
        <v>43.88</v>
      </c>
      <c r="O55" s="72">
        <f>ROUND(N55*(1+$F$10),2)</f>
        <v/>
      </c>
      <c r="P55" s="73">
        <f>ROUND(K55*N55,2)</f>
        <v/>
      </c>
      <c r="Q55" s="74">
        <f>ROUND(L55*N55,2)</f>
        <v/>
      </c>
      <c r="R55" s="75" t="n"/>
      <c r="S55" s="76" t="n"/>
      <c r="T55" s="77">
        <f>K55-L55</f>
        <v/>
      </c>
      <c r="U55" s="77">
        <f>P55-Q55</f>
        <v/>
      </c>
      <c r="V55" s="77">
        <f>ABS(U55)</f>
        <v/>
      </c>
      <c r="W55" s="78">
        <f>T55/L55</f>
        <v/>
      </c>
      <c r="X55" s="79">
        <f>ABS(W55)</f>
        <v/>
      </c>
      <c r="AG55" s="80" t="inlineStr">
        <is>
          <t>楼板边长度</t>
        </is>
      </c>
    </row>
    <row r="56" ht="11.4" customHeight="1">
      <c r="A56" s="67" t="inlineStr">
        <is>
          <t>46</t>
        </is>
      </c>
      <c r="B56" s="67" t="inlineStr">
        <is>
          <t>1044</t>
        </is>
      </c>
      <c r="C56" s="67" t="inlineStr">
        <is>
          <t>1530</t>
        </is>
      </c>
      <c r="D56" s="68" t="inlineStr">
        <is>
          <t>01</t>
        </is>
      </c>
      <c r="E56" s="68" t="inlineStr">
        <is>
          <t>5 场地发展费</t>
        </is>
      </c>
      <c r="F56" s="68" t="inlineStr">
        <is>
          <t>5.3 物业外工程</t>
        </is>
      </c>
      <c r="G56" s="68" t="inlineStr">
        <is>
          <t>物业外工程</t>
        </is>
      </c>
      <c r="H56" s="68" t="inlineStr">
        <is>
          <t>墙面</t>
        </is>
      </c>
      <c r="I56" s="69" t="inlineStr">
        <is>
          <t>1000021620</t>
        </is>
      </c>
      <c r="J56" s="69" t="inlineStr">
        <is>
          <t>室外其它墙面砖（琛雄）</t>
        </is>
      </c>
      <c r="K56" s="70" t="n"/>
      <c r="L56" s="70" t="n"/>
      <c r="M56" s="71" t="inlineStr">
        <is>
          <t>m2</t>
        </is>
      </c>
      <c r="N56" s="72" t="n">
        <v>167.98</v>
      </c>
      <c r="O56" s="72">
        <f>ROUND(N56*(1+$F$10),2)</f>
        <v/>
      </c>
      <c r="P56" s="73">
        <f>ROUND(K56*N56,2)</f>
        <v/>
      </c>
      <c r="Q56" s="74">
        <f>ROUND(L56*N56,2)</f>
        <v/>
      </c>
      <c r="R56" s="75" t="n"/>
      <c r="S56" s="76" t="n"/>
      <c r="T56" s="77">
        <f>K56-L56</f>
        <v/>
      </c>
      <c r="U56" s="77">
        <f>P56-Q56</f>
        <v/>
      </c>
      <c r="V56" s="77">
        <f>ABS(U56)</f>
        <v/>
      </c>
      <c r="W56" s="78">
        <f>T56/L56</f>
        <v/>
      </c>
      <c r="X56" s="79">
        <f>ABS(W56)</f>
        <v/>
      </c>
      <c r="AG56" s="80" t="inlineStr">
        <is>
          <t>基本墙面积</t>
        </is>
      </c>
    </row>
    <row r="57" ht="11.4" customHeight="1">
      <c r="A57" s="67" t="inlineStr">
        <is>
          <t>46</t>
        </is>
      </c>
      <c r="B57" s="67" t="inlineStr">
        <is>
          <t>1044</t>
        </is>
      </c>
      <c r="C57" s="67" t="inlineStr">
        <is>
          <t>1530</t>
        </is>
      </c>
      <c r="D57" s="68" t="inlineStr">
        <is>
          <t>01</t>
        </is>
      </c>
      <c r="E57" s="68" t="inlineStr">
        <is>
          <t>5 场地发展费</t>
        </is>
      </c>
      <c r="F57" s="68" t="inlineStr">
        <is>
          <t>5.3 物业外工程</t>
        </is>
      </c>
      <c r="G57" s="68" t="inlineStr">
        <is>
          <t>物业外工程</t>
        </is>
      </c>
      <c r="H57" s="68" t="inlineStr">
        <is>
          <t>墙面</t>
        </is>
      </c>
      <c r="I57" s="69" t="inlineStr">
        <is>
          <t>1000021675</t>
        </is>
      </c>
      <c r="J57" s="69" t="inlineStr">
        <is>
          <t>室外其它墙面砖（共荣）</t>
        </is>
      </c>
      <c r="K57" s="70" t="n"/>
      <c r="L57" s="70" t="n"/>
      <c r="M57" s="71" t="inlineStr">
        <is>
          <t>m2</t>
        </is>
      </c>
      <c r="N57" s="72" t="n">
        <v>147.41</v>
      </c>
      <c r="O57" s="72">
        <f>ROUND(N57*(1+$F$10),2)</f>
        <v/>
      </c>
      <c r="P57" s="73">
        <f>ROUND(K57*N57,2)</f>
        <v/>
      </c>
      <c r="Q57" s="74">
        <f>ROUND(L57*N57,2)</f>
        <v/>
      </c>
      <c r="R57" s="75" t="n"/>
      <c r="S57" s="76" t="n"/>
      <c r="T57" s="77">
        <f>K57-L57</f>
        <v/>
      </c>
      <c r="U57" s="77">
        <f>P57-Q57</f>
        <v/>
      </c>
      <c r="V57" s="77">
        <f>ABS(U57)</f>
        <v/>
      </c>
      <c r="W57" s="78">
        <f>T57/L57</f>
        <v/>
      </c>
      <c r="X57" s="79">
        <f>ABS(W57)</f>
        <v/>
      </c>
      <c r="AG57" s="80" t="inlineStr">
        <is>
          <t>基本墙面积</t>
        </is>
      </c>
    </row>
    <row r="58" ht="11.4" customHeight="1">
      <c r="A58" s="67" t="inlineStr">
        <is>
          <t>46</t>
        </is>
      </c>
      <c r="B58" s="67" t="inlineStr">
        <is>
          <t>1044</t>
        </is>
      </c>
      <c r="C58" s="67" t="inlineStr">
        <is>
          <t>1530</t>
        </is>
      </c>
      <c r="D58" s="68" t="inlineStr">
        <is>
          <t>01</t>
        </is>
      </c>
      <c r="E58" s="68" t="inlineStr">
        <is>
          <t>5 场地发展费</t>
        </is>
      </c>
      <c r="F58" s="68" t="inlineStr">
        <is>
          <t>5.3 物业外工程</t>
        </is>
      </c>
      <c r="G58" s="68" t="inlineStr">
        <is>
          <t>物业外工程</t>
        </is>
      </c>
      <c r="H58" s="68" t="inlineStr">
        <is>
          <t>墙面</t>
        </is>
      </c>
      <c r="I58" s="69" t="inlineStr">
        <is>
          <t>1000021621</t>
        </is>
      </c>
      <c r="J58" s="69" t="inlineStr">
        <is>
          <t>室外其它墙面砖（冠军）</t>
        </is>
      </c>
      <c r="K58" s="70" t="n"/>
      <c r="L58" s="70" t="n"/>
      <c r="M58" s="71" t="inlineStr">
        <is>
          <t>m2</t>
        </is>
      </c>
      <c r="N58" s="72" t="n">
        <v>169.19</v>
      </c>
      <c r="O58" s="72">
        <f>ROUND(N58*(1+$F$10),2)</f>
        <v/>
      </c>
      <c r="P58" s="73">
        <f>ROUND(K58*N58,2)</f>
        <v/>
      </c>
      <c r="Q58" s="74">
        <f>ROUND(L58*N58,2)</f>
        <v/>
      </c>
      <c r="R58" s="75" t="n"/>
      <c r="S58" s="76" t="n"/>
      <c r="T58" s="77">
        <f>K58-L58</f>
        <v/>
      </c>
      <c r="U58" s="77">
        <f>P58-Q58</f>
        <v/>
      </c>
      <c r="V58" s="77">
        <f>ABS(U58)</f>
        <v/>
      </c>
      <c r="W58" s="78">
        <f>T58/L58</f>
        <v/>
      </c>
      <c r="X58" s="79">
        <f>ABS(W58)</f>
        <v/>
      </c>
      <c r="AG58" s="80" t="inlineStr">
        <is>
          <t>基本墙面积</t>
        </is>
      </c>
    </row>
    <row r="59" ht="11.4" customHeight="1">
      <c r="A59" s="67" t="inlineStr">
        <is>
          <t>46</t>
        </is>
      </c>
      <c r="B59" s="67" t="inlineStr">
        <is>
          <t>1044</t>
        </is>
      </c>
      <c r="C59" s="67" t="inlineStr">
        <is>
          <t>1530</t>
        </is>
      </c>
      <c r="D59" s="68" t="inlineStr">
        <is>
          <t>01</t>
        </is>
      </c>
      <c r="E59" s="68" t="inlineStr">
        <is>
          <t>5 场地发展费</t>
        </is>
      </c>
      <c r="F59" s="68" t="inlineStr">
        <is>
          <t>5.3 物业外工程</t>
        </is>
      </c>
      <c r="G59" s="68" t="inlineStr">
        <is>
          <t>物业外工程</t>
        </is>
      </c>
      <c r="H59" s="68" t="inlineStr">
        <is>
          <t>墙面</t>
        </is>
      </c>
      <c r="I59" s="69" t="inlineStr">
        <is>
          <t>1000021448</t>
        </is>
      </c>
      <c r="J59" s="69" t="inlineStr">
        <is>
          <t>油烟管及铜管桥架等包外墙铝板</t>
        </is>
      </c>
      <c r="K59" s="70" t="n"/>
      <c r="L59" s="70" t="n"/>
      <c r="M59" s="71" t="inlineStr">
        <is>
          <t>m2</t>
        </is>
      </c>
      <c r="N59" s="72" t="n">
        <v>376.58</v>
      </c>
      <c r="O59" s="72">
        <f>ROUND(N59*(1+$F$10),2)</f>
        <v/>
      </c>
      <c r="P59" s="73">
        <f>ROUND(K59*N59,2)</f>
        <v/>
      </c>
      <c r="Q59" s="74">
        <f>ROUND(L59*N59,2)</f>
        <v/>
      </c>
      <c r="R59" s="75" t="n"/>
      <c r="S59" s="76" t="n"/>
      <c r="T59" s="77">
        <f>K59-L59</f>
        <v/>
      </c>
      <c r="U59" s="77">
        <f>P59-Q59</f>
        <v/>
      </c>
      <c r="V59" s="77">
        <f>ABS(U59)</f>
        <v/>
      </c>
      <c r="W59" s="78">
        <f>T59/L59</f>
        <v/>
      </c>
      <c r="X59" s="79">
        <f>ABS(W59)</f>
        <v/>
      </c>
      <c r="AG59" s="80" t="inlineStr">
        <is>
          <t>基本墙面积</t>
        </is>
      </c>
    </row>
    <row r="60" ht="11.4" customHeight="1">
      <c r="A60" s="67" t="inlineStr">
        <is>
          <t>46</t>
        </is>
      </c>
      <c r="B60" s="67" t="inlineStr">
        <is>
          <t>1044</t>
        </is>
      </c>
      <c r="C60" s="67" t="inlineStr">
        <is>
          <t>1530</t>
        </is>
      </c>
      <c r="D60" s="68" t="inlineStr">
        <is>
          <t>01</t>
        </is>
      </c>
      <c r="E60" s="68" t="inlineStr">
        <is>
          <t>5 场地发展费</t>
        </is>
      </c>
      <c r="F60" s="68" t="inlineStr">
        <is>
          <t>5.3 物业外工程</t>
        </is>
      </c>
      <c r="G60" s="68" t="inlineStr">
        <is>
          <t>物业外工程</t>
        </is>
      </c>
      <c r="H60" s="68" t="inlineStr">
        <is>
          <t>墙面</t>
        </is>
      </c>
      <c r="I60" s="69" t="inlineStr">
        <is>
          <t>1000040102</t>
        </is>
      </c>
      <c r="J60" s="69" t="inlineStr">
        <is>
          <t>与业主接壤处装饰及结构处理</t>
        </is>
      </c>
      <c r="K60" s="70" t="n"/>
      <c r="L60" s="70" t="n"/>
      <c r="M60" s="71" t="inlineStr">
        <is>
          <t>项</t>
        </is>
      </c>
      <c r="N60" s="72" t="n"/>
      <c r="O60" s="72">
        <f>ROUND(N60*(1+$F$10),2)</f>
        <v/>
      </c>
      <c r="P60" s="73">
        <f>ROUND(K60*N60,2)</f>
        <v/>
      </c>
      <c r="Q60" s="74">
        <f>ROUND(L60*N60,2)</f>
        <v/>
      </c>
      <c r="R60" s="75" t="n"/>
      <c r="S60" s="76" t="n"/>
      <c r="T60" s="77">
        <f>K60-L60</f>
        <v/>
      </c>
      <c r="U60" s="77">
        <f>P60-Q60</f>
        <v/>
      </c>
      <c r="V60" s="77">
        <f>ABS(U60)</f>
        <v/>
      </c>
      <c r="W60" s="78">
        <f>T60/L60</f>
        <v/>
      </c>
      <c r="X60" s="79">
        <f>ABS(W60)</f>
        <v/>
      </c>
      <c r="AH60" s="80" t="inlineStr">
        <is>
          <t>调整</t>
        </is>
      </c>
    </row>
    <row r="61" ht="11.4" customHeight="1">
      <c r="A61" s="67" t="inlineStr">
        <is>
          <t>46</t>
        </is>
      </c>
      <c r="B61" s="67" t="inlineStr">
        <is>
          <t>1044</t>
        </is>
      </c>
      <c r="C61" s="67" t="inlineStr">
        <is>
          <t>1530</t>
        </is>
      </c>
      <c r="D61" s="68" t="inlineStr">
        <is>
          <t>01</t>
        </is>
      </c>
      <c r="E61" s="68" t="inlineStr">
        <is>
          <t>5 场地发展费</t>
        </is>
      </c>
      <c r="F61" s="68" t="inlineStr">
        <is>
          <t>5.3 物业外工程</t>
        </is>
      </c>
      <c r="G61" s="68" t="inlineStr">
        <is>
          <t>物业外工程</t>
        </is>
      </c>
      <c r="H61" s="68" t="inlineStr">
        <is>
          <t>墙面</t>
        </is>
      </c>
      <c r="I61" s="69" t="inlineStr">
        <is>
          <t>1000040103</t>
        </is>
      </c>
      <c r="J61" s="69" t="inlineStr">
        <is>
          <t>非麦当劳门面之墙体装修（包括与业主商场相邻之墙体外侧装修）</t>
        </is>
      </c>
      <c r="K61" s="70" t="n"/>
      <c r="L61" s="70" t="n"/>
      <c r="M61" s="71" t="inlineStr">
        <is>
          <t>项</t>
        </is>
      </c>
      <c r="N61" s="72" t="n"/>
      <c r="O61" s="72">
        <f>ROUND(N61*(1+$F$10),2)</f>
        <v/>
      </c>
      <c r="P61" s="73">
        <f>ROUND(K61*N61,2)</f>
        <v/>
      </c>
      <c r="Q61" s="74">
        <f>ROUND(L61*N61,2)</f>
        <v/>
      </c>
      <c r="R61" s="75" t="n"/>
      <c r="S61" s="76" t="n"/>
      <c r="T61" s="77">
        <f>K61-L61</f>
        <v/>
      </c>
      <c r="U61" s="77">
        <f>P61-Q61</f>
        <v/>
      </c>
      <c r="V61" s="77">
        <f>ABS(U61)</f>
        <v/>
      </c>
      <c r="W61" s="78">
        <f>T61/L61</f>
        <v/>
      </c>
      <c r="X61" s="79">
        <f>ABS(W61)</f>
        <v/>
      </c>
      <c r="AH61" s="80" t="inlineStr">
        <is>
          <t>调整</t>
        </is>
      </c>
    </row>
    <row r="62" ht="11.4" customHeight="1">
      <c r="A62" s="67" t="inlineStr">
        <is>
          <t>46</t>
        </is>
      </c>
      <c r="B62" s="67" t="inlineStr">
        <is>
          <t>1044</t>
        </is>
      </c>
      <c r="C62" s="67" t="inlineStr">
        <is>
          <t>1530</t>
        </is>
      </c>
      <c r="D62" s="68" t="inlineStr">
        <is>
          <t>01</t>
        </is>
      </c>
      <c r="E62" s="68" t="inlineStr">
        <is>
          <t>5 场地发展费</t>
        </is>
      </c>
      <c r="F62" s="68" t="inlineStr">
        <is>
          <t>5.3 物业外工程</t>
        </is>
      </c>
      <c r="G62" s="68" t="inlineStr">
        <is>
          <t>物业外工程</t>
        </is>
      </c>
      <c r="H62" s="68" t="inlineStr">
        <is>
          <t>零星绿化</t>
        </is>
      </c>
      <c r="I62" s="69" t="inlineStr">
        <is>
          <t>1000040032</t>
        </is>
      </c>
      <c r="J62" s="69" t="inlineStr">
        <is>
          <t>室外零星植物绿化</t>
        </is>
      </c>
      <c r="K62" s="70" t="n"/>
      <c r="L62" s="70" t="n"/>
      <c r="M62" s="71" t="inlineStr">
        <is>
          <t>m2</t>
        </is>
      </c>
      <c r="N62" s="72" t="n">
        <v>172.07</v>
      </c>
      <c r="O62" s="72">
        <f>ROUND(N62*(1+$F$10),2)</f>
        <v/>
      </c>
      <c r="P62" s="73">
        <f>ROUND(K62*N62,2)</f>
        <v/>
      </c>
      <c r="Q62" s="74">
        <f>ROUND(L62*N62,2)</f>
        <v/>
      </c>
      <c r="R62" s="75" t="n"/>
      <c r="S62" s="76" t="n"/>
      <c r="T62" s="77">
        <f>K62-L62</f>
        <v/>
      </c>
      <c r="U62" s="77">
        <f>P62-Q62</f>
        <v/>
      </c>
      <c r="V62" s="77">
        <f>ABS(U62)</f>
        <v/>
      </c>
      <c r="W62" s="78">
        <f>T62/L62</f>
        <v/>
      </c>
      <c r="X62" s="79">
        <f>ABS(W62)</f>
        <v/>
      </c>
      <c r="AH62" s="80" t="inlineStr">
        <is>
          <t>调整</t>
        </is>
      </c>
    </row>
    <row r="63" ht="11.4" customHeight="1">
      <c r="A63" s="67" t="inlineStr">
        <is>
          <t>46</t>
        </is>
      </c>
      <c r="B63" s="67" t="inlineStr">
        <is>
          <t>1044</t>
        </is>
      </c>
      <c r="C63" s="67" t="inlineStr">
        <is>
          <t>1530</t>
        </is>
      </c>
      <c r="D63" s="68" t="inlineStr">
        <is>
          <t>01</t>
        </is>
      </c>
      <c r="E63" s="68" t="inlineStr">
        <is>
          <t>5 场地发展费</t>
        </is>
      </c>
      <c r="F63" s="68" t="inlineStr">
        <is>
          <t>5.3 物业外工程</t>
        </is>
      </c>
      <c r="G63" s="68" t="inlineStr">
        <is>
          <t>物业外工程</t>
        </is>
      </c>
      <c r="H63" s="68" t="inlineStr">
        <is>
          <t>花槽</t>
        </is>
      </c>
      <c r="I63" s="69" t="inlineStr">
        <is>
          <t>1000040033</t>
        </is>
      </c>
      <c r="J63" s="69" t="inlineStr">
        <is>
          <t>独立成品花槽</t>
        </is>
      </c>
      <c r="K63" s="70" t="n"/>
      <c r="L63" s="70" t="n"/>
      <c r="M63" s="71" t="inlineStr">
        <is>
          <t>只</t>
        </is>
      </c>
      <c r="N63" s="72" t="n">
        <v>1635.14</v>
      </c>
      <c r="O63" s="72">
        <f>ROUND(N63*(1+$F$10),2)</f>
        <v/>
      </c>
      <c r="P63" s="73">
        <f>ROUND(K63*N63,2)</f>
        <v/>
      </c>
      <c r="Q63" s="74">
        <f>ROUND(L63*N63,2)</f>
        <v/>
      </c>
      <c r="R63" s="75" t="n"/>
      <c r="S63" s="76" t="n"/>
      <c r="T63" s="77">
        <f>K63-L63</f>
        <v/>
      </c>
      <c r="U63" s="77">
        <f>P63-Q63</f>
        <v/>
      </c>
      <c r="V63" s="77">
        <f>ABS(U63)</f>
        <v/>
      </c>
      <c r="W63" s="78">
        <f>T63/L63</f>
        <v/>
      </c>
      <c r="X63" s="79">
        <f>ABS(W63)</f>
        <v/>
      </c>
      <c r="AH63" s="80" t="inlineStr">
        <is>
          <t>调整</t>
        </is>
      </c>
    </row>
    <row r="64" ht="11.4" customHeight="1">
      <c r="A64" s="67" t="inlineStr">
        <is>
          <t>46</t>
        </is>
      </c>
      <c r="B64" s="67" t="inlineStr">
        <is>
          <t>1044</t>
        </is>
      </c>
      <c r="C64" s="67" t="inlineStr">
        <is>
          <t>1530</t>
        </is>
      </c>
      <c r="D64" s="68" t="inlineStr">
        <is>
          <t>01</t>
        </is>
      </c>
      <c r="E64" s="68" t="inlineStr">
        <is>
          <t>5 场地发展费</t>
        </is>
      </c>
      <c r="F64" s="68" t="inlineStr">
        <is>
          <t>5.3 物业外工程</t>
        </is>
      </c>
      <c r="G64" s="68" t="inlineStr">
        <is>
          <t>物业外工程</t>
        </is>
      </c>
      <c r="H64" s="68" t="inlineStr">
        <is>
          <t>开洞</t>
        </is>
      </c>
      <c r="I64" s="69" t="inlineStr">
        <is>
          <t>1000021749</t>
        </is>
      </c>
      <c r="J64" s="69" t="inlineStr">
        <is>
          <t>分离式厨房楼板开洞费</t>
        </is>
      </c>
      <c r="K64" s="70" t="n"/>
      <c r="L64" s="70" t="n"/>
      <c r="M64" s="71" t="inlineStr">
        <is>
          <t>项</t>
        </is>
      </c>
      <c r="N64" s="72" t="n">
        <v>1355</v>
      </c>
      <c r="O64" s="72">
        <f>ROUND(N64*(1+$F$10),2)</f>
        <v/>
      </c>
      <c r="P64" s="73">
        <f>ROUND(K64*N64,2)</f>
        <v/>
      </c>
      <c r="Q64" s="74">
        <f>ROUND(L64*N64,2)</f>
        <v/>
      </c>
      <c r="R64" s="75" t="n"/>
      <c r="S64" s="76" t="n"/>
      <c r="T64" s="77">
        <f>K64-L64</f>
        <v/>
      </c>
      <c r="U64" s="77">
        <f>P64-Q64</f>
        <v/>
      </c>
      <c r="V64" s="77">
        <f>ABS(U64)</f>
        <v/>
      </c>
      <c r="W64" s="78">
        <f>T64/L64</f>
        <v/>
      </c>
      <c r="X64" s="79">
        <f>ABS(W64)</f>
        <v/>
      </c>
      <c r="AH64" s="80" t="inlineStr">
        <is>
          <t>委托书</t>
        </is>
      </c>
    </row>
    <row r="65" ht="11.4" customHeight="1">
      <c r="A65" s="67" t="inlineStr">
        <is>
          <t>47</t>
        </is>
      </c>
      <c r="B65" s="67" t="inlineStr">
        <is>
          <t>1045</t>
        </is>
      </c>
      <c r="C65" s="67" t="inlineStr">
        <is>
          <t>1531</t>
        </is>
      </c>
      <c r="D65" s="68" t="inlineStr">
        <is>
          <t>01</t>
        </is>
      </c>
      <c r="E65" s="68" t="inlineStr">
        <is>
          <t>5 场地发展费</t>
        </is>
      </c>
      <c r="F65" s="68" t="inlineStr">
        <is>
          <t>5.4 道路、停车场的地面和路沿石</t>
        </is>
      </c>
      <c r="G65" s="68" t="inlineStr">
        <is>
          <t>DT道路、停车场的地面和路沿石</t>
        </is>
      </c>
      <c r="H65" s="68" t="inlineStr">
        <is>
          <t>DT土方运输</t>
        </is>
      </c>
      <c r="I65" s="69" t="inlineStr">
        <is>
          <t>1000040104</t>
        </is>
      </c>
      <c r="J65" s="69" t="inlineStr">
        <is>
          <t>土方场外运输</t>
        </is>
      </c>
      <c r="K65" s="70" t="n"/>
      <c r="L65" s="70" t="n"/>
      <c r="M65" s="71" t="inlineStr">
        <is>
          <t>项</t>
        </is>
      </c>
      <c r="N65" s="72" t="n"/>
      <c r="O65" s="72">
        <f>ROUND(N65*(1+$F$10),2)</f>
        <v/>
      </c>
      <c r="P65" s="73">
        <f>ROUND(K65*N65,2)</f>
        <v/>
      </c>
      <c r="Q65" s="74">
        <f>ROUND(L65*N65,2)</f>
        <v/>
      </c>
      <c r="R65" s="75" t="n"/>
      <c r="S65" s="76" t="n"/>
      <c r="T65" s="77">
        <f>K65-L65</f>
        <v/>
      </c>
      <c r="U65" s="77">
        <f>P65-Q65</f>
        <v/>
      </c>
      <c r="V65" s="77">
        <f>ABS(U65)</f>
        <v/>
      </c>
      <c r="W65" s="78">
        <f>T65/L65</f>
        <v/>
      </c>
      <c r="X65" s="79">
        <f>ABS(W65)</f>
        <v/>
      </c>
      <c r="AH65" s="80" t="inlineStr">
        <is>
          <t>委托书</t>
        </is>
      </c>
    </row>
    <row r="66" ht="11.4" customHeight="1">
      <c r="A66" s="67" t="inlineStr">
        <is>
          <t>47</t>
        </is>
      </c>
      <c r="B66" s="67" t="inlineStr">
        <is>
          <t>1045</t>
        </is>
      </c>
      <c r="C66" s="67" t="inlineStr">
        <is>
          <t>1531</t>
        </is>
      </c>
      <c r="D66" s="68" t="inlineStr">
        <is>
          <t>01</t>
        </is>
      </c>
      <c r="E66" s="68" t="inlineStr">
        <is>
          <t>5 场地发展费</t>
        </is>
      </c>
      <c r="F66" s="68" t="inlineStr">
        <is>
          <t>5.4 道路、停车场的地面和路沿石</t>
        </is>
      </c>
      <c r="G66" s="68" t="inlineStr">
        <is>
          <t>DT道路、停车场的地面和路沿石</t>
        </is>
      </c>
      <c r="H66" s="68" t="inlineStr">
        <is>
          <t>DT机械</t>
        </is>
      </c>
      <c r="I66" s="69" t="inlineStr">
        <is>
          <t>1000040105</t>
        </is>
      </c>
      <c r="J66" s="69" t="inlineStr">
        <is>
          <t>DT-道路大型机械进出场费</t>
        </is>
      </c>
      <c r="K66" s="70" t="n"/>
      <c r="L66" s="70" t="n"/>
      <c r="M66" s="71" t="inlineStr">
        <is>
          <t>项</t>
        </is>
      </c>
      <c r="N66" s="72" t="n"/>
      <c r="O66" s="72">
        <f>ROUND(N66*(1+$F$10),2)</f>
        <v/>
      </c>
      <c r="P66" s="73">
        <f>ROUND(K66*N66,2)</f>
        <v/>
      </c>
      <c r="Q66" s="74">
        <f>ROUND(L66*N66,2)</f>
        <v/>
      </c>
      <c r="R66" s="75" t="n"/>
      <c r="S66" s="76" t="n"/>
      <c r="T66" s="77">
        <f>K66-L66</f>
        <v/>
      </c>
      <c r="U66" s="77">
        <f>P66-Q66</f>
        <v/>
      </c>
      <c r="V66" s="77">
        <f>ABS(U66)</f>
        <v/>
      </c>
      <c r="W66" s="78">
        <f>T66/L66</f>
        <v/>
      </c>
      <c r="X66" s="79">
        <f>ABS(W66)</f>
        <v/>
      </c>
      <c r="AH66" s="80" t="inlineStr">
        <is>
          <t>委托书</t>
        </is>
      </c>
    </row>
    <row r="67" ht="11.4" customHeight="1">
      <c r="A67" s="67" t="inlineStr">
        <is>
          <t>47</t>
        </is>
      </c>
      <c r="B67" s="67" t="inlineStr">
        <is>
          <t>1045</t>
        </is>
      </c>
      <c r="C67" s="67" t="inlineStr">
        <is>
          <t>1531</t>
        </is>
      </c>
      <c r="D67" s="68" t="inlineStr">
        <is>
          <t>01</t>
        </is>
      </c>
      <c r="E67" s="68" t="inlineStr">
        <is>
          <t>5 场地发展费</t>
        </is>
      </c>
      <c r="F67" s="68" t="inlineStr">
        <is>
          <t>5.4 道路、停车场的地面和路沿石</t>
        </is>
      </c>
      <c r="G67" s="68" t="inlineStr">
        <is>
          <t>DT道路、停车场的地面和路沿石</t>
        </is>
      </c>
      <c r="H67" s="68" t="inlineStr">
        <is>
          <t>DT道路</t>
        </is>
      </c>
      <c r="I67" s="69" t="inlineStr">
        <is>
          <t>1000021750</t>
        </is>
      </c>
      <c r="J67" s="69" t="inlineStr">
        <is>
          <t>DT-路沿石</t>
        </is>
      </c>
      <c r="K67" s="70" t="n"/>
      <c r="L67" s="70" t="n"/>
      <c r="M67" s="71" t="inlineStr">
        <is>
          <t>米</t>
        </is>
      </c>
      <c r="N67" s="72" t="n">
        <v>101.02</v>
      </c>
      <c r="O67" s="72">
        <f>ROUND(N67*(1+$F$10),2)</f>
        <v/>
      </c>
      <c r="P67" s="73">
        <f>ROUND(K67*N67,2)</f>
        <v/>
      </c>
      <c r="Q67" s="74">
        <f>ROUND(L67*N67,2)</f>
        <v/>
      </c>
      <c r="R67" s="75" t="n"/>
      <c r="S67" s="76" t="n"/>
      <c r="T67" s="77">
        <f>K67-L67</f>
        <v/>
      </c>
      <c r="U67" s="77">
        <f>P67-Q67</f>
        <v/>
      </c>
      <c r="V67" s="77">
        <f>ABS(U67)</f>
        <v/>
      </c>
      <c r="W67" s="78">
        <f>T67/L67</f>
        <v/>
      </c>
      <c r="X67" s="79">
        <f>ABS(W67)</f>
        <v/>
      </c>
      <c r="AG67" s="80" t="inlineStr">
        <is>
          <t>楼板边长度</t>
        </is>
      </c>
    </row>
    <row r="68" ht="11.4" customHeight="1">
      <c r="A68" s="67" t="inlineStr">
        <is>
          <t>47</t>
        </is>
      </c>
      <c r="B68" s="67" t="inlineStr">
        <is>
          <t>1045</t>
        </is>
      </c>
      <c r="C68" s="67" t="inlineStr">
        <is>
          <t>1531</t>
        </is>
      </c>
      <c r="D68" s="68" t="inlineStr">
        <is>
          <t>01</t>
        </is>
      </c>
      <c r="E68" s="68" t="inlineStr">
        <is>
          <t>5 场地发展费</t>
        </is>
      </c>
      <c r="F68" s="68" t="inlineStr">
        <is>
          <t>5.4 道路、停车场的地面和路沿石</t>
        </is>
      </c>
      <c r="G68" s="68" t="inlineStr">
        <is>
          <t>DT道路、停车场的地面和路沿石</t>
        </is>
      </c>
      <c r="H68" s="68" t="inlineStr">
        <is>
          <t>DT道路</t>
        </is>
      </c>
      <c r="I68" s="69" t="inlineStr">
        <is>
          <t>1000021751</t>
        </is>
      </c>
      <c r="J68" s="69" t="inlineStr">
        <is>
          <t>DT-道路基层-水泥石屑</t>
        </is>
      </c>
      <c r="K68" s="70" t="n"/>
      <c r="L68" s="70" t="n"/>
      <c r="M68" s="71" t="inlineStr">
        <is>
          <t>m2</t>
        </is>
      </c>
      <c r="N68" s="72" t="n">
        <v>108.25</v>
      </c>
      <c r="O68" s="72">
        <f>ROUND(N68*(1+$F$10),2)</f>
        <v/>
      </c>
      <c r="P68" s="73">
        <f>ROUND(K68*N68,2)</f>
        <v/>
      </c>
      <c r="Q68" s="74">
        <f>ROUND(L68*N68,2)</f>
        <v/>
      </c>
      <c r="R68" s="75" t="n"/>
      <c r="S68" s="76" t="n"/>
      <c r="T68" s="77">
        <f>K68-L68</f>
        <v/>
      </c>
      <c r="U68" s="77">
        <f>P68-Q68</f>
        <v/>
      </c>
      <c r="V68" s="77">
        <f>ABS(U68)</f>
        <v/>
      </c>
      <c r="W68" s="78">
        <f>T68/L68</f>
        <v/>
      </c>
      <c r="X68" s="79">
        <f>ABS(W68)</f>
        <v/>
      </c>
      <c r="AG68" s="80" t="inlineStr">
        <is>
          <t>楼板面积</t>
        </is>
      </c>
    </row>
    <row r="69" ht="11.4" customHeight="1">
      <c r="A69" s="67" t="inlineStr">
        <is>
          <t>47</t>
        </is>
      </c>
      <c r="B69" s="67" t="inlineStr">
        <is>
          <t>1045</t>
        </is>
      </c>
      <c r="C69" s="67" t="inlineStr">
        <is>
          <t>1531</t>
        </is>
      </c>
      <c r="D69" s="68" t="inlineStr">
        <is>
          <t>01</t>
        </is>
      </c>
      <c r="E69" s="68" t="inlineStr">
        <is>
          <t>5 场地发展费</t>
        </is>
      </c>
      <c r="F69" s="68" t="inlineStr">
        <is>
          <t>5.4 道路、停车场的地面和路沿石</t>
        </is>
      </c>
      <c r="G69" s="68" t="inlineStr">
        <is>
          <t>DT道路、停车场的地面和路沿石</t>
        </is>
      </c>
      <c r="H69" s="68" t="inlineStr">
        <is>
          <t>DT道路</t>
        </is>
      </c>
      <c r="I69" s="69" t="inlineStr">
        <is>
          <t>1000021752</t>
        </is>
      </c>
      <c r="J69" s="69" t="inlineStr">
        <is>
          <t>DT-道路面层-混凝土</t>
        </is>
      </c>
      <c r="K69" s="70" t="n"/>
      <c r="L69" s="70" t="n"/>
      <c r="M69" s="71" t="inlineStr">
        <is>
          <t>m2</t>
        </is>
      </c>
      <c r="N69" s="72" t="n">
        <v>119.55</v>
      </c>
      <c r="O69" s="72">
        <f>ROUND(N69*(1+$F$10),2)</f>
        <v/>
      </c>
      <c r="P69" s="73">
        <f>ROUND(K69*N69,2)</f>
        <v/>
      </c>
      <c r="Q69" s="74">
        <f>ROUND(L69*N69,2)</f>
        <v/>
      </c>
      <c r="R69" s="75" t="n"/>
      <c r="S69" s="76" t="n"/>
      <c r="T69" s="77">
        <f>K69-L69</f>
        <v/>
      </c>
      <c r="U69" s="77">
        <f>P69-Q69</f>
        <v/>
      </c>
      <c r="V69" s="77">
        <f>ABS(U69)</f>
        <v/>
      </c>
      <c r="W69" s="78">
        <f>T69/L69</f>
        <v/>
      </c>
      <c r="X69" s="79">
        <f>ABS(W69)</f>
        <v/>
      </c>
      <c r="AG69" s="80" t="inlineStr">
        <is>
          <t>楼板面积</t>
        </is>
      </c>
    </row>
    <row r="70" ht="11.4" customHeight="1">
      <c r="A70" s="67" t="inlineStr">
        <is>
          <t>47</t>
        </is>
      </c>
      <c r="B70" s="67" t="inlineStr">
        <is>
          <t>1045</t>
        </is>
      </c>
      <c r="C70" s="67" t="inlineStr">
        <is>
          <t>1531</t>
        </is>
      </c>
      <c r="D70" s="68" t="inlineStr">
        <is>
          <t>01</t>
        </is>
      </c>
      <c r="E70" s="68" t="inlineStr">
        <is>
          <t>5 场地发展费</t>
        </is>
      </c>
      <c r="F70" s="68" t="inlineStr">
        <is>
          <t>5.4 道路、停车场的地面和路沿石</t>
        </is>
      </c>
      <c r="G70" s="68" t="inlineStr">
        <is>
          <t>DT道路、停车场的地面和路沿石</t>
        </is>
      </c>
      <c r="H70" s="68" t="inlineStr">
        <is>
          <t>DT道路</t>
        </is>
      </c>
      <c r="I70" s="69" t="inlineStr">
        <is>
          <t>1000021753</t>
        </is>
      </c>
      <c r="J70" s="69" t="inlineStr">
        <is>
          <t>DT-道路面层-沥青+碎石</t>
        </is>
      </c>
      <c r="K70" s="70" t="n"/>
      <c r="L70" s="70" t="n"/>
      <c r="M70" s="71" t="inlineStr">
        <is>
          <t>m2</t>
        </is>
      </c>
      <c r="N70" s="72" t="n">
        <v>140.3</v>
      </c>
      <c r="O70" s="72">
        <f>ROUND(N70*(1+$F$10),2)</f>
        <v/>
      </c>
      <c r="P70" s="73">
        <f>ROUND(K70*N70,2)</f>
        <v/>
      </c>
      <c r="Q70" s="74">
        <f>ROUND(L70*N70,2)</f>
        <v/>
      </c>
      <c r="R70" s="75" t="n"/>
      <c r="S70" s="76" t="n"/>
      <c r="T70" s="77">
        <f>K70-L70</f>
        <v/>
      </c>
      <c r="U70" s="77">
        <f>P70-Q70</f>
        <v/>
      </c>
      <c r="V70" s="77">
        <f>ABS(U70)</f>
        <v/>
      </c>
      <c r="W70" s="78">
        <f>T70/L70</f>
        <v/>
      </c>
      <c r="X70" s="79">
        <f>ABS(W70)</f>
        <v/>
      </c>
      <c r="AG70" s="80" t="inlineStr">
        <is>
          <t>楼板面积</t>
        </is>
      </c>
    </row>
    <row r="71" ht="11.4" customHeight="1">
      <c r="A71" s="67" t="inlineStr">
        <is>
          <t>47</t>
        </is>
      </c>
      <c r="B71" s="67" t="inlineStr">
        <is>
          <t>1045</t>
        </is>
      </c>
      <c r="C71" s="67" t="inlineStr">
        <is>
          <t>1531</t>
        </is>
      </c>
      <c r="D71" s="68" t="inlineStr">
        <is>
          <t>01</t>
        </is>
      </c>
      <c r="E71" s="68" t="inlineStr">
        <is>
          <t>5 场地发展费</t>
        </is>
      </c>
      <c r="F71" s="68" t="inlineStr">
        <is>
          <t>5.4 道路、停车场的地面和路沿石</t>
        </is>
      </c>
      <c r="G71" s="68" t="inlineStr">
        <is>
          <t>DT道路、停车场的地面和路沿石</t>
        </is>
      </c>
      <c r="H71" s="68" t="inlineStr">
        <is>
          <t>DT道路</t>
        </is>
      </c>
      <c r="I71" s="69" t="inlineStr">
        <is>
          <t>1000021754</t>
        </is>
      </c>
      <c r="J71" s="69" t="inlineStr">
        <is>
          <t>DT-拆除道路面层</t>
        </is>
      </c>
      <c r="K71" s="70" t="n"/>
      <c r="L71" s="70" t="n"/>
      <c r="M71" s="71" t="inlineStr">
        <is>
          <t>m2</t>
        </is>
      </c>
      <c r="N71" s="72" t="n">
        <v>28.27</v>
      </c>
      <c r="O71" s="72">
        <f>ROUND(N71*(1+$F$10),2)</f>
        <v/>
      </c>
      <c r="P71" s="73">
        <f>ROUND(K71*N71,2)</f>
        <v/>
      </c>
      <c r="Q71" s="74">
        <f>ROUND(L71*N71,2)</f>
        <v/>
      </c>
      <c r="R71" s="75" t="n"/>
      <c r="S71" s="76" t="n"/>
      <c r="T71" s="77">
        <f>K71-L71</f>
        <v/>
      </c>
      <c r="U71" s="77">
        <f>P71-Q71</f>
        <v/>
      </c>
      <c r="V71" s="77">
        <f>ABS(U71)</f>
        <v/>
      </c>
      <c r="W71" s="78">
        <f>T71/L71</f>
        <v/>
      </c>
      <c r="X71" s="79">
        <f>ABS(W71)</f>
        <v/>
      </c>
      <c r="AG71" s="80" t="inlineStr">
        <is>
          <t>楼板面积</t>
        </is>
      </c>
    </row>
    <row r="72" ht="11.4" customHeight="1">
      <c r="A72" s="67" t="inlineStr">
        <is>
          <t>47</t>
        </is>
      </c>
      <c r="B72" s="67" t="inlineStr">
        <is>
          <t>1045</t>
        </is>
      </c>
      <c r="C72" s="67" t="inlineStr">
        <is>
          <t>1531</t>
        </is>
      </c>
      <c r="D72" s="68" t="inlineStr">
        <is>
          <t>01</t>
        </is>
      </c>
      <c r="E72" s="68" t="inlineStr">
        <is>
          <t>5 场地发展费</t>
        </is>
      </c>
      <c r="F72" s="68" t="inlineStr">
        <is>
          <t>5.4 道路、停车场的地面和路沿石</t>
        </is>
      </c>
      <c r="G72" s="68" t="inlineStr">
        <is>
          <t>DT道路、停车场的地面和路沿石</t>
        </is>
      </c>
      <c r="H72" s="68" t="inlineStr">
        <is>
          <t>DT道路</t>
        </is>
      </c>
      <c r="I72" s="69" t="inlineStr">
        <is>
          <t>1000021755</t>
        </is>
      </c>
      <c r="J72" s="69" t="inlineStr">
        <is>
          <t>DT-感应器预埋</t>
        </is>
      </c>
      <c r="K72" s="70" t="n"/>
      <c r="L72" s="70" t="n"/>
      <c r="M72" s="71" t="inlineStr">
        <is>
          <t>套</t>
        </is>
      </c>
      <c r="N72" s="72" t="n">
        <v>106.03</v>
      </c>
      <c r="O72" s="72">
        <f>ROUND(N72*(1+$F$10),2)</f>
        <v/>
      </c>
      <c r="P72" s="73">
        <f>ROUND(K72*N72,2)</f>
        <v/>
      </c>
      <c r="Q72" s="74">
        <f>ROUND(L72*N72,2)</f>
        <v/>
      </c>
      <c r="R72" s="75" t="n"/>
      <c r="S72" s="76" t="n"/>
      <c r="T72" s="77">
        <f>K72-L72</f>
        <v/>
      </c>
      <c r="U72" s="77">
        <f>P72-Q72</f>
        <v/>
      </c>
      <c r="V72" s="77">
        <f>ABS(U72)</f>
        <v/>
      </c>
      <c r="W72" s="78">
        <f>T72/L72</f>
        <v/>
      </c>
      <c r="X72" s="79">
        <f>ABS(W72)</f>
        <v/>
      </c>
      <c r="AG72" s="80" t="inlineStr">
        <is>
          <t>个数</t>
        </is>
      </c>
    </row>
    <row r="73" ht="11.4" customHeight="1">
      <c r="A73" s="67" t="inlineStr">
        <is>
          <t>47</t>
        </is>
      </c>
      <c r="B73" s="67" t="inlineStr">
        <is>
          <t>1045</t>
        </is>
      </c>
      <c r="C73" s="67" t="inlineStr">
        <is>
          <t>1531</t>
        </is>
      </c>
      <c r="D73" s="68" t="inlineStr">
        <is>
          <t>01</t>
        </is>
      </c>
      <c r="E73" s="68" t="inlineStr">
        <is>
          <t>5 场地发展费</t>
        </is>
      </c>
      <c r="F73" s="68" t="inlineStr">
        <is>
          <t>5.4 道路、停车场的地面和路沿石</t>
        </is>
      </c>
      <c r="G73" s="68" t="inlineStr">
        <is>
          <t>DT道路、停车场的地面和路沿石</t>
        </is>
      </c>
      <c r="H73" s="68" t="inlineStr">
        <is>
          <t>DT道路</t>
        </is>
      </c>
      <c r="I73" s="69" t="inlineStr">
        <is>
          <t>1000021756</t>
        </is>
      </c>
      <c r="J73" s="69" t="inlineStr">
        <is>
          <t>DT-路面、停车场画线</t>
        </is>
      </c>
      <c r="K73" s="70" t="n"/>
      <c r="L73" s="70" t="n"/>
      <c r="M73" s="71" t="inlineStr">
        <is>
          <t>项</t>
        </is>
      </c>
      <c r="N73" s="72" t="n">
        <v>15300</v>
      </c>
      <c r="O73" s="72">
        <f>ROUND(N73*(1+$F$10),2)</f>
        <v/>
      </c>
      <c r="P73" s="73">
        <f>ROUND(K73*N73,2)</f>
        <v/>
      </c>
      <c r="Q73" s="74">
        <f>ROUND(L73*N73,2)</f>
        <v/>
      </c>
      <c r="R73" s="75" t="n"/>
      <c r="S73" s="76" t="n"/>
      <c r="T73" s="77">
        <f>K73-L73</f>
        <v/>
      </c>
      <c r="U73" s="77">
        <f>P73-Q73</f>
        <v/>
      </c>
      <c r="V73" s="77">
        <f>ABS(U73)</f>
        <v/>
      </c>
      <c r="W73" s="78">
        <f>T73/L73</f>
        <v/>
      </c>
      <c r="X73" s="79">
        <f>ABS(W73)</f>
        <v/>
      </c>
      <c r="AH73" s="80" t="inlineStr">
        <is>
          <t>委托书</t>
        </is>
      </c>
    </row>
    <row r="74" ht="11.4" customHeight="1">
      <c r="A74" s="67" t="inlineStr">
        <is>
          <t>47</t>
        </is>
      </c>
      <c r="B74" s="67" t="inlineStr">
        <is>
          <t>1045</t>
        </is>
      </c>
      <c r="C74" s="67" t="inlineStr">
        <is>
          <t>1531</t>
        </is>
      </c>
      <c r="D74" s="68" t="inlineStr">
        <is>
          <t>01</t>
        </is>
      </c>
      <c r="E74" s="68" t="inlineStr">
        <is>
          <t>5 场地发展费</t>
        </is>
      </c>
      <c r="F74" s="68" t="inlineStr">
        <is>
          <t>5.4 道路、停车场的地面和路沿石</t>
        </is>
      </c>
      <c r="G74" s="68" t="inlineStr">
        <is>
          <t>DT道路、停车场的地面和路沿石</t>
        </is>
      </c>
      <c r="H74" s="68" t="inlineStr">
        <is>
          <t>DT道路</t>
        </is>
      </c>
      <c r="I74" s="69" t="inlineStr">
        <is>
          <t>1000021757</t>
        </is>
      </c>
      <c r="J74" s="69" t="inlineStr">
        <is>
          <t>DT-停车位限位器（挡轮器）（每套2只）</t>
        </is>
      </c>
      <c r="K74" s="70" t="n"/>
      <c r="L74" s="70" t="n"/>
      <c r="M74" s="71" t="inlineStr">
        <is>
          <t>套</t>
        </is>
      </c>
      <c r="N74" s="72" t="n">
        <v>60.99</v>
      </c>
      <c r="O74" s="72">
        <f>ROUND(N74*(1+$F$10),2)</f>
        <v/>
      </c>
      <c r="P74" s="73">
        <f>ROUND(K74*N74,2)</f>
        <v/>
      </c>
      <c r="Q74" s="74">
        <f>ROUND(L74*N74,2)</f>
        <v/>
      </c>
      <c r="R74" s="75" t="n"/>
      <c r="S74" s="76" t="n"/>
      <c r="T74" s="77">
        <f>K74-L74</f>
        <v/>
      </c>
      <c r="U74" s="77">
        <f>P74-Q74</f>
        <v/>
      </c>
      <c r="V74" s="77">
        <f>ABS(U74)</f>
        <v/>
      </c>
      <c r="W74" s="78">
        <f>T74/L74</f>
        <v/>
      </c>
      <c r="X74" s="79">
        <f>ABS(W74)</f>
        <v/>
      </c>
      <c r="AG74" s="6" t="inlineStr">
        <is>
          <t>个数</t>
        </is>
      </c>
    </row>
    <row r="75" ht="11.4" customHeight="1">
      <c r="A75" s="67" t="inlineStr">
        <is>
          <t>47</t>
        </is>
      </c>
      <c r="B75" s="67" t="inlineStr">
        <is>
          <t>1045</t>
        </is>
      </c>
      <c r="C75" s="67" t="inlineStr">
        <is>
          <t>1531</t>
        </is>
      </c>
      <c r="D75" s="68" t="inlineStr">
        <is>
          <t>01</t>
        </is>
      </c>
      <c r="E75" s="68" t="inlineStr">
        <is>
          <t>5 场地发展费</t>
        </is>
      </c>
      <c r="F75" s="68" t="inlineStr">
        <is>
          <t>5.4 道路、停车场的地面和路沿石</t>
        </is>
      </c>
      <c r="G75" s="68" t="inlineStr">
        <is>
          <t>DT道路、停车场的地面和路沿石</t>
        </is>
      </c>
      <c r="H75" s="68" t="inlineStr">
        <is>
          <t>DT道路</t>
        </is>
      </c>
      <c r="I75" s="69" t="inlineStr">
        <is>
          <t>1000021758</t>
        </is>
      </c>
      <c r="J75" s="69" t="inlineStr">
        <is>
          <t>DT-减速带</t>
        </is>
      </c>
      <c r="K75" s="70" t="n"/>
      <c r="L75" s="70" t="n"/>
      <c r="M75" s="71" t="inlineStr">
        <is>
          <t>米</t>
        </is>
      </c>
      <c r="N75" s="72" t="n">
        <v>146.19</v>
      </c>
      <c r="O75" s="72">
        <f>ROUND(N75*(1+$F$10),2)</f>
        <v/>
      </c>
      <c r="P75" s="73">
        <f>ROUND(K75*N75,2)</f>
        <v/>
      </c>
      <c r="Q75" s="74">
        <f>ROUND(L75*N75,2)</f>
        <v/>
      </c>
      <c r="R75" s="75" t="n"/>
      <c r="S75" s="76" t="n"/>
      <c r="T75" s="77">
        <f>K75-L75</f>
        <v/>
      </c>
      <c r="U75" s="77">
        <f>P75-Q75</f>
        <v/>
      </c>
      <c r="V75" s="77">
        <f>ABS(U75)</f>
        <v/>
      </c>
      <c r="W75" s="78">
        <f>T75/L75</f>
        <v/>
      </c>
      <c r="X75" s="79">
        <f>ABS(W75)</f>
        <v/>
      </c>
      <c r="AG75" s="80" t="inlineStr">
        <is>
          <t>长度（自建族设置）</t>
        </is>
      </c>
    </row>
    <row r="76" ht="11.4" customHeight="1">
      <c r="A76" s="67" t="inlineStr">
        <is>
          <t>47</t>
        </is>
      </c>
      <c r="B76" s="67" t="inlineStr">
        <is>
          <t>1045</t>
        </is>
      </c>
      <c r="C76" s="67" t="inlineStr">
        <is>
          <t>1531</t>
        </is>
      </c>
      <c r="D76" s="68" t="inlineStr">
        <is>
          <t>01</t>
        </is>
      </c>
      <c r="E76" s="68" t="inlineStr">
        <is>
          <t>5 场地发展费</t>
        </is>
      </c>
      <c r="F76" s="68" t="inlineStr">
        <is>
          <t>5.4 道路、停车场的地面和路沿石</t>
        </is>
      </c>
      <c r="G76" s="68" t="inlineStr">
        <is>
          <t>DT道路、停车场的地面和路沿石</t>
        </is>
      </c>
      <c r="H76" s="68" t="inlineStr">
        <is>
          <t>DT地面</t>
        </is>
      </c>
      <c r="I76" s="69" t="inlineStr">
        <is>
          <t>1000021759</t>
        </is>
      </c>
      <c r="J76" s="69" t="inlineStr">
        <is>
          <t>DT-植（嵌）草砖</t>
        </is>
      </c>
      <c r="K76" s="70" t="n"/>
      <c r="L76" s="70" t="n"/>
      <c r="M76" s="71" t="inlineStr">
        <is>
          <t>m2</t>
        </is>
      </c>
      <c r="N76" s="72" t="n">
        <v>265.42</v>
      </c>
      <c r="O76" s="72">
        <f>ROUND(N76*(1+$F$10),2)</f>
        <v/>
      </c>
      <c r="P76" s="73">
        <f>ROUND(K76*N76,2)</f>
        <v/>
      </c>
      <c r="Q76" s="74">
        <f>ROUND(L76*N76,2)</f>
        <v/>
      </c>
      <c r="R76" s="75" t="n"/>
      <c r="S76" s="76" t="n"/>
      <c r="T76" s="77">
        <f>K76-L76</f>
        <v/>
      </c>
      <c r="U76" s="77">
        <f>P76-Q76</f>
        <v/>
      </c>
      <c r="V76" s="77">
        <f>ABS(U76)</f>
        <v/>
      </c>
      <c r="W76" s="78">
        <f>T76/L76</f>
        <v/>
      </c>
      <c r="X76" s="79">
        <f>ABS(W76)</f>
        <v/>
      </c>
      <c r="AG76" s="80" t="inlineStr">
        <is>
          <t>楼板面积</t>
        </is>
      </c>
    </row>
    <row r="77" ht="11.4" customHeight="1">
      <c r="A77" s="67" t="inlineStr">
        <is>
          <t>47</t>
        </is>
      </c>
      <c r="B77" s="67" t="inlineStr">
        <is>
          <t>1045</t>
        </is>
      </c>
      <c r="C77" s="67" t="inlineStr">
        <is>
          <t>1531</t>
        </is>
      </c>
      <c r="D77" s="68" t="inlineStr">
        <is>
          <t>01</t>
        </is>
      </c>
      <c r="E77" s="68" t="inlineStr">
        <is>
          <t>5 场地发展费</t>
        </is>
      </c>
      <c r="F77" s="68" t="inlineStr">
        <is>
          <t>5.4 道路、停车场的地面和路沿石</t>
        </is>
      </c>
      <c r="G77" s="68" t="inlineStr">
        <is>
          <t>DT道路、停车场的地面和路沿石</t>
        </is>
      </c>
      <c r="H77" s="68" t="inlineStr">
        <is>
          <t>DT地面</t>
        </is>
      </c>
      <c r="I77" s="69" t="inlineStr">
        <is>
          <t>1000021760</t>
        </is>
      </c>
      <c r="J77" s="69" t="inlineStr">
        <is>
          <t>DT-压花地面（仅压花工艺）</t>
        </is>
      </c>
      <c r="K77" s="70" t="n"/>
      <c r="L77" s="70" t="n"/>
      <c r="M77" s="71" t="inlineStr">
        <is>
          <t>m2</t>
        </is>
      </c>
      <c r="N77" s="72" t="n">
        <v>40.55</v>
      </c>
      <c r="O77" s="72">
        <f>ROUND(N77*(1+$F$10),2)</f>
        <v/>
      </c>
      <c r="P77" s="73">
        <f>ROUND(K77*N77,2)</f>
        <v/>
      </c>
      <c r="Q77" s="74">
        <f>ROUND(L77*N77,2)</f>
        <v/>
      </c>
      <c r="R77" s="75" t="n"/>
      <c r="S77" s="76" t="n"/>
      <c r="T77" s="77">
        <f>K77-L77</f>
        <v/>
      </c>
      <c r="U77" s="77">
        <f>P77-Q77</f>
        <v/>
      </c>
      <c r="V77" s="77">
        <f>ABS(U77)</f>
        <v/>
      </c>
      <c r="W77" s="78">
        <f>T77/L77</f>
        <v/>
      </c>
      <c r="X77" s="79">
        <f>ABS(W77)</f>
        <v/>
      </c>
      <c r="AG77" s="6" t="inlineStr">
        <is>
          <t>楼板面积</t>
        </is>
      </c>
    </row>
    <row r="78" ht="11.4" customHeight="1">
      <c r="A78" s="67" t="inlineStr">
        <is>
          <t>47</t>
        </is>
      </c>
      <c r="B78" s="67" t="inlineStr">
        <is>
          <t>1045</t>
        </is>
      </c>
      <c r="C78" s="67" t="inlineStr">
        <is>
          <t>1531</t>
        </is>
      </c>
      <c r="D78" s="68" t="inlineStr">
        <is>
          <t>01</t>
        </is>
      </c>
      <c r="E78" s="68" t="inlineStr">
        <is>
          <t>5 场地发展费</t>
        </is>
      </c>
      <c r="F78" s="68" t="inlineStr">
        <is>
          <t>5.4 道路、停车场的地面和路沿石</t>
        </is>
      </c>
      <c r="G78" s="68" t="inlineStr">
        <is>
          <t>DT道路、停车场的地面和路沿石</t>
        </is>
      </c>
      <c r="H78" s="68" t="inlineStr">
        <is>
          <t>DT防护</t>
        </is>
      </c>
      <c r="I78" s="69" t="inlineStr">
        <is>
          <t>1000021761</t>
        </is>
      </c>
      <c r="J78" s="69" t="inlineStr">
        <is>
          <t>DT防撞杆</t>
        </is>
      </c>
      <c r="K78" s="70" t="n"/>
      <c r="L78" s="70" t="n"/>
      <c r="M78" s="71" t="inlineStr">
        <is>
          <t>只</t>
        </is>
      </c>
      <c r="N78" s="72" t="n">
        <v>257.95</v>
      </c>
      <c r="O78" s="72">
        <f>ROUND(N78*(1+$F$10),2)</f>
        <v/>
      </c>
      <c r="P78" s="73">
        <f>ROUND(K78*N78,2)</f>
        <v/>
      </c>
      <c r="Q78" s="74">
        <f>ROUND(L78*N78,2)</f>
        <v/>
      </c>
      <c r="R78" s="75" t="n"/>
      <c r="S78" s="76" t="n"/>
      <c r="T78" s="77">
        <f>K78-L78</f>
        <v/>
      </c>
      <c r="U78" s="77">
        <f>P78-Q78</f>
        <v/>
      </c>
      <c r="V78" s="77">
        <f>ABS(U78)</f>
        <v/>
      </c>
      <c r="W78" s="78">
        <f>T78/L78</f>
        <v/>
      </c>
      <c r="X78" s="79">
        <f>ABS(W78)</f>
        <v/>
      </c>
      <c r="AG78" s="6" t="inlineStr">
        <is>
          <t>个数</t>
        </is>
      </c>
    </row>
    <row r="79" ht="11.4" customHeight="1">
      <c r="A79" s="67" t="inlineStr">
        <is>
          <t>47</t>
        </is>
      </c>
      <c r="B79" s="67" t="inlineStr">
        <is>
          <t>1045</t>
        </is>
      </c>
      <c r="C79" s="67" t="inlineStr">
        <is>
          <t>1531</t>
        </is>
      </c>
      <c r="D79" s="68" t="inlineStr">
        <is>
          <t>01</t>
        </is>
      </c>
      <c r="E79" s="68" t="inlineStr">
        <is>
          <t>5 场地发展费</t>
        </is>
      </c>
      <c r="F79" s="68" t="inlineStr">
        <is>
          <t>5.4 道路、停车场的地面和路沿石</t>
        </is>
      </c>
      <c r="G79" s="68" t="inlineStr">
        <is>
          <t>DT道路、停车场的地面和路沿石</t>
        </is>
      </c>
      <c r="H79" s="68" t="inlineStr">
        <is>
          <t>DT防护</t>
        </is>
      </c>
      <c r="I79" s="69" t="inlineStr">
        <is>
          <t>1000021762</t>
        </is>
      </c>
      <c r="J79" s="69" t="inlineStr">
        <is>
          <t>DT防护栏杆安装</t>
        </is>
      </c>
      <c r="K79" s="70" t="n"/>
      <c r="L79" s="70" t="n"/>
      <c r="M79" s="71" t="inlineStr">
        <is>
          <t>只</t>
        </is>
      </c>
      <c r="N79" s="72" t="n">
        <v>81.83</v>
      </c>
      <c r="O79" s="72">
        <f>ROUND(N79*(1+$F$10),2)</f>
        <v/>
      </c>
      <c r="P79" s="73">
        <f>ROUND(K79*N79,2)</f>
        <v/>
      </c>
      <c r="Q79" s="74">
        <f>ROUND(L79*N79,2)</f>
        <v/>
      </c>
      <c r="R79" s="75" t="n"/>
      <c r="S79" s="76" t="n"/>
      <c r="T79" s="77">
        <f>K79-L79</f>
        <v/>
      </c>
      <c r="U79" s="77">
        <f>P79-Q79</f>
        <v/>
      </c>
      <c r="V79" s="77">
        <f>ABS(U79)</f>
        <v/>
      </c>
      <c r="W79" s="78">
        <f>T79/L79</f>
        <v/>
      </c>
      <c r="X79" s="79">
        <f>ABS(W79)</f>
        <v/>
      </c>
      <c r="AG79" s="6" t="inlineStr">
        <is>
          <t>个数</t>
        </is>
      </c>
    </row>
    <row r="80" ht="11.4" customHeight="1">
      <c r="A80" s="67" t="inlineStr">
        <is>
          <t>47</t>
        </is>
      </c>
      <c r="B80" s="67" t="inlineStr">
        <is>
          <t>1045</t>
        </is>
      </c>
      <c r="C80" s="67" t="inlineStr">
        <is>
          <t>1531</t>
        </is>
      </c>
      <c r="D80" s="68" t="inlineStr">
        <is>
          <t>01</t>
        </is>
      </c>
      <c r="E80" s="68" t="inlineStr">
        <is>
          <t>5 场地发展费</t>
        </is>
      </c>
      <c r="F80" s="68" t="inlineStr">
        <is>
          <t>5.4 道路、停车场的地面和路沿石</t>
        </is>
      </c>
      <c r="G80" s="68" t="inlineStr">
        <is>
          <t>DT道路、停车场的地面和路沿石</t>
        </is>
      </c>
      <c r="H80" s="68" t="inlineStr">
        <is>
          <t>DT埋管、电线</t>
        </is>
      </c>
      <c r="I80" s="69" t="inlineStr">
        <is>
          <t>1000021763</t>
        </is>
      </c>
      <c r="J80" s="69" t="inlineStr">
        <is>
          <t>DT-招牌电线</t>
        </is>
      </c>
      <c r="K80" s="70" t="n"/>
      <c r="L80" s="70" t="n"/>
      <c r="M80" s="71" t="inlineStr">
        <is>
          <t>米</t>
        </is>
      </c>
      <c r="N80" s="72" t="n">
        <v>35.3</v>
      </c>
      <c r="O80" s="72">
        <f>ROUND(N80*(1+$F$10),2)</f>
        <v/>
      </c>
      <c r="P80" s="73">
        <f>ROUND(K80*N80,2)</f>
        <v/>
      </c>
      <c r="Q80" s="74">
        <f>ROUND(L80*N80,2)</f>
        <v/>
      </c>
      <c r="R80" s="75" t="n"/>
      <c r="S80" s="76" t="n"/>
      <c r="T80" s="77">
        <f>K80-L80</f>
        <v/>
      </c>
      <c r="U80" s="77">
        <f>P80-Q80</f>
        <v/>
      </c>
      <c r="V80" s="77">
        <f>ABS(U80)</f>
        <v/>
      </c>
      <c r="W80" s="78">
        <f>T80/L80</f>
        <v/>
      </c>
      <c r="X80" s="79">
        <f>ABS(W80)</f>
        <v/>
      </c>
      <c r="AG80" s="80" t="inlineStr">
        <is>
          <t>总长度（插件计算）线管</t>
        </is>
      </c>
    </row>
    <row r="81" ht="11.4" customHeight="1">
      <c r="A81" s="67" t="inlineStr">
        <is>
          <t>48</t>
        </is>
      </c>
      <c r="B81" s="67" t="inlineStr">
        <is>
          <t>1046</t>
        </is>
      </c>
      <c r="C81" s="67" t="inlineStr">
        <is>
          <t>1532</t>
        </is>
      </c>
      <c r="D81" s="68" t="inlineStr">
        <is>
          <t>01</t>
        </is>
      </c>
      <c r="E81" s="68" t="inlineStr">
        <is>
          <t>5 场地发展费</t>
        </is>
      </c>
      <c r="F81" s="68" t="inlineStr">
        <is>
          <t>5.5 场地照明</t>
        </is>
      </c>
      <c r="G81" s="68" t="inlineStr">
        <is>
          <t>DT场地照明</t>
        </is>
      </c>
      <c r="H81" s="68" t="inlineStr">
        <is>
          <t>DT场地灯具安装</t>
        </is>
      </c>
      <c r="I81" s="69" t="inlineStr">
        <is>
          <t>1000021764</t>
        </is>
      </c>
      <c r="J81" s="69" t="inlineStr">
        <is>
          <t>安装DT- L11 单头</t>
        </is>
      </c>
      <c r="K81" s="70" t="n"/>
      <c r="L81" s="70" t="n"/>
      <c r="M81" s="71" t="inlineStr">
        <is>
          <t>个</t>
        </is>
      </c>
      <c r="N81" s="72" t="n">
        <v>723.4400000000001</v>
      </c>
      <c r="O81" s="72">
        <f>ROUND(N81*(1+$F$10),2)</f>
        <v/>
      </c>
      <c r="P81" s="73">
        <f>ROUND(K81*N81,2)</f>
        <v/>
      </c>
      <c r="Q81" s="74">
        <f>ROUND(L81*N81,2)</f>
        <v/>
      </c>
      <c r="R81" s="75" t="n"/>
      <c r="S81" s="76" t="n"/>
      <c r="T81" s="77">
        <f>K81-L81</f>
        <v/>
      </c>
      <c r="U81" s="77">
        <f>P81-Q81</f>
        <v/>
      </c>
      <c r="V81" s="77">
        <f>ABS(U81)</f>
        <v/>
      </c>
      <c r="W81" s="78">
        <f>T81/L81</f>
        <v/>
      </c>
      <c r="X81" s="79">
        <f>ABS(W81)</f>
        <v/>
      </c>
      <c r="AG81" s="80" t="inlineStr">
        <is>
          <t>个数</t>
        </is>
      </c>
    </row>
    <row r="82" ht="11.4" customHeight="1">
      <c r="A82" s="67" t="inlineStr">
        <is>
          <t>48</t>
        </is>
      </c>
      <c r="B82" s="67" t="inlineStr">
        <is>
          <t>1046</t>
        </is>
      </c>
      <c r="C82" s="67" t="inlineStr">
        <is>
          <t>1532</t>
        </is>
      </c>
      <c r="D82" s="68" t="inlineStr">
        <is>
          <t>01</t>
        </is>
      </c>
      <c r="E82" s="68" t="inlineStr">
        <is>
          <t>5 场地发展费</t>
        </is>
      </c>
      <c r="F82" s="68" t="inlineStr">
        <is>
          <t>5.5 场地照明</t>
        </is>
      </c>
      <c r="G82" s="68" t="inlineStr">
        <is>
          <t>DT场地照明</t>
        </is>
      </c>
      <c r="H82" s="68" t="inlineStr">
        <is>
          <t>DT场地灯具安装</t>
        </is>
      </c>
      <c r="I82" s="69" t="inlineStr">
        <is>
          <t>1000021765</t>
        </is>
      </c>
      <c r="J82" s="69" t="inlineStr">
        <is>
          <t>安装DT- L11 双头</t>
        </is>
      </c>
      <c r="K82" s="70" t="n"/>
      <c r="L82" s="70" t="n"/>
      <c r="M82" s="71" t="inlineStr">
        <is>
          <t>个</t>
        </is>
      </c>
      <c r="N82" s="72" t="n">
        <v>723.4400000000001</v>
      </c>
      <c r="O82" s="72">
        <f>ROUND(N82*(1+$F$10),2)</f>
        <v/>
      </c>
      <c r="P82" s="73">
        <f>ROUND(K82*N82,2)</f>
        <v/>
      </c>
      <c r="Q82" s="74">
        <f>ROUND(L82*N82,2)</f>
        <v/>
      </c>
      <c r="R82" s="75" t="n"/>
      <c r="S82" s="76" t="n"/>
      <c r="T82" s="77">
        <f>K82-L82</f>
        <v/>
      </c>
      <c r="U82" s="77">
        <f>P82-Q82</f>
        <v/>
      </c>
      <c r="V82" s="77">
        <f>ABS(U82)</f>
        <v/>
      </c>
      <c r="W82" s="78">
        <f>T82/L82</f>
        <v/>
      </c>
      <c r="X82" s="79">
        <f>ABS(W82)</f>
        <v/>
      </c>
      <c r="AG82" s="80" t="inlineStr">
        <is>
          <t>个数</t>
        </is>
      </c>
    </row>
    <row r="83" ht="11.4" customHeight="1">
      <c r="A83" s="67" t="inlineStr">
        <is>
          <t>48</t>
        </is>
      </c>
      <c r="B83" s="67" t="inlineStr">
        <is>
          <t>1046</t>
        </is>
      </c>
      <c r="C83" s="67" t="inlineStr">
        <is>
          <t>1532</t>
        </is>
      </c>
      <c r="D83" s="68" t="inlineStr">
        <is>
          <t>01</t>
        </is>
      </c>
      <c r="E83" s="68" t="inlineStr">
        <is>
          <t>5 场地发展费</t>
        </is>
      </c>
      <c r="F83" s="68" t="inlineStr">
        <is>
          <t>5.5 场地照明</t>
        </is>
      </c>
      <c r="G83" s="68" t="inlineStr">
        <is>
          <t>DT场地照明</t>
        </is>
      </c>
      <c r="H83" s="68" t="inlineStr">
        <is>
          <t>DT场地灯具安装</t>
        </is>
      </c>
      <c r="I83" s="69" t="inlineStr">
        <is>
          <t>1000021766</t>
        </is>
      </c>
      <c r="J83" s="69" t="inlineStr">
        <is>
          <t>安装DT- LED时尚草坪灯具500MM  L12</t>
        </is>
      </c>
      <c r="K83" s="70" t="n"/>
      <c r="L83" s="70" t="n"/>
      <c r="M83" s="71" t="inlineStr">
        <is>
          <t>个</t>
        </is>
      </c>
      <c r="N83" s="72" t="n">
        <v>137.35</v>
      </c>
      <c r="O83" s="72">
        <f>ROUND(N83*(1+$F$10),2)</f>
        <v/>
      </c>
      <c r="P83" s="73">
        <f>ROUND(K83*N83,2)</f>
        <v/>
      </c>
      <c r="Q83" s="74">
        <f>ROUND(L83*N83,2)</f>
        <v/>
      </c>
      <c r="R83" s="75" t="n"/>
      <c r="S83" s="76" t="n"/>
      <c r="T83" s="77">
        <f>K83-L83</f>
        <v/>
      </c>
      <c r="U83" s="77">
        <f>P83-Q83</f>
        <v/>
      </c>
      <c r="V83" s="77">
        <f>ABS(U83)</f>
        <v/>
      </c>
      <c r="W83" s="78">
        <f>T83/L83</f>
        <v/>
      </c>
      <c r="X83" s="79">
        <f>ABS(W83)</f>
        <v/>
      </c>
      <c r="AG83" s="80" t="inlineStr">
        <is>
          <t>个数</t>
        </is>
      </c>
    </row>
    <row r="84" ht="11.4" customHeight="1">
      <c r="A84" s="67" t="inlineStr">
        <is>
          <t>48</t>
        </is>
      </c>
      <c r="B84" s="67" t="inlineStr">
        <is>
          <t>1046</t>
        </is>
      </c>
      <c r="C84" s="67" t="inlineStr">
        <is>
          <t>1532</t>
        </is>
      </c>
      <c r="D84" s="68" t="inlineStr">
        <is>
          <t>01</t>
        </is>
      </c>
      <c r="E84" s="68" t="inlineStr">
        <is>
          <t>5 场地发展费</t>
        </is>
      </c>
      <c r="F84" s="68" t="inlineStr">
        <is>
          <t>5.5 场地照明</t>
        </is>
      </c>
      <c r="G84" s="68" t="inlineStr">
        <is>
          <t>DT场地照明</t>
        </is>
      </c>
      <c r="H84" s="68" t="inlineStr">
        <is>
          <t>DT场地灯具安装</t>
        </is>
      </c>
      <c r="I84" s="69" t="inlineStr">
        <is>
          <t>1000021767</t>
        </is>
      </c>
      <c r="J84" s="69" t="inlineStr">
        <is>
          <t>DT-安装 飞利浦牌36w防水防尘荧光灯1管</t>
        </is>
      </c>
      <c r="K84" s="70" t="n"/>
      <c r="L84" s="70" t="n"/>
      <c r="M84" s="71" t="inlineStr">
        <is>
          <t>个</t>
        </is>
      </c>
      <c r="N84" s="72" t="n">
        <v>151.65</v>
      </c>
      <c r="O84" s="72">
        <f>ROUND(N84*(1+$F$10),2)</f>
        <v/>
      </c>
      <c r="P84" s="73">
        <f>ROUND(K84*N84,2)</f>
        <v/>
      </c>
      <c r="Q84" s="74">
        <f>ROUND(L84*N84,2)</f>
        <v/>
      </c>
      <c r="R84" s="75" t="n"/>
      <c r="S84" s="76" t="n"/>
      <c r="T84" s="77">
        <f>K84-L84</f>
        <v/>
      </c>
      <c r="U84" s="77">
        <f>P84-Q84</f>
        <v/>
      </c>
      <c r="V84" s="77">
        <f>ABS(U84)</f>
        <v/>
      </c>
      <c r="W84" s="78">
        <f>T84/L84</f>
        <v/>
      </c>
      <c r="X84" s="79">
        <f>ABS(W84)</f>
        <v/>
      </c>
      <c r="AG84" s="80" t="inlineStr">
        <is>
          <t>个数</t>
        </is>
      </c>
    </row>
    <row r="85" ht="11.4" customHeight="1">
      <c r="A85" s="67" t="inlineStr">
        <is>
          <t>48</t>
        </is>
      </c>
      <c r="B85" s="67" t="inlineStr">
        <is>
          <t>1046</t>
        </is>
      </c>
      <c r="C85" s="67" t="inlineStr">
        <is>
          <t>1532</t>
        </is>
      </c>
      <c r="D85" s="68" t="inlineStr">
        <is>
          <t>01</t>
        </is>
      </c>
      <c r="E85" s="68" t="inlineStr">
        <is>
          <t>5 场地发展费</t>
        </is>
      </c>
      <c r="F85" s="68" t="inlineStr">
        <is>
          <t>5.5 场地照明</t>
        </is>
      </c>
      <c r="G85" s="68" t="inlineStr">
        <is>
          <t>DT场地照明</t>
        </is>
      </c>
      <c r="H85" s="68" t="inlineStr">
        <is>
          <t>DT场地灯具安装</t>
        </is>
      </c>
      <c r="I85" s="69" t="inlineStr">
        <is>
          <t>1000021768</t>
        </is>
      </c>
      <c r="J85" s="69" t="inlineStr">
        <is>
          <t>DT-安装 飞利浦牌36w防水防尘荧光灯2管</t>
        </is>
      </c>
      <c r="K85" s="70" t="n"/>
      <c r="L85" s="70" t="n"/>
      <c r="M85" s="71" t="inlineStr">
        <is>
          <t>个</t>
        </is>
      </c>
      <c r="N85" s="72" t="n">
        <v>151.65</v>
      </c>
      <c r="O85" s="72">
        <f>ROUND(N85*(1+$F$10),2)</f>
        <v/>
      </c>
      <c r="P85" s="73">
        <f>ROUND(K85*N85,2)</f>
        <v/>
      </c>
      <c r="Q85" s="74">
        <f>ROUND(L85*N85,2)</f>
        <v/>
      </c>
      <c r="R85" s="75" t="n"/>
      <c r="S85" s="76" t="n"/>
      <c r="T85" s="77">
        <f>K85-L85</f>
        <v/>
      </c>
      <c r="U85" s="77">
        <f>P85-Q85</f>
        <v/>
      </c>
      <c r="V85" s="77">
        <f>ABS(U85)</f>
        <v/>
      </c>
      <c r="W85" s="78">
        <f>T85/L85</f>
        <v/>
      </c>
      <c r="X85" s="79">
        <f>ABS(W85)</f>
        <v/>
      </c>
      <c r="AG85" s="80" t="inlineStr">
        <is>
          <t>个数</t>
        </is>
      </c>
    </row>
    <row r="86" ht="11.4" customHeight="1">
      <c r="A86" s="67" t="inlineStr">
        <is>
          <t>48</t>
        </is>
      </c>
      <c r="B86" s="67" t="inlineStr">
        <is>
          <t>1046</t>
        </is>
      </c>
      <c r="C86" s="67" t="inlineStr">
        <is>
          <t>1532</t>
        </is>
      </c>
      <c r="D86" s="68" t="inlineStr">
        <is>
          <t>01</t>
        </is>
      </c>
      <c r="E86" s="68" t="inlineStr">
        <is>
          <t>5 场地发展费</t>
        </is>
      </c>
      <c r="F86" s="68" t="inlineStr">
        <is>
          <t>5.5 场地照明</t>
        </is>
      </c>
      <c r="G86" s="68" t="inlineStr">
        <is>
          <t>DT场地照明</t>
        </is>
      </c>
      <c r="H86" s="68" t="inlineStr">
        <is>
          <t>DT场地管线敷设</t>
        </is>
      </c>
      <c r="I86" s="69" t="inlineStr">
        <is>
          <t>1000021769</t>
        </is>
      </c>
      <c r="J86" s="69" t="inlineStr">
        <is>
          <t>DT-路灯电气管线敷设（含草坪灯管线）</t>
        </is>
      </c>
      <c r="K86" s="70" t="n"/>
      <c r="L86" s="70" t="n"/>
      <c r="M86" s="71" t="inlineStr">
        <is>
          <t>米</t>
        </is>
      </c>
      <c r="N86" s="72" t="n">
        <v>56.98</v>
      </c>
      <c r="O86" s="72">
        <f>ROUND(N86*(1+$F$10),2)</f>
        <v/>
      </c>
      <c r="P86" s="73">
        <f>ROUND(K86*N86,2)</f>
        <v/>
      </c>
      <c r="Q86" s="74">
        <f>ROUND(L86*N86,2)</f>
        <v/>
      </c>
      <c r="R86" s="75" t="n"/>
      <c r="S86" s="76" t="n"/>
      <c r="T86" s="77">
        <f>K86-L86</f>
        <v/>
      </c>
      <c r="U86" s="77">
        <f>P86-Q86</f>
        <v/>
      </c>
      <c r="V86" s="77">
        <f>ABS(U86)</f>
        <v/>
      </c>
      <c r="W86" s="78">
        <f>T86/L86</f>
        <v/>
      </c>
      <c r="X86" s="79">
        <f>ABS(W86)</f>
        <v/>
      </c>
      <c r="AG86" s="80" t="inlineStr">
        <is>
          <t>总长度（插件计算）线管</t>
        </is>
      </c>
    </row>
    <row r="87" ht="11.4" customHeight="1">
      <c r="A87" s="67" t="inlineStr">
        <is>
          <t>48</t>
        </is>
      </c>
      <c r="B87" s="67" t="inlineStr">
        <is>
          <t>1046</t>
        </is>
      </c>
      <c r="C87" s="67" t="inlineStr">
        <is>
          <t>1532</t>
        </is>
      </c>
      <c r="D87" s="68" t="inlineStr">
        <is>
          <t>01</t>
        </is>
      </c>
      <c r="E87" s="68" t="inlineStr">
        <is>
          <t>5 场地发展费</t>
        </is>
      </c>
      <c r="F87" s="68" t="inlineStr">
        <is>
          <t>5.5 场地照明</t>
        </is>
      </c>
      <c r="G87" s="68" t="inlineStr">
        <is>
          <t>DT场地照明</t>
        </is>
      </c>
      <c r="H87" s="68" t="inlineStr">
        <is>
          <t>DT场地灯具主材</t>
        </is>
      </c>
      <c r="I87" s="69" t="inlineStr">
        <is>
          <t>1000021449</t>
        </is>
      </c>
      <c r="J87" s="69" t="inlineStr">
        <is>
          <t>DT-PHILIPS-L11-单头</t>
        </is>
      </c>
      <c r="K87" s="70" t="n"/>
      <c r="L87" s="70" t="n"/>
      <c r="M87" s="71" t="inlineStr">
        <is>
          <t>个</t>
        </is>
      </c>
      <c r="N87" s="72" t="n">
        <v>3230.77</v>
      </c>
      <c r="O87" s="72">
        <f>ROUND(N87*(1+$F$10),2)</f>
        <v/>
      </c>
      <c r="P87" s="73">
        <f>ROUND(K87*N87,2)</f>
        <v/>
      </c>
      <c r="Q87" s="74">
        <f>ROUND(L87*N87,2)</f>
        <v/>
      </c>
      <c r="R87" s="75" t="n"/>
      <c r="S87" s="76" t="n"/>
      <c r="T87" s="77">
        <f>K87-L87</f>
        <v/>
      </c>
      <c r="U87" s="77">
        <f>P87-Q87</f>
        <v/>
      </c>
      <c r="V87" s="77">
        <f>ABS(U87)</f>
        <v/>
      </c>
      <c r="W87" s="78">
        <f>T87/L87</f>
        <v/>
      </c>
      <c r="X87" s="79">
        <f>ABS(W87)</f>
        <v/>
      </c>
      <c r="AG87" s="6" t="inlineStr">
        <is>
          <t>个数</t>
        </is>
      </c>
    </row>
    <row r="88" ht="11.4" customHeight="1">
      <c r="A88" s="67" t="inlineStr">
        <is>
          <t>48</t>
        </is>
      </c>
      <c r="B88" s="67" t="inlineStr">
        <is>
          <t>1046</t>
        </is>
      </c>
      <c r="C88" s="67" t="inlineStr">
        <is>
          <t>1532</t>
        </is>
      </c>
      <c r="D88" s="68" t="inlineStr">
        <is>
          <t>01</t>
        </is>
      </c>
      <c r="E88" s="68" t="inlineStr">
        <is>
          <t>5 场地发展费</t>
        </is>
      </c>
      <c r="F88" s="68" t="inlineStr">
        <is>
          <t>5.5 场地照明</t>
        </is>
      </c>
      <c r="G88" s="68" t="inlineStr">
        <is>
          <t>DT场地照明</t>
        </is>
      </c>
      <c r="H88" s="68" t="inlineStr">
        <is>
          <t>DT场地灯具主材</t>
        </is>
      </c>
      <c r="I88" s="69" t="inlineStr">
        <is>
          <t>1000021450</t>
        </is>
      </c>
      <c r="J88" s="69" t="inlineStr">
        <is>
          <t>DT-PHILIPS-L11-双头</t>
        </is>
      </c>
      <c r="K88" s="70" t="n"/>
      <c r="L88" s="70" t="n"/>
      <c r="M88" s="71" t="inlineStr">
        <is>
          <t>个</t>
        </is>
      </c>
      <c r="N88" s="72" t="n">
        <v>5115.38</v>
      </c>
      <c r="O88" s="72">
        <f>ROUND(N88*(1+$F$10),2)</f>
        <v/>
      </c>
      <c r="P88" s="73">
        <f>ROUND(K88*N88,2)</f>
        <v/>
      </c>
      <c r="Q88" s="74">
        <f>ROUND(L88*N88,2)</f>
        <v/>
      </c>
      <c r="R88" s="75" t="n"/>
      <c r="S88" s="76" t="n"/>
      <c r="T88" s="77">
        <f>K88-L88</f>
        <v/>
      </c>
      <c r="U88" s="77">
        <f>P88-Q88</f>
        <v/>
      </c>
      <c r="V88" s="77">
        <f>ABS(U88)</f>
        <v/>
      </c>
      <c r="W88" s="78">
        <f>T88/L88</f>
        <v/>
      </c>
      <c r="X88" s="79">
        <f>ABS(W88)</f>
        <v/>
      </c>
      <c r="AG88" s="6" t="inlineStr">
        <is>
          <t>个数</t>
        </is>
      </c>
    </row>
    <row r="89" ht="11.4" customHeight="1">
      <c r="A89" s="67" t="inlineStr">
        <is>
          <t>48</t>
        </is>
      </c>
      <c r="B89" s="67" t="inlineStr">
        <is>
          <t>1046</t>
        </is>
      </c>
      <c r="C89" s="67" t="inlineStr">
        <is>
          <t>1532</t>
        </is>
      </c>
      <c r="D89" s="68" t="inlineStr">
        <is>
          <t>01</t>
        </is>
      </c>
      <c r="E89" s="68" t="inlineStr">
        <is>
          <t>5 场地发展费</t>
        </is>
      </c>
      <c r="F89" s="68" t="inlineStr">
        <is>
          <t>5.5 场地照明</t>
        </is>
      </c>
      <c r="G89" s="68" t="inlineStr">
        <is>
          <t>DT场地照明</t>
        </is>
      </c>
      <c r="H89" s="68" t="inlineStr">
        <is>
          <t>DT场地灯具主材</t>
        </is>
      </c>
      <c r="I89" s="69" t="inlineStr">
        <is>
          <t>1000021451</t>
        </is>
      </c>
      <c r="J89" s="69" t="inlineStr">
        <is>
          <t>DT-PHILIPSLED时尚草坪灯具500MM-L12</t>
        </is>
      </c>
      <c r="K89" s="70" t="n"/>
      <c r="L89" s="70" t="n"/>
      <c r="M89" s="71" t="inlineStr">
        <is>
          <t>个</t>
        </is>
      </c>
      <c r="N89" s="72" t="n">
        <v>565.38</v>
      </c>
      <c r="O89" s="72">
        <f>ROUND(N89*(1+$F$10),2)</f>
        <v/>
      </c>
      <c r="P89" s="73">
        <f>ROUND(K89*N89,2)</f>
        <v/>
      </c>
      <c r="Q89" s="74">
        <f>ROUND(L89*N89,2)</f>
        <v/>
      </c>
      <c r="R89" s="75" t="n"/>
      <c r="S89" s="76" t="n"/>
      <c r="T89" s="77">
        <f>K89-L89</f>
        <v/>
      </c>
      <c r="U89" s="77">
        <f>P89-Q89</f>
        <v/>
      </c>
      <c r="V89" s="77">
        <f>ABS(U89)</f>
        <v/>
      </c>
      <c r="W89" s="78">
        <f>T89/L89</f>
        <v/>
      </c>
      <c r="X89" s="79">
        <f>ABS(W89)</f>
        <v/>
      </c>
      <c r="AG89" s="6" t="inlineStr">
        <is>
          <t>个数</t>
        </is>
      </c>
    </row>
    <row r="90" ht="11.4" customHeight="1">
      <c r="A90" s="67" t="inlineStr">
        <is>
          <t>48</t>
        </is>
      </c>
      <c r="B90" s="67" t="inlineStr">
        <is>
          <t>1046</t>
        </is>
      </c>
      <c r="C90" s="67" t="inlineStr">
        <is>
          <t>1532</t>
        </is>
      </c>
      <c r="D90" s="68" t="inlineStr">
        <is>
          <t>01</t>
        </is>
      </c>
      <c r="E90" s="68" t="inlineStr">
        <is>
          <t>5 场地发展费</t>
        </is>
      </c>
      <c r="F90" s="68" t="inlineStr">
        <is>
          <t>5.5 场地照明</t>
        </is>
      </c>
      <c r="G90" s="68" t="inlineStr">
        <is>
          <t>DT场地照明</t>
        </is>
      </c>
      <c r="H90" s="68" t="inlineStr">
        <is>
          <t>DT场地灯具主材</t>
        </is>
      </c>
      <c r="I90" s="69" t="inlineStr">
        <is>
          <t>1000021562</t>
        </is>
      </c>
      <c r="J90" s="69" t="inlineStr">
        <is>
          <t>DT-OSRAM  L11 单头</t>
        </is>
      </c>
      <c r="K90" s="70" t="n"/>
      <c r="L90" s="70" t="n"/>
      <c r="M90" s="71" t="inlineStr">
        <is>
          <t>个</t>
        </is>
      </c>
      <c r="N90" s="72" t="n">
        <v>2789.23</v>
      </c>
      <c r="O90" s="72">
        <f>ROUND(N90*(1+$F$10),2)</f>
        <v/>
      </c>
      <c r="P90" s="73">
        <f>ROUND(K90*N90,2)</f>
        <v/>
      </c>
      <c r="Q90" s="74">
        <f>ROUND(L90*N90,2)</f>
        <v/>
      </c>
      <c r="R90" s="75" t="n"/>
      <c r="S90" s="76" t="n"/>
      <c r="T90" s="77">
        <f>K90-L90</f>
        <v/>
      </c>
      <c r="U90" s="77">
        <f>P90-Q90</f>
        <v/>
      </c>
      <c r="V90" s="77">
        <f>ABS(U90)</f>
        <v/>
      </c>
      <c r="W90" s="78">
        <f>T90/L90</f>
        <v/>
      </c>
      <c r="X90" s="79">
        <f>ABS(W90)</f>
        <v/>
      </c>
      <c r="AG90" s="6" t="inlineStr">
        <is>
          <t>个数</t>
        </is>
      </c>
    </row>
    <row r="91" ht="11.4" customHeight="1">
      <c r="A91" s="67" t="inlineStr">
        <is>
          <t>48</t>
        </is>
      </c>
      <c r="B91" s="67" t="inlineStr">
        <is>
          <t>1046</t>
        </is>
      </c>
      <c r="C91" s="67" t="inlineStr">
        <is>
          <t>1532</t>
        </is>
      </c>
      <c r="D91" s="68" t="inlineStr">
        <is>
          <t>01</t>
        </is>
      </c>
      <c r="E91" s="68" t="inlineStr">
        <is>
          <t>5 场地发展费</t>
        </is>
      </c>
      <c r="F91" s="68" t="inlineStr">
        <is>
          <t>5.5 场地照明</t>
        </is>
      </c>
      <c r="G91" s="68" t="inlineStr">
        <is>
          <t>DT场地照明</t>
        </is>
      </c>
      <c r="H91" s="68" t="inlineStr">
        <is>
          <t>DT场地灯具主材</t>
        </is>
      </c>
      <c r="I91" s="69" t="inlineStr">
        <is>
          <t>1000021563</t>
        </is>
      </c>
      <c r="J91" s="69" t="inlineStr">
        <is>
          <t>DT-OSRAM  L11 双头</t>
        </is>
      </c>
      <c r="K91" s="70" t="n"/>
      <c r="L91" s="70" t="n"/>
      <c r="M91" s="71" t="inlineStr">
        <is>
          <t>个</t>
        </is>
      </c>
      <c r="N91" s="72" t="n">
        <v>4173.08</v>
      </c>
      <c r="O91" s="72">
        <f>ROUND(N91*(1+$F$10),2)</f>
        <v/>
      </c>
      <c r="P91" s="73">
        <f>ROUND(K91*N91,2)</f>
        <v/>
      </c>
      <c r="Q91" s="74">
        <f>ROUND(L91*N91,2)</f>
        <v/>
      </c>
      <c r="R91" s="75" t="n"/>
      <c r="S91" s="76" t="n"/>
      <c r="T91" s="77">
        <f>K91-L91</f>
        <v/>
      </c>
      <c r="U91" s="77">
        <f>P91-Q91</f>
        <v/>
      </c>
      <c r="V91" s="77">
        <f>ABS(U91)</f>
        <v/>
      </c>
      <c r="W91" s="78">
        <f>T91/L91</f>
        <v/>
      </c>
      <c r="X91" s="79">
        <f>ABS(W91)</f>
        <v/>
      </c>
      <c r="AG91" s="6" t="inlineStr">
        <is>
          <t>个数</t>
        </is>
      </c>
    </row>
    <row r="92" ht="11.4" customHeight="1">
      <c r="A92" s="67" t="inlineStr">
        <is>
          <t>48</t>
        </is>
      </c>
      <c r="B92" s="67" t="inlineStr">
        <is>
          <t>1046</t>
        </is>
      </c>
      <c r="C92" s="67" t="inlineStr">
        <is>
          <t>1532</t>
        </is>
      </c>
      <c r="D92" s="68" t="inlineStr">
        <is>
          <t>01</t>
        </is>
      </c>
      <c r="E92" s="68" t="inlineStr">
        <is>
          <t>5 场地发展费</t>
        </is>
      </c>
      <c r="F92" s="68" t="inlineStr">
        <is>
          <t>5.5 场地照明</t>
        </is>
      </c>
      <c r="G92" s="68" t="inlineStr">
        <is>
          <t>DT场地照明</t>
        </is>
      </c>
      <c r="H92" s="68" t="inlineStr">
        <is>
          <t>DT场地灯具主材</t>
        </is>
      </c>
      <c r="I92" s="69" t="inlineStr">
        <is>
          <t>1000021564</t>
        </is>
      </c>
      <c r="J92" s="69" t="inlineStr">
        <is>
          <t>DT-OSRAMLED时尚草坪灯具500MM  L12</t>
        </is>
      </c>
      <c r="K92" s="70" t="n"/>
      <c r="L92" s="70" t="n"/>
      <c r="M92" s="71" t="inlineStr">
        <is>
          <t>个</t>
        </is>
      </c>
      <c r="N92" s="72" t="n">
        <v>338.78</v>
      </c>
      <c r="O92" s="72">
        <f>ROUND(N92*(1+$F$10),2)</f>
        <v/>
      </c>
      <c r="P92" s="73">
        <f>ROUND(K92*N92,2)</f>
        <v/>
      </c>
      <c r="Q92" s="74">
        <f>ROUND(L92*N92,2)</f>
        <v/>
      </c>
      <c r="R92" s="75" t="n"/>
      <c r="S92" s="76" t="n"/>
      <c r="T92" s="77">
        <f>K92-L92</f>
        <v/>
      </c>
      <c r="U92" s="77">
        <f>P92-Q92</f>
        <v/>
      </c>
      <c r="V92" s="77">
        <f>ABS(U92)</f>
        <v/>
      </c>
      <c r="W92" s="78">
        <f>T92/L92</f>
        <v/>
      </c>
      <c r="X92" s="79">
        <f>ABS(W92)</f>
        <v/>
      </c>
      <c r="AG92" s="6" t="inlineStr">
        <is>
          <t>个数</t>
        </is>
      </c>
    </row>
    <row r="93" ht="11.4" customHeight="1">
      <c r="A93" s="67" t="inlineStr">
        <is>
          <t>48</t>
        </is>
      </c>
      <c r="B93" s="67" t="inlineStr">
        <is>
          <t>1046</t>
        </is>
      </c>
      <c r="C93" s="67" t="inlineStr">
        <is>
          <t>1532</t>
        </is>
      </c>
      <c r="D93" s="68" t="inlineStr">
        <is>
          <t>01</t>
        </is>
      </c>
      <c r="E93" s="68" t="inlineStr">
        <is>
          <t>5 场地发展费</t>
        </is>
      </c>
      <c r="F93" s="68" t="inlineStr">
        <is>
          <t>5.5 场地照明</t>
        </is>
      </c>
      <c r="G93" s="68" t="inlineStr">
        <is>
          <t>DT场地照明</t>
        </is>
      </c>
      <c r="H93" s="68" t="inlineStr">
        <is>
          <t>DT场地灯具主材</t>
        </is>
      </c>
      <c r="I93" s="69" t="inlineStr">
        <is>
          <t>1000021452</t>
        </is>
      </c>
      <c r="J93" s="69" t="inlineStr">
        <is>
          <t>DT-主材-飞利浦牌36w防水防尘荧光灯1管</t>
        </is>
      </c>
      <c r="K93" s="70" t="n"/>
      <c r="L93" s="70" t="n"/>
      <c r="M93" s="71" t="inlineStr">
        <is>
          <t>个</t>
        </is>
      </c>
      <c r="N93" s="72" t="n">
        <v>179.49</v>
      </c>
      <c r="O93" s="72">
        <f>ROUND(N93*(1+$F$10),2)</f>
        <v/>
      </c>
      <c r="P93" s="73">
        <f>ROUND(K93*N93,2)</f>
        <v/>
      </c>
      <c r="Q93" s="74">
        <f>ROUND(L93*N93,2)</f>
        <v/>
      </c>
      <c r="R93" s="75" t="n"/>
      <c r="S93" s="76" t="n"/>
      <c r="T93" s="77">
        <f>K93-L93</f>
        <v/>
      </c>
      <c r="U93" s="77">
        <f>P93-Q93</f>
        <v/>
      </c>
      <c r="V93" s="77">
        <f>ABS(U93)</f>
        <v/>
      </c>
      <c r="W93" s="78">
        <f>T93/L93</f>
        <v/>
      </c>
      <c r="X93" s="79">
        <f>ABS(W93)</f>
        <v/>
      </c>
      <c r="AG93" s="6" t="inlineStr">
        <is>
          <t>个数</t>
        </is>
      </c>
    </row>
    <row r="94" ht="11.4" customHeight="1">
      <c r="A94" s="67" t="inlineStr">
        <is>
          <t>48</t>
        </is>
      </c>
      <c r="B94" s="67" t="inlineStr">
        <is>
          <t>1046</t>
        </is>
      </c>
      <c r="C94" s="67" t="inlineStr">
        <is>
          <t>1532</t>
        </is>
      </c>
      <c r="D94" s="68" t="inlineStr">
        <is>
          <t>01</t>
        </is>
      </c>
      <c r="E94" s="68" t="inlineStr">
        <is>
          <t>5 场地发展费</t>
        </is>
      </c>
      <c r="F94" s="68" t="inlineStr">
        <is>
          <t>5.5 场地照明</t>
        </is>
      </c>
      <c r="G94" s="68" t="inlineStr">
        <is>
          <t>DT场地照明</t>
        </is>
      </c>
      <c r="H94" s="68" t="inlineStr">
        <is>
          <t>DT场地灯具主材</t>
        </is>
      </c>
      <c r="I94" s="69" t="inlineStr">
        <is>
          <t>1000021453</t>
        </is>
      </c>
      <c r="J94" s="69" t="inlineStr">
        <is>
          <t>DT-主材-飞利浦牌36w防水防尘荧光灯2管</t>
        </is>
      </c>
      <c r="K94" s="70" t="n"/>
      <c r="L94" s="70" t="n"/>
      <c r="M94" s="71" t="inlineStr">
        <is>
          <t>个</t>
        </is>
      </c>
      <c r="N94" s="72" t="n">
        <v>287.18</v>
      </c>
      <c r="O94" s="72">
        <f>ROUND(N94*(1+$F$10),2)</f>
        <v/>
      </c>
      <c r="P94" s="73">
        <f>ROUND(K94*N94,2)</f>
        <v/>
      </c>
      <c r="Q94" s="74">
        <f>ROUND(L94*N94,2)</f>
        <v/>
      </c>
      <c r="R94" s="75" t="n"/>
      <c r="S94" s="76" t="n"/>
      <c r="T94" s="77">
        <f>K94-L94</f>
        <v/>
      </c>
      <c r="U94" s="77">
        <f>P94-Q94</f>
        <v/>
      </c>
      <c r="V94" s="77">
        <f>ABS(U94)</f>
        <v/>
      </c>
      <c r="W94" s="78">
        <f>T94/L94</f>
        <v/>
      </c>
      <c r="X94" s="79">
        <f>ABS(W94)</f>
        <v/>
      </c>
      <c r="AG94" s="6" t="inlineStr">
        <is>
          <t>个数</t>
        </is>
      </c>
    </row>
    <row r="95" ht="11.4" customHeight="1">
      <c r="A95" s="67" t="inlineStr">
        <is>
          <t>48</t>
        </is>
      </c>
      <c r="B95" s="67" t="inlineStr">
        <is>
          <t>1046</t>
        </is>
      </c>
      <c r="C95" s="67" t="inlineStr">
        <is>
          <t>1532</t>
        </is>
      </c>
      <c r="D95" s="68" t="inlineStr">
        <is>
          <t>01</t>
        </is>
      </c>
      <c r="E95" s="68" t="inlineStr">
        <is>
          <t>5 场地发展费</t>
        </is>
      </c>
      <c r="F95" s="68" t="inlineStr">
        <is>
          <t>5.5 场地照明</t>
        </is>
      </c>
      <c r="G95" s="68" t="inlineStr">
        <is>
          <t>DT场地照明</t>
        </is>
      </c>
      <c r="H95" s="68" t="inlineStr">
        <is>
          <t>DT场地路灯基础</t>
        </is>
      </c>
      <c r="I95" s="69" t="inlineStr">
        <is>
          <t>1000021770</t>
        </is>
      </c>
      <c r="J95" s="69" t="inlineStr">
        <is>
          <t>DT路灯基础</t>
        </is>
      </c>
      <c r="K95" s="70" t="n"/>
      <c r="L95" s="70" t="n"/>
      <c r="M95" s="71" t="inlineStr">
        <is>
          <t>只</t>
        </is>
      </c>
      <c r="N95" s="72" t="n">
        <v>537.89</v>
      </c>
      <c r="O95" s="72">
        <f>ROUND(N95*(1+$F$10),2)</f>
        <v/>
      </c>
      <c r="P95" s="73">
        <f>ROUND(K95*N95,2)</f>
        <v/>
      </c>
      <c r="Q95" s="74">
        <f>ROUND(L95*N95,2)</f>
        <v/>
      </c>
      <c r="R95" s="75" t="n"/>
      <c r="S95" s="76" t="n"/>
      <c r="T95" s="77">
        <f>K95-L95</f>
        <v/>
      </c>
      <c r="U95" s="77">
        <f>P95-Q95</f>
        <v/>
      </c>
      <c r="V95" s="77">
        <f>ABS(U95)</f>
        <v/>
      </c>
      <c r="W95" s="78">
        <f>T95/L95</f>
        <v/>
      </c>
      <c r="X95" s="79">
        <f>ABS(W95)</f>
        <v/>
      </c>
      <c r="AG95" s="6" t="inlineStr">
        <is>
          <t>个数</t>
        </is>
      </c>
    </row>
    <row r="96" ht="11.4" customHeight="1">
      <c r="A96" s="67" t="inlineStr">
        <is>
          <t>49</t>
        </is>
      </c>
      <c r="B96" s="67" t="inlineStr">
        <is>
          <t>1047</t>
        </is>
      </c>
      <c r="C96" s="67" t="inlineStr">
        <is>
          <t>1533</t>
        </is>
      </c>
      <c r="D96" s="68" t="inlineStr">
        <is>
          <t>01</t>
        </is>
      </c>
      <c r="E96" s="68" t="inlineStr">
        <is>
          <t>5 场地发展费</t>
        </is>
      </c>
      <c r="F96" s="68" t="inlineStr">
        <is>
          <t>5.6 场地给排水系统（含隔油池）</t>
        </is>
      </c>
      <c r="G96" s="68" t="inlineStr">
        <is>
          <t>DT场地给排水系统</t>
        </is>
      </c>
      <c r="H96" s="68" t="inlineStr">
        <is>
          <t>DT场地废水</t>
        </is>
      </c>
      <c r="I96" s="69" t="inlineStr">
        <is>
          <t>1000040034</t>
        </is>
      </c>
      <c r="J96" s="69" t="inlineStr">
        <is>
          <t>DT-室外地下污废水管DN300</t>
        </is>
      </c>
      <c r="K96" s="70" t="n"/>
      <c r="L96" s="70" t="n"/>
      <c r="M96" s="71" t="inlineStr">
        <is>
          <t>米</t>
        </is>
      </c>
      <c r="N96" s="72" t="n">
        <v>219.82</v>
      </c>
      <c r="O96" s="72">
        <f>ROUND(N96*(1+$F$10),2)</f>
        <v/>
      </c>
      <c r="P96" s="73">
        <f>ROUND(K96*N96,2)</f>
        <v/>
      </c>
      <c r="Q96" s="74">
        <f>ROUND(L96*N96,2)</f>
        <v/>
      </c>
      <c r="R96" s="75" t="n"/>
      <c r="S96" s="76" t="n"/>
      <c r="T96" s="77">
        <f>K96-L96</f>
        <v/>
      </c>
      <c r="U96" s="77">
        <f>P96-Q96</f>
        <v/>
      </c>
      <c r="V96" s="77">
        <f>ABS(U96)</f>
        <v/>
      </c>
      <c r="W96" s="78">
        <f>T96/L96</f>
        <v/>
      </c>
      <c r="X96" s="79">
        <f>ABS(W96)</f>
        <v/>
      </c>
      <c r="AG96" s="80" t="inlineStr">
        <is>
          <t>总长度（插件计算）水管</t>
        </is>
      </c>
    </row>
    <row r="97" ht="11.4" customHeight="1">
      <c r="A97" s="67" t="inlineStr">
        <is>
          <t>49</t>
        </is>
      </c>
      <c r="B97" s="67" t="inlineStr">
        <is>
          <t>1047</t>
        </is>
      </c>
      <c r="C97" s="67" t="inlineStr">
        <is>
          <t>1533</t>
        </is>
      </c>
      <c r="D97" s="68" t="inlineStr">
        <is>
          <t>01</t>
        </is>
      </c>
      <c r="E97" s="68" t="inlineStr">
        <is>
          <t>5 场地发展费</t>
        </is>
      </c>
      <c r="F97" s="68" t="inlineStr">
        <is>
          <t>5.6 场地给排水系统（含隔油池）</t>
        </is>
      </c>
      <c r="G97" s="68" t="inlineStr">
        <is>
          <t>DT场地给排水系统</t>
        </is>
      </c>
      <c r="H97" s="68" t="inlineStr">
        <is>
          <t>DT场地废水</t>
        </is>
      </c>
      <c r="I97" s="69" t="inlineStr">
        <is>
          <t>1000040035</t>
        </is>
      </c>
      <c r="J97" s="69" t="inlineStr">
        <is>
          <t>DT-室外地下污废水管DN200</t>
        </is>
      </c>
      <c r="K97" s="70" t="n"/>
      <c r="L97" s="70" t="n"/>
      <c r="M97" s="71" t="inlineStr">
        <is>
          <t>米</t>
        </is>
      </c>
      <c r="N97" s="72" t="n">
        <v>135.14</v>
      </c>
      <c r="O97" s="72">
        <f>ROUND(N97*(1+$F$10),2)</f>
        <v/>
      </c>
      <c r="P97" s="73">
        <f>ROUND(K97*N97,2)</f>
        <v/>
      </c>
      <c r="Q97" s="74">
        <f>ROUND(L97*N97,2)</f>
        <v/>
      </c>
      <c r="R97" s="75" t="n"/>
      <c r="S97" s="76" t="n"/>
      <c r="T97" s="77">
        <f>K97-L97</f>
        <v/>
      </c>
      <c r="U97" s="77">
        <f>P97-Q97</f>
        <v/>
      </c>
      <c r="V97" s="77">
        <f>ABS(U97)</f>
        <v/>
      </c>
      <c r="W97" s="78">
        <f>T97/L97</f>
        <v/>
      </c>
      <c r="X97" s="79">
        <f>ABS(W97)</f>
        <v/>
      </c>
      <c r="AG97" s="80" t="inlineStr">
        <is>
          <t>总长度（插件计算）水管</t>
        </is>
      </c>
    </row>
    <row r="98" ht="11.4" customHeight="1">
      <c r="A98" s="67" t="inlineStr">
        <is>
          <t>49</t>
        </is>
      </c>
      <c r="B98" s="67" t="inlineStr">
        <is>
          <t>1047</t>
        </is>
      </c>
      <c r="C98" s="67" t="inlineStr">
        <is>
          <t>1533</t>
        </is>
      </c>
      <c r="D98" s="68" t="inlineStr">
        <is>
          <t>01</t>
        </is>
      </c>
      <c r="E98" s="68" t="inlineStr">
        <is>
          <t>5 场地发展费</t>
        </is>
      </c>
      <c r="F98" s="68" t="inlineStr">
        <is>
          <t>5.6 场地给排水系统（含隔油池）</t>
        </is>
      </c>
      <c r="G98" s="68" t="inlineStr">
        <is>
          <t>DT场地给排水系统</t>
        </is>
      </c>
      <c r="H98" s="68" t="inlineStr">
        <is>
          <t>DT场地废水</t>
        </is>
      </c>
      <c r="I98" s="69" t="inlineStr">
        <is>
          <t>1000040036</t>
        </is>
      </c>
      <c r="J98" s="69" t="inlineStr">
        <is>
          <t>DT-室外地下污废水管DN110</t>
        </is>
      </c>
      <c r="K98" s="70" t="n"/>
      <c r="L98" s="70" t="n"/>
      <c r="M98" s="71" t="inlineStr">
        <is>
          <t>米</t>
        </is>
      </c>
      <c r="N98" s="72" t="n">
        <v>68.47</v>
      </c>
      <c r="O98" s="72">
        <f>ROUND(N98*(1+$F$10),2)</f>
        <v/>
      </c>
      <c r="P98" s="73">
        <f>ROUND(K98*N98,2)</f>
        <v/>
      </c>
      <c r="Q98" s="74">
        <f>ROUND(L98*N98,2)</f>
        <v/>
      </c>
      <c r="R98" s="75" t="n"/>
      <c r="S98" s="76" t="n"/>
      <c r="T98" s="77">
        <f>K98-L98</f>
        <v/>
      </c>
      <c r="U98" s="77">
        <f>P98-Q98</f>
        <v/>
      </c>
      <c r="V98" s="77">
        <f>ABS(U98)</f>
        <v/>
      </c>
      <c r="W98" s="78">
        <f>T98/L98</f>
        <v/>
      </c>
      <c r="X98" s="79">
        <f>ABS(W98)</f>
        <v/>
      </c>
      <c r="AG98" s="80" t="inlineStr">
        <is>
          <t>总长度（插件计算）水管</t>
        </is>
      </c>
    </row>
    <row r="99" ht="11.4" customHeight="1">
      <c r="A99" s="67" t="inlineStr">
        <is>
          <t>49</t>
        </is>
      </c>
      <c r="B99" s="67" t="inlineStr">
        <is>
          <t>1047</t>
        </is>
      </c>
      <c r="C99" s="67" t="inlineStr">
        <is>
          <t>1533</t>
        </is>
      </c>
      <c r="D99" s="68" t="inlineStr">
        <is>
          <t>01</t>
        </is>
      </c>
      <c r="E99" s="68" t="inlineStr">
        <is>
          <t>5 场地发展费</t>
        </is>
      </c>
      <c r="F99" s="68" t="inlineStr">
        <is>
          <t>5.6 场地给排水系统（含隔油池）</t>
        </is>
      </c>
      <c r="G99" s="68" t="inlineStr">
        <is>
          <t>DT场地给排水系统</t>
        </is>
      </c>
      <c r="H99" s="68" t="inlineStr">
        <is>
          <t>DT场地废水</t>
        </is>
      </c>
      <c r="I99" s="69" t="inlineStr">
        <is>
          <t>1000040037</t>
        </is>
      </c>
      <c r="J99" s="69" t="inlineStr">
        <is>
          <t>DT-污废水检查井Φ1000</t>
        </is>
      </c>
      <c r="K99" s="70" t="n"/>
      <c r="L99" s="70" t="n"/>
      <c r="M99" s="71" t="inlineStr">
        <is>
          <t>个</t>
        </is>
      </c>
      <c r="N99" s="72" t="n">
        <v>3154.85</v>
      </c>
      <c r="O99" s="72">
        <f>ROUND(N99*(1+$F$10),2)</f>
        <v/>
      </c>
      <c r="P99" s="73">
        <f>ROUND(K99*N99,2)</f>
        <v/>
      </c>
      <c r="Q99" s="74">
        <f>ROUND(L99*N99,2)</f>
        <v/>
      </c>
      <c r="R99" s="75" t="n"/>
      <c r="S99" s="76" t="n"/>
      <c r="T99" s="77">
        <f>K99-L99</f>
        <v/>
      </c>
      <c r="U99" s="77">
        <f>P99-Q99</f>
        <v/>
      </c>
      <c r="V99" s="77">
        <f>ABS(U99)</f>
        <v/>
      </c>
      <c r="W99" s="78">
        <f>T99/L99</f>
        <v/>
      </c>
      <c r="X99" s="79">
        <f>ABS(W99)</f>
        <v/>
      </c>
      <c r="AG99" s="80" t="inlineStr">
        <is>
          <t>个数</t>
        </is>
      </c>
    </row>
    <row r="100" ht="11.4" customHeight="1">
      <c r="A100" s="67" t="inlineStr">
        <is>
          <t>49</t>
        </is>
      </c>
      <c r="B100" s="67" t="inlineStr">
        <is>
          <t>1047</t>
        </is>
      </c>
      <c r="C100" s="67" t="inlineStr">
        <is>
          <t>1533</t>
        </is>
      </c>
      <c r="D100" s="68" t="inlineStr">
        <is>
          <t>01</t>
        </is>
      </c>
      <c r="E100" s="68" t="inlineStr">
        <is>
          <t>5 场地发展费</t>
        </is>
      </c>
      <c r="F100" s="68" t="inlineStr">
        <is>
          <t>5.6 场地给排水系统（含隔油池）</t>
        </is>
      </c>
      <c r="G100" s="68" t="inlineStr">
        <is>
          <t>DT场地给排水系统</t>
        </is>
      </c>
      <c r="H100" s="68" t="inlineStr">
        <is>
          <t>DT场地雨水</t>
        </is>
      </c>
      <c r="I100" s="69" t="inlineStr">
        <is>
          <t>1000040038</t>
        </is>
      </c>
      <c r="J100" s="69" t="inlineStr">
        <is>
          <t>DT-室外地下雨水管DN300</t>
        </is>
      </c>
      <c r="K100" s="70" t="n"/>
      <c r="L100" s="70" t="n"/>
      <c r="M100" s="71" t="inlineStr">
        <is>
          <t>米</t>
        </is>
      </c>
      <c r="N100" s="72" t="n">
        <v>219.82</v>
      </c>
      <c r="O100" s="72">
        <f>ROUND(N100*(1+$F$10),2)</f>
        <v/>
      </c>
      <c r="P100" s="73">
        <f>ROUND(K100*N100,2)</f>
        <v/>
      </c>
      <c r="Q100" s="74">
        <f>ROUND(L100*N100,2)</f>
        <v/>
      </c>
      <c r="R100" s="75" t="n"/>
      <c r="S100" s="76" t="n"/>
      <c r="T100" s="77">
        <f>K100-L100</f>
        <v/>
      </c>
      <c r="U100" s="77">
        <f>P100-Q100</f>
        <v/>
      </c>
      <c r="V100" s="77">
        <f>ABS(U100)</f>
        <v/>
      </c>
      <c r="W100" s="78">
        <f>T100/L100</f>
        <v/>
      </c>
      <c r="X100" s="79">
        <f>ABS(W100)</f>
        <v/>
      </c>
      <c r="AG100" s="80" t="inlineStr">
        <is>
          <t>总长度（插件计算）水管</t>
        </is>
      </c>
    </row>
    <row r="101" ht="11.4" customHeight="1">
      <c r="A101" s="67" t="inlineStr">
        <is>
          <t>49</t>
        </is>
      </c>
      <c r="B101" s="67" t="inlineStr">
        <is>
          <t>1047</t>
        </is>
      </c>
      <c r="C101" s="67" t="inlineStr">
        <is>
          <t>1533</t>
        </is>
      </c>
      <c r="D101" s="68" t="inlineStr">
        <is>
          <t>01</t>
        </is>
      </c>
      <c r="E101" s="68" t="inlineStr">
        <is>
          <t>5 场地发展费</t>
        </is>
      </c>
      <c r="F101" s="68" t="inlineStr">
        <is>
          <t>5.6 场地给排水系统（含隔油池）</t>
        </is>
      </c>
      <c r="G101" s="68" t="inlineStr">
        <is>
          <t>DT场地给排水系统</t>
        </is>
      </c>
      <c r="H101" s="68" t="inlineStr">
        <is>
          <t>DT场地雨水</t>
        </is>
      </c>
      <c r="I101" s="69" t="inlineStr">
        <is>
          <t>1000040039</t>
        </is>
      </c>
      <c r="J101" s="69" t="inlineStr">
        <is>
          <t>DT-室外地下雨水管DN200</t>
        </is>
      </c>
      <c r="K101" s="70" t="n"/>
      <c r="L101" s="70" t="n"/>
      <c r="M101" s="71" t="inlineStr">
        <is>
          <t>米</t>
        </is>
      </c>
      <c r="N101" s="72" t="n">
        <v>135.14</v>
      </c>
      <c r="O101" s="72">
        <f>ROUND(N101*(1+$F$10),2)</f>
        <v/>
      </c>
      <c r="P101" s="73">
        <f>ROUND(K101*N101,2)</f>
        <v/>
      </c>
      <c r="Q101" s="74">
        <f>ROUND(L101*N101,2)</f>
        <v/>
      </c>
      <c r="R101" s="75" t="n"/>
      <c r="S101" s="76" t="n"/>
      <c r="T101" s="77">
        <f>K101-L101</f>
        <v/>
      </c>
      <c r="U101" s="77">
        <f>P101-Q101</f>
        <v/>
      </c>
      <c r="V101" s="77">
        <f>ABS(U101)</f>
        <v/>
      </c>
      <c r="W101" s="78">
        <f>T101/L101</f>
        <v/>
      </c>
      <c r="X101" s="79">
        <f>ABS(W101)</f>
        <v/>
      </c>
      <c r="AG101" s="80" t="inlineStr">
        <is>
          <t>总长度（插件计算）水管</t>
        </is>
      </c>
    </row>
    <row r="102" ht="11.4" customHeight="1">
      <c r="A102" s="67" t="inlineStr">
        <is>
          <t>49</t>
        </is>
      </c>
      <c r="B102" s="67" t="inlineStr">
        <is>
          <t>1047</t>
        </is>
      </c>
      <c r="C102" s="67" t="inlineStr">
        <is>
          <t>1533</t>
        </is>
      </c>
      <c r="D102" s="68" t="inlineStr">
        <is>
          <t>01</t>
        </is>
      </c>
      <c r="E102" s="68" t="inlineStr">
        <is>
          <t>5 场地发展费</t>
        </is>
      </c>
      <c r="F102" s="68" t="inlineStr">
        <is>
          <t>5.6 场地给排水系统（含隔油池）</t>
        </is>
      </c>
      <c r="G102" s="68" t="inlineStr">
        <is>
          <t>DT场地给排水系统</t>
        </is>
      </c>
      <c r="H102" s="68" t="inlineStr">
        <is>
          <t>DT场地雨水</t>
        </is>
      </c>
      <c r="I102" s="69" t="inlineStr">
        <is>
          <t>1000040040</t>
        </is>
      </c>
      <c r="J102" s="69" t="inlineStr">
        <is>
          <t>DT-室外地下雨水管DN110</t>
        </is>
      </c>
      <c r="K102" s="70" t="n"/>
      <c r="L102" s="70" t="n"/>
      <c r="M102" s="71" t="inlineStr">
        <is>
          <t>米</t>
        </is>
      </c>
      <c r="N102" s="72" t="n">
        <v>68.47</v>
      </c>
      <c r="O102" s="72">
        <f>ROUND(N102*(1+$F$10),2)</f>
        <v/>
      </c>
      <c r="P102" s="73">
        <f>ROUND(K102*N102,2)</f>
        <v/>
      </c>
      <c r="Q102" s="74">
        <f>ROUND(L102*N102,2)</f>
        <v/>
      </c>
      <c r="R102" s="75" t="n"/>
      <c r="S102" s="76" t="n"/>
      <c r="T102" s="77">
        <f>K102-L102</f>
        <v/>
      </c>
      <c r="U102" s="77">
        <f>P102-Q102</f>
        <v/>
      </c>
      <c r="V102" s="77">
        <f>ABS(U102)</f>
        <v/>
      </c>
      <c r="W102" s="78">
        <f>T102/L102</f>
        <v/>
      </c>
      <c r="X102" s="79">
        <f>ABS(W102)</f>
        <v/>
      </c>
      <c r="AG102" s="80" t="inlineStr">
        <is>
          <t>总长度（插件计算）水管</t>
        </is>
      </c>
    </row>
    <row r="103" ht="11.4" customHeight="1">
      <c r="A103" s="67" t="inlineStr">
        <is>
          <t>49</t>
        </is>
      </c>
      <c r="B103" s="67" t="inlineStr">
        <is>
          <t>1047</t>
        </is>
      </c>
      <c r="C103" s="67" t="inlineStr">
        <is>
          <t>1533</t>
        </is>
      </c>
      <c r="D103" s="68" t="inlineStr">
        <is>
          <t>01</t>
        </is>
      </c>
      <c r="E103" s="68" t="inlineStr">
        <is>
          <t>5 场地发展费</t>
        </is>
      </c>
      <c r="F103" s="68" t="inlineStr">
        <is>
          <t>5.6 场地给排水系统（含隔油池）</t>
        </is>
      </c>
      <c r="G103" s="68" t="inlineStr">
        <is>
          <t>DT场地给排水系统</t>
        </is>
      </c>
      <c r="H103" s="68" t="inlineStr">
        <is>
          <t>DT场地雨水</t>
        </is>
      </c>
      <c r="I103" s="69" t="inlineStr">
        <is>
          <t>1000040041</t>
        </is>
      </c>
      <c r="J103" s="69" t="inlineStr">
        <is>
          <t>DT-雨水检查井Φ1000</t>
        </is>
      </c>
      <c r="K103" s="70" t="n"/>
      <c r="L103" s="70" t="n"/>
      <c r="M103" s="71" t="inlineStr">
        <is>
          <t>个</t>
        </is>
      </c>
      <c r="N103" s="72" t="n">
        <v>3154.85</v>
      </c>
      <c r="O103" s="72">
        <f>ROUND(N103*(1+$F$10),2)</f>
        <v/>
      </c>
      <c r="P103" s="73">
        <f>ROUND(K103*N103,2)</f>
        <v/>
      </c>
      <c r="Q103" s="74">
        <f>ROUND(L103*N103,2)</f>
        <v/>
      </c>
      <c r="R103" s="75" t="n"/>
      <c r="S103" s="76" t="n"/>
      <c r="T103" s="77">
        <f>K103-L103</f>
        <v/>
      </c>
      <c r="U103" s="77">
        <f>P103-Q103</f>
        <v/>
      </c>
      <c r="V103" s="77">
        <f>ABS(U103)</f>
        <v/>
      </c>
      <c r="W103" s="78">
        <f>T103/L103</f>
        <v/>
      </c>
      <c r="X103" s="79">
        <f>ABS(W103)</f>
        <v/>
      </c>
      <c r="AG103" s="80" t="inlineStr">
        <is>
          <t>个数</t>
        </is>
      </c>
    </row>
    <row r="104" ht="11.4" customHeight="1">
      <c r="A104" s="67" t="inlineStr">
        <is>
          <t>49</t>
        </is>
      </c>
      <c r="B104" s="67" t="inlineStr">
        <is>
          <t>1047</t>
        </is>
      </c>
      <c r="C104" s="67" t="inlineStr">
        <is>
          <t>1533</t>
        </is>
      </c>
      <c r="D104" s="68" t="inlineStr">
        <is>
          <t>01</t>
        </is>
      </c>
      <c r="E104" s="68" t="inlineStr">
        <is>
          <t>5 场地发展费</t>
        </is>
      </c>
      <c r="F104" s="68" t="inlineStr">
        <is>
          <t>5.6 场地给排水系统（含隔油池）</t>
        </is>
      </c>
      <c r="G104" s="68" t="inlineStr">
        <is>
          <t>DT场地给排水系统</t>
        </is>
      </c>
      <c r="H104" s="68" t="inlineStr">
        <is>
          <t>DT场地雨水</t>
        </is>
      </c>
      <c r="I104" s="69" t="inlineStr">
        <is>
          <t>1000040042</t>
        </is>
      </c>
      <c r="J104" s="69" t="inlineStr">
        <is>
          <t>DT-雨水进水口</t>
        </is>
      </c>
      <c r="K104" s="70" t="n"/>
      <c r="L104" s="70" t="n"/>
      <c r="M104" s="71" t="inlineStr">
        <is>
          <t>个</t>
        </is>
      </c>
      <c r="N104" s="72" t="n">
        <v>63.96</v>
      </c>
      <c r="O104" s="72">
        <f>ROUND(N104*(1+$F$10),2)</f>
        <v/>
      </c>
      <c r="P104" s="73">
        <f>ROUND(K104*N104,2)</f>
        <v/>
      </c>
      <c r="Q104" s="74">
        <f>ROUND(L104*N104,2)</f>
        <v/>
      </c>
      <c r="R104" s="75" t="n"/>
      <c r="S104" s="76" t="n"/>
      <c r="T104" s="77">
        <f>K104-L104</f>
        <v/>
      </c>
      <c r="U104" s="77">
        <f>P104-Q104</f>
        <v/>
      </c>
      <c r="V104" s="77">
        <f>ABS(U104)</f>
        <v/>
      </c>
      <c r="W104" s="78">
        <f>T104/L104</f>
        <v/>
      </c>
      <c r="X104" s="79">
        <f>ABS(W104)</f>
        <v/>
      </c>
      <c r="AG104" s="80" t="inlineStr">
        <is>
          <t>个数</t>
        </is>
      </c>
    </row>
    <row r="105" ht="11.4" customHeight="1">
      <c r="A105" s="67" t="inlineStr">
        <is>
          <t>49</t>
        </is>
      </c>
      <c r="B105" s="67" t="inlineStr">
        <is>
          <t>1047</t>
        </is>
      </c>
      <c r="C105" s="67" t="inlineStr">
        <is>
          <t>1533</t>
        </is>
      </c>
      <c r="D105" s="68" t="inlineStr">
        <is>
          <t>01</t>
        </is>
      </c>
      <c r="E105" s="68" t="inlineStr">
        <is>
          <t>5 场地发展费</t>
        </is>
      </c>
      <c r="F105" s="68" t="inlineStr">
        <is>
          <t>5.6 场地给排水系统（含隔油池）</t>
        </is>
      </c>
      <c r="G105" s="68" t="inlineStr">
        <is>
          <t>DT场地给排水系统</t>
        </is>
      </c>
      <c r="H105" s="68" t="inlineStr">
        <is>
          <t>DT室外给水</t>
        </is>
      </c>
      <c r="I105" s="69" t="inlineStr">
        <is>
          <t>1000040043</t>
        </is>
      </c>
      <c r="J105" s="69" t="inlineStr">
        <is>
          <t>DT-室外给水管DN32</t>
        </is>
      </c>
      <c r="K105" s="70" t="n"/>
      <c r="L105" s="70" t="n"/>
      <c r="M105" s="71" t="inlineStr">
        <is>
          <t>米</t>
        </is>
      </c>
      <c r="N105" s="72" t="n">
        <v>81.08</v>
      </c>
      <c r="O105" s="72">
        <f>ROUND(N105*(1+$F$10),2)</f>
        <v/>
      </c>
      <c r="P105" s="73">
        <f>ROUND(K105*N105,2)</f>
        <v/>
      </c>
      <c r="Q105" s="74">
        <f>ROUND(L105*N105,2)</f>
        <v/>
      </c>
      <c r="R105" s="75" t="n"/>
      <c r="S105" s="76" t="n"/>
      <c r="T105" s="77">
        <f>K105-L105</f>
        <v/>
      </c>
      <c r="U105" s="77">
        <f>P105-Q105</f>
        <v/>
      </c>
      <c r="V105" s="77">
        <f>ABS(U105)</f>
        <v/>
      </c>
      <c r="W105" s="78">
        <f>T105/L105</f>
        <v/>
      </c>
      <c r="X105" s="79">
        <f>ABS(W105)</f>
        <v/>
      </c>
      <c r="AG105" s="80" t="inlineStr">
        <is>
          <t>总长度（插件计算）水管</t>
        </is>
      </c>
    </row>
    <row r="106" ht="11.4" customHeight="1">
      <c r="A106" s="67" t="inlineStr">
        <is>
          <t>49</t>
        </is>
      </c>
      <c r="B106" s="67" t="inlineStr">
        <is>
          <t>1047</t>
        </is>
      </c>
      <c r="C106" s="67" t="inlineStr">
        <is>
          <t>1533</t>
        </is>
      </c>
      <c r="D106" s="68" t="inlineStr">
        <is>
          <t>01</t>
        </is>
      </c>
      <c r="E106" s="68" t="inlineStr">
        <is>
          <t>5 场地发展费</t>
        </is>
      </c>
      <c r="F106" s="68" t="inlineStr">
        <is>
          <t>5.6 场地给排水系统（含隔油池）</t>
        </is>
      </c>
      <c r="G106" s="68" t="inlineStr">
        <is>
          <t>DT场地给排水系统</t>
        </is>
      </c>
      <c r="H106" s="68" t="inlineStr">
        <is>
          <t>DT室外给水</t>
        </is>
      </c>
      <c r="I106" s="69" t="inlineStr">
        <is>
          <t>1000040044</t>
        </is>
      </c>
      <c r="J106" s="69" t="inlineStr">
        <is>
          <t>DT-室外给水管DN25</t>
        </is>
      </c>
      <c r="K106" s="70" t="n"/>
      <c r="L106" s="70" t="n"/>
      <c r="M106" s="71" t="inlineStr">
        <is>
          <t>米</t>
        </is>
      </c>
      <c r="N106" s="72" t="n">
        <v>70.27</v>
      </c>
      <c r="O106" s="72">
        <f>ROUND(N106*(1+$F$10),2)</f>
        <v/>
      </c>
      <c r="P106" s="73">
        <f>ROUND(K106*N106,2)</f>
        <v/>
      </c>
      <c r="Q106" s="74">
        <f>ROUND(L106*N106,2)</f>
        <v/>
      </c>
      <c r="R106" s="75" t="n"/>
      <c r="S106" s="76" t="n"/>
      <c r="T106" s="77">
        <f>K106-L106</f>
        <v/>
      </c>
      <c r="U106" s="77">
        <f>P106-Q106</f>
        <v/>
      </c>
      <c r="V106" s="77">
        <f>ABS(U106)</f>
        <v/>
      </c>
      <c r="W106" s="78">
        <f>T106/L106</f>
        <v/>
      </c>
      <c r="X106" s="79">
        <f>ABS(W106)</f>
        <v/>
      </c>
      <c r="AG106" s="80" t="inlineStr">
        <is>
          <t>总长度（插件计算）水管</t>
        </is>
      </c>
    </row>
    <row r="107" ht="11.4" customHeight="1">
      <c r="A107" s="67" t="inlineStr">
        <is>
          <t>49</t>
        </is>
      </c>
      <c r="B107" s="67" t="inlineStr">
        <is>
          <t>1047</t>
        </is>
      </c>
      <c r="C107" s="67" t="inlineStr">
        <is>
          <t>1533</t>
        </is>
      </c>
      <c r="D107" s="68" t="inlineStr">
        <is>
          <t>01</t>
        </is>
      </c>
      <c r="E107" s="68" t="inlineStr">
        <is>
          <t>5 场地发展费</t>
        </is>
      </c>
      <c r="F107" s="68" t="inlineStr">
        <is>
          <t>5.6 场地给排水系统（含隔油池）</t>
        </is>
      </c>
      <c r="G107" s="68" t="inlineStr">
        <is>
          <t>DT场地给排水系统</t>
        </is>
      </c>
      <c r="H107" s="68" t="inlineStr">
        <is>
          <t>DT室外给水</t>
        </is>
      </c>
      <c r="I107" s="69" t="inlineStr">
        <is>
          <t>1000040045</t>
        </is>
      </c>
      <c r="J107" s="69" t="inlineStr">
        <is>
          <t>DT-室外给水管DN20</t>
        </is>
      </c>
      <c r="K107" s="70" t="n"/>
      <c r="L107" s="70" t="n"/>
      <c r="M107" s="71" t="inlineStr">
        <is>
          <t>米</t>
        </is>
      </c>
      <c r="N107" s="72" t="n">
        <v>63.06</v>
      </c>
      <c r="O107" s="72">
        <f>ROUND(N107*(1+$F$10),2)</f>
        <v/>
      </c>
      <c r="P107" s="73">
        <f>ROUND(K107*N107,2)</f>
        <v/>
      </c>
      <c r="Q107" s="74">
        <f>ROUND(L107*N107,2)</f>
        <v/>
      </c>
      <c r="R107" s="75" t="n"/>
      <c r="S107" s="76" t="n"/>
      <c r="T107" s="77">
        <f>K107-L107</f>
        <v/>
      </c>
      <c r="U107" s="77">
        <f>P107-Q107</f>
        <v/>
      </c>
      <c r="V107" s="77">
        <f>ABS(U107)</f>
        <v/>
      </c>
      <c r="W107" s="78">
        <f>T107/L107</f>
        <v/>
      </c>
      <c r="X107" s="79">
        <f>ABS(W107)</f>
        <v/>
      </c>
      <c r="AG107" s="80" t="inlineStr">
        <is>
          <t>总长度（插件计算）水管</t>
        </is>
      </c>
    </row>
    <row r="108" ht="11.4" customHeight="1">
      <c r="A108" s="67" t="inlineStr">
        <is>
          <t>49</t>
        </is>
      </c>
      <c r="B108" s="67" t="inlineStr">
        <is>
          <t>1047</t>
        </is>
      </c>
      <c r="C108" s="67" t="inlineStr">
        <is>
          <t>1533</t>
        </is>
      </c>
      <c r="D108" s="68" t="inlineStr">
        <is>
          <t>01</t>
        </is>
      </c>
      <c r="E108" s="68" t="inlineStr">
        <is>
          <t>5 场地发展费</t>
        </is>
      </c>
      <c r="F108" s="68" t="inlineStr">
        <is>
          <t>5.6 场地给排水系统（含隔油池）</t>
        </is>
      </c>
      <c r="G108" s="68" t="inlineStr">
        <is>
          <t>DT场地给排水系统</t>
        </is>
      </c>
      <c r="H108" s="68" t="inlineStr">
        <is>
          <t>DT室外给水</t>
        </is>
      </c>
      <c r="I108" s="69" t="inlineStr">
        <is>
          <t>1000040046</t>
        </is>
      </c>
      <c r="J108" s="69" t="inlineStr">
        <is>
          <t>DT-水表</t>
        </is>
      </c>
      <c r="K108" s="70" t="n"/>
      <c r="L108" s="70" t="n"/>
      <c r="M108" s="71" t="inlineStr">
        <is>
          <t>套</t>
        </is>
      </c>
      <c r="N108" s="72" t="n">
        <v>891.89</v>
      </c>
      <c r="O108" s="72">
        <f>ROUND(N108*(1+$F$10),2)</f>
        <v/>
      </c>
      <c r="P108" s="73">
        <f>ROUND(K108*N108,2)</f>
        <v/>
      </c>
      <c r="Q108" s="74">
        <f>ROUND(L108*N108,2)</f>
        <v/>
      </c>
      <c r="R108" s="75" t="n"/>
      <c r="S108" s="76" t="n"/>
      <c r="T108" s="77">
        <f>K108-L108</f>
        <v/>
      </c>
      <c r="U108" s="77">
        <f>P108-Q108</f>
        <v/>
      </c>
      <c r="V108" s="77">
        <f>ABS(U108)</f>
        <v/>
      </c>
      <c r="W108" s="78">
        <f>T108/L108</f>
        <v/>
      </c>
      <c r="X108" s="79">
        <f>ABS(W108)</f>
        <v/>
      </c>
      <c r="AG108" s="80" t="inlineStr">
        <is>
          <t>个数</t>
        </is>
      </c>
    </row>
    <row r="109" ht="11.4" customHeight="1">
      <c r="A109" s="67" t="inlineStr">
        <is>
          <t>50</t>
        </is>
      </c>
      <c r="B109" s="67" t="inlineStr">
        <is>
          <t>1048</t>
        </is>
      </c>
      <c r="C109" s="67" t="inlineStr">
        <is>
          <t>1534</t>
        </is>
      </c>
      <c r="D109" s="68" t="inlineStr">
        <is>
          <t>01</t>
        </is>
      </c>
      <c r="E109" s="68" t="inlineStr">
        <is>
          <t>5 场地发展费</t>
        </is>
      </c>
      <c r="F109" s="68" t="inlineStr">
        <is>
          <t>5.6 场地给排水系统（含隔油池）</t>
        </is>
      </c>
      <c r="G109" s="68" t="inlineStr">
        <is>
          <t>DT绿化</t>
        </is>
      </c>
      <c r="H109" s="68" t="inlineStr">
        <is>
          <t>DT绿化</t>
        </is>
      </c>
      <c r="I109" s="69" t="inlineStr">
        <is>
          <t>1000040047</t>
        </is>
      </c>
      <c r="J109" s="69" t="inlineStr">
        <is>
          <t>DT-室外植物绿化工程</t>
        </is>
      </c>
      <c r="K109" s="70" t="n"/>
      <c r="L109" s="70" t="n"/>
      <c r="M109" s="71" t="inlineStr">
        <is>
          <t>m2</t>
        </is>
      </c>
      <c r="N109" s="72" t="n">
        <v>172.07</v>
      </c>
      <c r="O109" s="72">
        <f>ROUND(N109*(1+$F$10),2)</f>
        <v/>
      </c>
      <c r="P109" s="73">
        <f>ROUND(K109*N109,2)</f>
        <v/>
      </c>
      <c r="Q109" s="74">
        <f>ROUND(L109*N109,2)</f>
        <v/>
      </c>
      <c r="R109" s="75" t="n"/>
      <c r="S109" s="76" t="n"/>
      <c r="T109" s="77">
        <f>K109-L109</f>
        <v/>
      </c>
      <c r="U109" s="77">
        <f>P109-Q109</f>
        <v/>
      </c>
      <c r="V109" s="77">
        <f>ABS(U109)</f>
        <v/>
      </c>
      <c r="W109" s="78">
        <f>T109/L109</f>
        <v/>
      </c>
      <c r="X109" s="79">
        <f>ABS(W109)</f>
        <v/>
      </c>
      <c r="AH109" s="80" t="inlineStr">
        <is>
          <t>委托书</t>
        </is>
      </c>
    </row>
    <row r="110" ht="11.4" customHeight="1">
      <c r="A110" s="67" t="inlineStr">
        <is>
          <t>51</t>
        </is>
      </c>
      <c r="B110" s="67" t="inlineStr">
        <is>
          <t>1049</t>
        </is>
      </c>
      <c r="C110" s="67" t="inlineStr">
        <is>
          <t>1540</t>
        </is>
      </c>
      <c r="D110" s="68" t="inlineStr">
        <is>
          <t>01</t>
        </is>
      </c>
      <c r="E110" s="68" t="inlineStr">
        <is>
          <t>5 场地发展费</t>
        </is>
      </c>
      <c r="F110" s="68" t="inlineStr">
        <is>
          <t>5.8 楼梯结构新建/改造</t>
        </is>
      </c>
      <c r="G110" s="68" t="inlineStr">
        <is>
          <t>楼梯结构新建/改造</t>
        </is>
      </c>
      <c r="H110" s="68" t="inlineStr">
        <is>
          <t>楼梯结构新建/改造</t>
        </is>
      </c>
      <c r="I110" s="69" t="inlineStr">
        <is>
          <t>1000021771</t>
        </is>
      </c>
      <c r="J110" s="69" t="inlineStr">
        <is>
          <t>新建钢结构楼梯（含设计及资质证明）</t>
        </is>
      </c>
      <c r="K110" s="70" t="n"/>
      <c r="L110" s="70" t="n"/>
      <c r="M110" s="71" t="inlineStr">
        <is>
          <t>吨</t>
        </is>
      </c>
      <c r="N110" s="72" t="n">
        <v>9020</v>
      </c>
      <c r="O110" s="72">
        <f>ROUND(N110*(1+$F$10),2)</f>
        <v/>
      </c>
      <c r="P110" s="73">
        <f>ROUND(K110*N110,2)</f>
        <v/>
      </c>
      <c r="Q110" s="74">
        <f>ROUND(L110*N110,2)</f>
        <v/>
      </c>
      <c r="R110" s="75" t="n"/>
      <c r="S110" s="76" t="n"/>
      <c r="T110" s="77">
        <f>K110-L110</f>
        <v/>
      </c>
      <c r="U110" s="77">
        <f>P110-Q110</f>
        <v/>
      </c>
      <c r="V110" s="77">
        <f>ABS(U110)</f>
        <v/>
      </c>
      <c r="W110" s="78">
        <f>T110/L110</f>
        <v/>
      </c>
      <c r="X110" s="79">
        <f>ABS(W110)</f>
        <v/>
      </c>
      <c r="AH110" s="6" t="inlineStr">
        <is>
          <t>CAD手算</t>
        </is>
      </c>
    </row>
    <row r="111" ht="11.4" customHeight="1">
      <c r="A111" s="67" t="inlineStr">
        <is>
          <t>51</t>
        </is>
      </c>
      <c r="B111" s="67" t="inlineStr">
        <is>
          <t>1049</t>
        </is>
      </c>
      <c r="C111" s="67" t="inlineStr">
        <is>
          <t>1540</t>
        </is>
      </c>
      <c r="D111" s="68" t="inlineStr">
        <is>
          <t>01</t>
        </is>
      </c>
      <c r="E111" s="68" t="inlineStr">
        <is>
          <t>5 场地发展费</t>
        </is>
      </c>
      <c r="F111" s="68" t="inlineStr">
        <is>
          <t>5.8 楼梯结构新建/改造</t>
        </is>
      </c>
      <c r="G111" s="68" t="inlineStr">
        <is>
          <t>楼梯结构新建/改造</t>
        </is>
      </c>
      <c r="H111" s="68" t="inlineStr">
        <is>
          <t>楼梯结构新建/改造</t>
        </is>
      </c>
      <c r="I111" s="69" t="inlineStr">
        <is>
          <t>1000040106</t>
        </is>
      </c>
      <c r="J111" s="69" t="inlineStr">
        <is>
          <t>新建钢砼楼梯</t>
        </is>
      </c>
      <c r="K111" s="70" t="n"/>
      <c r="L111" s="70" t="n"/>
      <c r="M111" s="71" t="inlineStr">
        <is>
          <t>项</t>
        </is>
      </c>
      <c r="N111" s="72" t="n"/>
      <c r="O111" s="72">
        <f>ROUND(N111*(1+$F$10),2)</f>
        <v/>
      </c>
      <c r="P111" s="73">
        <f>ROUND(K111*N111,2)</f>
        <v/>
      </c>
      <c r="Q111" s="74">
        <f>ROUND(L111*N111,2)</f>
        <v/>
      </c>
      <c r="R111" s="75" t="n"/>
      <c r="S111" s="76" t="n"/>
      <c r="T111" s="77">
        <f>K111-L111</f>
        <v/>
      </c>
      <c r="U111" s="77">
        <f>P111-Q111</f>
        <v/>
      </c>
      <c r="V111" s="77">
        <f>ABS(U111)</f>
        <v/>
      </c>
      <c r="W111" s="78">
        <f>T111/L111</f>
        <v/>
      </c>
      <c r="X111" s="79">
        <f>ABS(W111)</f>
        <v/>
      </c>
      <c r="AH111" s="80" t="inlineStr">
        <is>
          <t>委托书</t>
        </is>
      </c>
    </row>
    <row r="112" ht="11.4" customHeight="1">
      <c r="A112" s="67" t="inlineStr">
        <is>
          <t>51</t>
        </is>
      </c>
      <c r="B112" s="67" t="inlineStr">
        <is>
          <t>1049</t>
        </is>
      </c>
      <c r="C112" s="67" t="inlineStr">
        <is>
          <t>1540</t>
        </is>
      </c>
      <c r="D112" s="68" t="inlineStr">
        <is>
          <t>01</t>
        </is>
      </c>
      <c r="E112" s="68" t="inlineStr">
        <is>
          <t>5 场地发展费</t>
        </is>
      </c>
      <c r="F112" s="68" t="inlineStr">
        <is>
          <t>5.8 楼梯结构新建/改造</t>
        </is>
      </c>
      <c r="G112" s="68" t="inlineStr">
        <is>
          <t>楼梯结构新建/改造</t>
        </is>
      </c>
      <c r="H112" s="68" t="inlineStr">
        <is>
          <t>楼梯结构新建/改造</t>
        </is>
      </c>
      <c r="I112" s="69" t="inlineStr">
        <is>
          <t>1000040107</t>
        </is>
      </c>
      <c r="J112" s="69" t="inlineStr">
        <is>
          <t>改建钢结构楼梯</t>
        </is>
      </c>
      <c r="K112" s="70" t="n"/>
      <c r="L112" s="70" t="n"/>
      <c r="M112" s="71" t="inlineStr">
        <is>
          <t>项</t>
        </is>
      </c>
      <c r="N112" s="72" t="n"/>
      <c r="O112" s="72">
        <f>ROUND(N112*(1+$F$10),2)</f>
        <v/>
      </c>
      <c r="P112" s="73">
        <f>ROUND(K112*N112,2)</f>
        <v/>
      </c>
      <c r="Q112" s="74">
        <f>ROUND(L112*N112,2)</f>
        <v/>
      </c>
      <c r="R112" s="75" t="n"/>
      <c r="S112" s="76" t="n"/>
      <c r="T112" s="77">
        <f>K112-L112</f>
        <v/>
      </c>
      <c r="U112" s="77">
        <f>P112-Q112</f>
        <v/>
      </c>
      <c r="V112" s="77">
        <f>ABS(U112)</f>
        <v/>
      </c>
      <c r="W112" s="78">
        <f>T112/L112</f>
        <v/>
      </c>
      <c r="X112" s="79">
        <f>ABS(W112)</f>
        <v/>
      </c>
      <c r="AH112" s="80" t="inlineStr">
        <is>
          <t>委托书</t>
        </is>
      </c>
    </row>
    <row r="113" ht="11.4" customHeight="1">
      <c r="A113" s="67" t="inlineStr">
        <is>
          <t>51</t>
        </is>
      </c>
      <c r="B113" s="67" t="inlineStr">
        <is>
          <t>1049</t>
        </is>
      </c>
      <c r="C113" s="67" t="inlineStr">
        <is>
          <t>1540</t>
        </is>
      </c>
      <c r="D113" s="68" t="inlineStr">
        <is>
          <t>01</t>
        </is>
      </c>
      <c r="E113" s="68" t="inlineStr">
        <is>
          <t>5 场地发展费</t>
        </is>
      </c>
      <c r="F113" s="68" t="inlineStr">
        <is>
          <t>5.8 楼梯结构新建/改造</t>
        </is>
      </c>
      <c r="G113" s="68" t="inlineStr">
        <is>
          <t>楼梯结构新建/改造</t>
        </is>
      </c>
      <c r="H113" s="68" t="inlineStr">
        <is>
          <t>楼梯结构新建/改造</t>
        </is>
      </c>
      <c r="I113" s="69" t="inlineStr">
        <is>
          <t>1000040108</t>
        </is>
      </c>
      <c r="J113" s="69" t="inlineStr">
        <is>
          <t>改建钢砼楼梯</t>
        </is>
      </c>
      <c r="K113" s="70" t="n"/>
      <c r="L113" s="70" t="n"/>
      <c r="M113" s="71" t="inlineStr">
        <is>
          <t>项</t>
        </is>
      </c>
      <c r="N113" s="72" t="n"/>
      <c r="O113" s="72">
        <f>ROUND(N113*(1+$F$10),2)</f>
        <v/>
      </c>
      <c r="P113" s="73">
        <f>ROUND(K113*N113,2)</f>
        <v/>
      </c>
      <c r="Q113" s="74">
        <f>ROUND(L113*N113,2)</f>
        <v/>
      </c>
      <c r="R113" s="75" t="n"/>
      <c r="S113" s="76" t="n"/>
      <c r="T113" s="77">
        <f>K113-L113</f>
        <v/>
      </c>
      <c r="U113" s="77">
        <f>P113-Q113</f>
        <v/>
      </c>
      <c r="V113" s="77">
        <f>ABS(U113)</f>
        <v/>
      </c>
      <c r="W113" s="78">
        <f>T113/L113</f>
        <v/>
      </c>
      <c r="X113" s="79">
        <f>ABS(W113)</f>
        <v/>
      </c>
      <c r="AH113" s="80" t="inlineStr">
        <is>
          <t>委托书</t>
        </is>
      </c>
    </row>
    <row r="114" ht="11.4" customHeight="1">
      <c r="A114" s="67" t="inlineStr">
        <is>
          <t>56</t>
        </is>
      </c>
      <c r="B114" s="67" t="inlineStr">
        <is>
          <t>1054</t>
        </is>
      </c>
      <c r="C114" s="67" t="inlineStr">
        <is>
          <t>1611</t>
        </is>
      </c>
      <c r="D114" s="68" t="inlineStr">
        <is>
          <t>01</t>
        </is>
      </c>
      <c r="E114" s="68" t="inlineStr">
        <is>
          <t>6 物业施工费</t>
        </is>
      </c>
      <c r="F114" s="68" t="inlineStr">
        <is>
          <t>6.1 总承包工程</t>
        </is>
      </c>
      <c r="G114" s="68" t="inlineStr">
        <is>
          <t>6.1.1 内部装修工程</t>
        </is>
      </c>
      <c r="H114" s="68" t="inlineStr">
        <is>
          <t>大堂地面（不含卫生间及楼梯）</t>
        </is>
      </c>
      <c r="I114" s="69" t="inlineStr">
        <is>
          <t>1000021456</t>
        </is>
      </c>
      <c r="J114" s="69" t="inlineStr">
        <is>
          <t>国产同质砖（琛雄，含不超过50mm厚的找平层）</t>
        </is>
      </c>
      <c r="K114" s="70" t="n"/>
      <c r="L114" s="70" t="n"/>
      <c r="M114" s="71" t="inlineStr">
        <is>
          <t>m2</t>
        </is>
      </c>
      <c r="N114" s="72" t="n">
        <v>180.78</v>
      </c>
      <c r="O114" s="72">
        <f>ROUND(N114*(1+$F$10),2)</f>
        <v/>
      </c>
      <c r="P114" s="73">
        <f>ROUND(K114*N114,2)</f>
        <v/>
      </c>
      <c r="Q114" s="74">
        <f>ROUND(L114*N114,2)</f>
        <v/>
      </c>
      <c r="R114" s="75" t="n"/>
      <c r="S114" s="76" t="n"/>
      <c r="T114" s="77">
        <f>K114-L114</f>
        <v/>
      </c>
      <c r="U114" s="77">
        <f>P114-Q114</f>
        <v/>
      </c>
      <c r="V114" s="77">
        <f>ABS(U114)</f>
        <v/>
      </c>
      <c r="W114" s="78">
        <f>T114/L114</f>
        <v/>
      </c>
      <c r="X114" s="79">
        <f>ABS(W114)</f>
        <v/>
      </c>
      <c r="AG114" s="80" t="inlineStr">
        <is>
          <t>楼板面积</t>
        </is>
      </c>
    </row>
    <row r="115" ht="11.4" customHeight="1">
      <c r="A115" s="67" t="inlineStr">
        <is>
          <t>56</t>
        </is>
      </c>
      <c r="B115" s="67" t="inlineStr">
        <is>
          <t>1054</t>
        </is>
      </c>
      <c r="C115" s="67" t="inlineStr">
        <is>
          <t>1611</t>
        </is>
      </c>
      <c r="D115" s="68" t="inlineStr">
        <is>
          <t>01</t>
        </is>
      </c>
      <c r="E115" s="68" t="inlineStr">
        <is>
          <t>6 物业施工费</t>
        </is>
      </c>
      <c r="F115" s="68" t="inlineStr">
        <is>
          <t>6.1 总承包工程</t>
        </is>
      </c>
      <c r="G115" s="68" t="inlineStr">
        <is>
          <t>6.1.1 内部装修工程</t>
        </is>
      </c>
      <c r="H115" s="68" t="inlineStr">
        <is>
          <t>大堂地面（不含卫生间及楼梯）</t>
        </is>
      </c>
      <c r="I115" s="69" t="inlineStr">
        <is>
          <t>1000021457</t>
        </is>
      </c>
      <c r="J115" s="69" t="inlineStr">
        <is>
          <t>国产同质砖踢脚（琛雄）</t>
        </is>
      </c>
      <c r="K115" s="70" t="n"/>
      <c r="L115" s="70" t="n"/>
      <c r="M115" s="71" t="inlineStr">
        <is>
          <t>米</t>
        </is>
      </c>
      <c r="N115" s="72" t="n">
        <v>41.36</v>
      </c>
      <c r="O115" s="72">
        <f>ROUND(N115*(1+$F$10),2)</f>
        <v/>
      </c>
      <c r="P115" s="73">
        <f>ROUND(K115*N115,2)</f>
        <v/>
      </c>
      <c r="Q115" s="74">
        <f>ROUND(L115*N115,2)</f>
        <v/>
      </c>
      <c r="R115" s="75" t="n"/>
      <c r="S115" s="76" t="n"/>
      <c r="T115" s="77">
        <f>K115-L115</f>
        <v/>
      </c>
      <c r="U115" s="77">
        <f>P115-Q115</f>
        <v/>
      </c>
      <c r="V115" s="77">
        <f>ABS(U115)</f>
        <v/>
      </c>
      <c r="W115" s="78">
        <f>T115/L115</f>
        <v/>
      </c>
      <c r="X115" s="79">
        <f>ABS(W115)</f>
        <v/>
      </c>
      <c r="AG115" s="80" t="inlineStr">
        <is>
          <t>踢脚长度</t>
        </is>
      </c>
    </row>
    <row r="116" ht="11.4" customHeight="1">
      <c r="A116" s="67" t="inlineStr">
        <is>
          <t>56</t>
        </is>
      </c>
      <c r="B116" s="67" t="inlineStr">
        <is>
          <t>1054</t>
        </is>
      </c>
      <c r="C116" s="67" t="inlineStr">
        <is>
          <t>1611</t>
        </is>
      </c>
      <c r="D116" s="68" t="inlineStr">
        <is>
          <t>01</t>
        </is>
      </c>
      <c r="E116" s="68" t="inlineStr">
        <is>
          <t>6 物业施工费</t>
        </is>
      </c>
      <c r="F116" s="68" t="inlineStr">
        <is>
          <t>6.1 总承包工程</t>
        </is>
      </c>
      <c r="G116" s="68" t="inlineStr">
        <is>
          <t>6.1.1 内部装修工程</t>
        </is>
      </c>
      <c r="H116" s="68" t="inlineStr">
        <is>
          <t>大堂地面（不含卫生间及楼梯）</t>
        </is>
      </c>
      <c r="I116" s="69" t="inlineStr">
        <is>
          <t>1000021643</t>
        </is>
      </c>
      <c r="J116" s="69" t="inlineStr">
        <is>
          <t>国产同质砖（共荣，含不超过50mm厚的找平层）</t>
        </is>
      </c>
      <c r="K116" s="70" t="n"/>
      <c r="L116" s="70" t="n"/>
      <c r="M116" s="71" t="inlineStr">
        <is>
          <t>m2</t>
        </is>
      </c>
      <c r="N116" s="72" t="n">
        <v>160.21</v>
      </c>
      <c r="O116" s="72">
        <f>ROUND(N116*(1+$F$10),2)</f>
        <v/>
      </c>
      <c r="P116" s="73">
        <f>ROUND(K116*N116,2)</f>
        <v/>
      </c>
      <c r="Q116" s="74">
        <f>ROUND(L116*N116,2)</f>
        <v/>
      </c>
      <c r="R116" s="75" t="n"/>
      <c r="S116" s="76" t="n"/>
      <c r="T116" s="77">
        <f>K116-L116</f>
        <v/>
      </c>
      <c r="U116" s="77">
        <f>P116-Q116</f>
        <v/>
      </c>
      <c r="V116" s="77">
        <f>ABS(U116)</f>
        <v/>
      </c>
      <c r="W116" s="78">
        <f>T116/L116</f>
        <v/>
      </c>
      <c r="X116" s="79">
        <f>ABS(W116)</f>
        <v/>
      </c>
      <c r="AG116" s="80" t="inlineStr">
        <is>
          <t>楼板面积</t>
        </is>
      </c>
    </row>
    <row r="117" ht="11.4" customHeight="1">
      <c r="A117" s="67" t="inlineStr">
        <is>
          <t>56</t>
        </is>
      </c>
      <c r="B117" s="67" t="inlineStr">
        <is>
          <t>1054</t>
        </is>
      </c>
      <c r="C117" s="67" t="inlineStr">
        <is>
          <t>1611</t>
        </is>
      </c>
      <c r="D117" s="68" t="inlineStr">
        <is>
          <t>01</t>
        </is>
      </c>
      <c r="E117" s="68" t="inlineStr">
        <is>
          <t>6 物业施工费</t>
        </is>
      </c>
      <c r="F117" s="68" t="inlineStr">
        <is>
          <t>6.1 总承包工程</t>
        </is>
      </c>
      <c r="G117" s="68" t="inlineStr">
        <is>
          <t>6.1.1 内部装修工程</t>
        </is>
      </c>
      <c r="H117" s="68" t="inlineStr">
        <is>
          <t>大堂地面（不含卫生间及楼梯）</t>
        </is>
      </c>
      <c r="I117" s="69" t="inlineStr">
        <is>
          <t>1000021644</t>
        </is>
      </c>
      <c r="J117" s="69" t="inlineStr">
        <is>
          <t>国产同质砖踢脚（共荣）</t>
        </is>
      </c>
      <c r="K117" s="70" t="n"/>
      <c r="L117" s="70" t="n"/>
      <c r="M117" s="71" t="inlineStr">
        <is>
          <t>米</t>
        </is>
      </c>
      <c r="N117" s="72" t="n">
        <v>38.94</v>
      </c>
      <c r="O117" s="72">
        <f>ROUND(N117*(1+$F$10),2)</f>
        <v/>
      </c>
      <c r="P117" s="73">
        <f>ROUND(K117*N117,2)</f>
        <v/>
      </c>
      <c r="Q117" s="74">
        <f>ROUND(L117*N117,2)</f>
        <v/>
      </c>
      <c r="R117" s="75" t="n"/>
      <c r="S117" s="76" t="n"/>
      <c r="T117" s="77">
        <f>K117-L117</f>
        <v/>
      </c>
      <c r="U117" s="77">
        <f>P117-Q117</f>
        <v/>
      </c>
      <c r="V117" s="77">
        <f>ABS(U117)</f>
        <v/>
      </c>
      <c r="W117" s="78">
        <f>T117/L117</f>
        <v/>
      </c>
      <c r="X117" s="79">
        <f>ABS(W117)</f>
        <v/>
      </c>
      <c r="AG117" s="80" t="inlineStr">
        <is>
          <t>踢脚长度</t>
        </is>
      </c>
    </row>
    <row r="118" ht="11.4" customHeight="1">
      <c r="A118" s="67" t="inlineStr">
        <is>
          <t>56</t>
        </is>
      </c>
      <c r="B118" s="67" t="inlineStr">
        <is>
          <t>1054</t>
        </is>
      </c>
      <c r="C118" s="67" t="inlineStr">
        <is>
          <t>1611</t>
        </is>
      </c>
      <c r="D118" s="68" t="inlineStr">
        <is>
          <t>01</t>
        </is>
      </c>
      <c r="E118" s="68" t="inlineStr">
        <is>
          <t>6 物业施工费</t>
        </is>
      </c>
      <c r="F118" s="68" t="inlineStr">
        <is>
          <t>6.1 总承包工程</t>
        </is>
      </c>
      <c r="G118" s="68" t="inlineStr">
        <is>
          <t>6.1.1 内部装修工程</t>
        </is>
      </c>
      <c r="H118" s="68" t="inlineStr">
        <is>
          <t>大堂地面（不含卫生间及楼梯）</t>
        </is>
      </c>
      <c r="I118" s="69" t="inlineStr">
        <is>
          <t>1000021622</t>
        </is>
      </c>
      <c r="J118" s="69" t="inlineStr">
        <is>
          <t>国产同质砖（冠军，含不超过50mm厚的找平层）</t>
        </is>
      </c>
      <c r="K118" s="70" t="n"/>
      <c r="L118" s="70" t="n"/>
      <c r="M118" s="71" t="inlineStr">
        <is>
          <t>m2</t>
        </is>
      </c>
      <c r="N118" s="72" t="n">
        <v>181.99</v>
      </c>
      <c r="O118" s="72">
        <f>ROUND(N118*(1+$F$10),2)</f>
        <v/>
      </c>
      <c r="P118" s="73">
        <f>ROUND(K118*N118,2)</f>
        <v/>
      </c>
      <c r="Q118" s="74">
        <f>ROUND(L118*N118,2)</f>
        <v/>
      </c>
      <c r="R118" s="75" t="n"/>
      <c r="S118" s="76" t="n"/>
      <c r="T118" s="77">
        <f>K118-L118</f>
        <v/>
      </c>
      <c r="U118" s="77">
        <f>P118-Q118</f>
        <v/>
      </c>
      <c r="V118" s="77">
        <f>ABS(U118)</f>
        <v/>
      </c>
      <c r="W118" s="78">
        <f>T118/L118</f>
        <v/>
      </c>
      <c r="X118" s="79">
        <f>ABS(W118)</f>
        <v/>
      </c>
      <c r="AG118" s="80" t="inlineStr">
        <is>
          <t>楼板面积</t>
        </is>
      </c>
    </row>
    <row r="119" ht="11.4" customHeight="1">
      <c r="A119" s="67" t="inlineStr">
        <is>
          <t>56</t>
        </is>
      </c>
      <c r="B119" s="67" t="inlineStr">
        <is>
          <t>1054</t>
        </is>
      </c>
      <c r="C119" s="67" t="inlineStr">
        <is>
          <t>1611</t>
        </is>
      </c>
      <c r="D119" s="68" t="inlineStr">
        <is>
          <t>01</t>
        </is>
      </c>
      <c r="E119" s="68" t="inlineStr">
        <is>
          <t>6 物业施工费</t>
        </is>
      </c>
      <c r="F119" s="68" t="inlineStr">
        <is>
          <t>6.1 总承包工程</t>
        </is>
      </c>
      <c r="G119" s="68" t="inlineStr">
        <is>
          <t>6.1.1 内部装修工程</t>
        </is>
      </c>
      <c r="H119" s="68" t="inlineStr">
        <is>
          <t>大堂地面（不含卫生间及楼梯）</t>
        </is>
      </c>
      <c r="I119" s="69" t="inlineStr">
        <is>
          <t>1000021623</t>
        </is>
      </c>
      <c r="J119" s="69" t="inlineStr">
        <is>
          <t>国产同质砖踢脚（冠军）</t>
        </is>
      </c>
      <c r="K119" s="70" t="n"/>
      <c r="L119" s="70" t="n"/>
      <c r="M119" s="71" t="inlineStr">
        <is>
          <t>米</t>
        </is>
      </c>
      <c r="N119" s="72" t="n">
        <v>42.57</v>
      </c>
      <c r="O119" s="72">
        <f>ROUND(N119*(1+$F$10),2)</f>
        <v/>
      </c>
      <c r="P119" s="73">
        <f>ROUND(K119*N119,2)</f>
        <v/>
      </c>
      <c r="Q119" s="74">
        <f>ROUND(L119*N119,2)</f>
        <v/>
      </c>
      <c r="R119" s="75" t="n"/>
      <c r="S119" s="76" t="n"/>
      <c r="T119" s="77">
        <f>K119-L119</f>
        <v/>
      </c>
      <c r="U119" s="77">
        <f>P119-Q119</f>
        <v/>
      </c>
      <c r="V119" s="77">
        <f>ABS(U119)</f>
        <v/>
      </c>
      <c r="W119" s="78">
        <f>T119/L119</f>
        <v/>
      </c>
      <c r="X119" s="79">
        <f>ABS(W119)</f>
        <v/>
      </c>
      <c r="AG119" s="80" t="inlineStr">
        <is>
          <t>踢脚长度</t>
        </is>
      </c>
    </row>
    <row r="120" ht="11.4" customHeight="1">
      <c r="A120" s="67" t="inlineStr">
        <is>
          <t>56</t>
        </is>
      </c>
      <c r="B120" s="67" t="inlineStr">
        <is>
          <t>1054</t>
        </is>
      </c>
      <c r="C120" s="67" t="inlineStr">
        <is>
          <t>1611</t>
        </is>
      </c>
      <c r="D120" s="68" t="inlineStr">
        <is>
          <t>01</t>
        </is>
      </c>
      <c r="E120" s="68" t="inlineStr">
        <is>
          <t>6 物业施工费</t>
        </is>
      </c>
      <c r="F120" s="68" t="inlineStr">
        <is>
          <t>6.1 总承包工程</t>
        </is>
      </c>
      <c r="G120" s="68" t="inlineStr">
        <is>
          <t>6.1.1 内部装修工程</t>
        </is>
      </c>
      <c r="H120" s="68" t="inlineStr">
        <is>
          <t>大堂地面（不含卫生间及楼梯）</t>
        </is>
      </c>
      <c r="I120" s="69" t="inlineStr">
        <is>
          <t>1000051755</t>
        </is>
      </c>
      <c r="J120" s="69" t="inlineStr">
        <is>
          <t>600*600mm灰色水泥地砖（琛雄，含不超过50mm厚的找平层）</t>
        </is>
      </c>
      <c r="K120" s="70" t="n"/>
      <c r="L120" s="70" t="n"/>
      <c r="M120" s="71" t="inlineStr">
        <is>
          <t>m2</t>
        </is>
      </c>
      <c r="N120" s="72" t="n">
        <v>187.98</v>
      </c>
      <c r="O120" s="72">
        <f>ROUND(N120*(1+$F$10),2)</f>
        <v/>
      </c>
      <c r="P120" s="73">
        <f>ROUND(K120*N120,2)</f>
        <v/>
      </c>
      <c r="Q120" s="74">
        <f>ROUND(L120*N120,2)</f>
        <v/>
      </c>
      <c r="R120" s="75" t="n"/>
      <c r="S120" s="76" t="n"/>
      <c r="T120" s="77">
        <f>K120-L120</f>
        <v/>
      </c>
      <c r="U120" s="77">
        <f>P120-Q120</f>
        <v/>
      </c>
      <c r="V120" s="77">
        <f>ABS(U120)</f>
        <v/>
      </c>
      <c r="W120" s="78">
        <f>T120/L120</f>
        <v/>
      </c>
      <c r="X120" s="79">
        <f>ABS(W120)</f>
        <v/>
      </c>
      <c r="AG120" s="80" t="inlineStr">
        <is>
          <t>楼板面积</t>
        </is>
      </c>
    </row>
    <row r="121" ht="11.4" customHeight="1">
      <c r="A121" s="67" t="inlineStr">
        <is>
          <t>56</t>
        </is>
      </c>
      <c r="B121" s="67" t="inlineStr">
        <is>
          <t>1054</t>
        </is>
      </c>
      <c r="C121" s="67" t="inlineStr">
        <is>
          <t>1611</t>
        </is>
      </c>
      <c r="D121" s="68" t="inlineStr">
        <is>
          <t>01</t>
        </is>
      </c>
      <c r="E121" s="68" t="inlineStr">
        <is>
          <t>6 物业施工费</t>
        </is>
      </c>
      <c r="F121" s="68" t="inlineStr">
        <is>
          <t>6.1 总承包工程</t>
        </is>
      </c>
      <c r="G121" s="68" t="inlineStr">
        <is>
          <t>6.1.1 内部装修工程</t>
        </is>
      </c>
      <c r="H121" s="68" t="inlineStr">
        <is>
          <t>大堂地面（不含卫生间及楼梯）</t>
        </is>
      </c>
      <c r="I121" s="69" t="inlineStr">
        <is>
          <t>1000051756</t>
        </is>
      </c>
      <c r="J121" s="69" t="inlineStr">
        <is>
          <t>600*600mm灰色水泥地砖（共荣，含不超过50mm厚的找平层）</t>
        </is>
      </c>
      <c r="K121" s="70" t="n"/>
      <c r="L121" s="70" t="n"/>
      <c r="M121" s="71" t="inlineStr">
        <is>
          <t>m2</t>
        </is>
      </c>
      <c r="N121" s="72" t="n">
        <v>171.66</v>
      </c>
      <c r="O121" s="72">
        <f>ROUND(N121*(1+$F$10),2)</f>
        <v/>
      </c>
      <c r="P121" s="73">
        <f>ROUND(K121*N121,2)</f>
        <v/>
      </c>
      <c r="Q121" s="74">
        <f>ROUND(L121*N121,2)</f>
        <v/>
      </c>
      <c r="R121" s="75" t="n"/>
      <c r="S121" s="76" t="n"/>
      <c r="T121" s="77">
        <f>K121-L121</f>
        <v/>
      </c>
      <c r="U121" s="77">
        <f>P121-Q121</f>
        <v/>
      </c>
      <c r="V121" s="77">
        <f>ABS(U121)</f>
        <v/>
      </c>
      <c r="W121" s="78">
        <f>T121/L121</f>
        <v/>
      </c>
      <c r="X121" s="79">
        <f>ABS(W121)</f>
        <v/>
      </c>
      <c r="AG121" s="80" t="inlineStr">
        <is>
          <t>楼板面积</t>
        </is>
      </c>
    </row>
    <row r="122" ht="11.4" customHeight="1">
      <c r="A122" s="67" t="inlineStr">
        <is>
          <t>56</t>
        </is>
      </c>
      <c r="B122" s="67" t="inlineStr">
        <is>
          <t>1054</t>
        </is>
      </c>
      <c r="C122" s="67" t="inlineStr">
        <is>
          <t>1611</t>
        </is>
      </c>
      <c r="D122" s="68" t="inlineStr">
        <is>
          <t>01</t>
        </is>
      </c>
      <c r="E122" s="68" t="inlineStr">
        <is>
          <t>6 物业施工费</t>
        </is>
      </c>
      <c r="F122" s="68" t="inlineStr">
        <is>
          <t>6.1 总承包工程</t>
        </is>
      </c>
      <c r="G122" s="68" t="inlineStr">
        <is>
          <t>6.1.1 内部装修工程</t>
        </is>
      </c>
      <c r="H122" s="68" t="inlineStr">
        <is>
          <t>大堂地面（不含卫生间及楼梯）</t>
        </is>
      </c>
      <c r="I122" s="69" t="inlineStr">
        <is>
          <t>1000051757</t>
        </is>
      </c>
      <c r="J122" s="69" t="inlineStr">
        <is>
          <t>600*600mm灰色水泥地砖（冠军，含不超过50mm厚的找平层）</t>
        </is>
      </c>
      <c r="K122" s="70" t="n"/>
      <c r="L122" s="70" t="n"/>
      <c r="M122" s="71" t="inlineStr">
        <is>
          <t>m2</t>
        </is>
      </c>
      <c r="N122" s="72" t="n">
        <v>189.15</v>
      </c>
      <c r="O122" s="72">
        <f>ROUND(N122*(1+$F$10),2)</f>
        <v/>
      </c>
      <c r="P122" s="73">
        <f>ROUND(K122*N122,2)</f>
        <v/>
      </c>
      <c r="Q122" s="74">
        <f>ROUND(L122*N122,2)</f>
        <v/>
      </c>
      <c r="R122" s="75" t="n"/>
      <c r="S122" s="76" t="n"/>
      <c r="T122" s="77">
        <f>K122-L122</f>
        <v/>
      </c>
      <c r="U122" s="77">
        <f>P122-Q122</f>
        <v/>
      </c>
      <c r="V122" s="77">
        <f>ABS(U122)</f>
        <v/>
      </c>
      <c r="W122" s="78">
        <f>T122/L122</f>
        <v/>
      </c>
      <c r="X122" s="79">
        <f>ABS(W122)</f>
        <v/>
      </c>
      <c r="AG122" s="80" t="inlineStr">
        <is>
          <t>楼板面积</t>
        </is>
      </c>
    </row>
    <row r="123" ht="11.4" customHeight="1">
      <c r="A123" s="67" t="inlineStr">
        <is>
          <t>56</t>
        </is>
      </c>
      <c r="B123" s="67" t="inlineStr">
        <is>
          <t>1054</t>
        </is>
      </c>
      <c r="C123" s="67" t="inlineStr">
        <is>
          <t>1611</t>
        </is>
      </c>
      <c r="D123" s="68" t="inlineStr">
        <is>
          <t>01</t>
        </is>
      </c>
      <c r="E123" s="68" t="inlineStr">
        <is>
          <t>6 物业施工费</t>
        </is>
      </c>
      <c r="F123" s="68" t="inlineStr">
        <is>
          <t>6.1 总承包工程</t>
        </is>
      </c>
      <c r="G123" s="68" t="inlineStr">
        <is>
          <t>6.1.1 内部装修工程</t>
        </is>
      </c>
      <c r="H123" s="68" t="inlineStr">
        <is>
          <t>大堂地面（不含卫生间及楼梯）</t>
        </is>
      </c>
      <c r="I123" s="69" t="inlineStr">
        <is>
          <t>1000053612</t>
        </is>
      </c>
      <c r="J123" s="69" t="inlineStr">
        <is>
          <t>灰色水泥纹踢脚（琛雄）</t>
        </is>
      </c>
      <c r="K123" s="70" t="n"/>
      <c r="L123" s="70" t="n"/>
      <c r="M123" s="71" t="inlineStr">
        <is>
          <t>米</t>
        </is>
      </c>
      <c r="N123" s="72" t="n">
        <v>41.36</v>
      </c>
      <c r="O123" s="72">
        <f>ROUND(N123*(1+$F$10),2)</f>
        <v/>
      </c>
      <c r="P123" s="73">
        <f>ROUND(K123*N123,2)</f>
        <v/>
      </c>
      <c r="Q123" s="74">
        <f>ROUND(L123*N123,2)</f>
        <v/>
      </c>
      <c r="R123" s="75" t="n"/>
      <c r="S123" s="76" t="n"/>
      <c r="T123" s="77">
        <f>K123-L123</f>
        <v/>
      </c>
      <c r="U123" s="77">
        <f>P123-Q123</f>
        <v/>
      </c>
      <c r="V123" s="77">
        <f>ABS(U123)</f>
        <v/>
      </c>
      <c r="W123" s="78">
        <f>T123/L123</f>
        <v/>
      </c>
      <c r="X123" s="79">
        <f>ABS(W123)</f>
        <v/>
      </c>
      <c r="AG123" s="80" t="inlineStr">
        <is>
          <t>踢脚长度</t>
        </is>
      </c>
    </row>
    <row r="124" ht="11.4" customHeight="1">
      <c r="A124" s="67" t="inlineStr">
        <is>
          <t>56</t>
        </is>
      </c>
      <c r="B124" s="67" t="inlineStr">
        <is>
          <t>1054</t>
        </is>
      </c>
      <c r="C124" s="67" t="inlineStr">
        <is>
          <t>1611</t>
        </is>
      </c>
      <c r="D124" s="68" t="inlineStr">
        <is>
          <t>01</t>
        </is>
      </c>
      <c r="E124" s="68" t="inlineStr">
        <is>
          <t>6 物业施工费</t>
        </is>
      </c>
      <c r="F124" s="68" t="inlineStr">
        <is>
          <t>6.1 总承包工程</t>
        </is>
      </c>
      <c r="G124" s="68" t="inlineStr">
        <is>
          <t>6.1.1 内部装修工程</t>
        </is>
      </c>
      <c r="H124" s="68" t="inlineStr">
        <is>
          <t>大堂地面（不含卫生间及楼梯）</t>
        </is>
      </c>
      <c r="I124" s="69" t="inlineStr">
        <is>
          <t>1000053613</t>
        </is>
      </c>
      <c r="J124" s="69" t="inlineStr">
        <is>
          <t>灰色水泥纹踢脚（共荣）</t>
        </is>
      </c>
      <c r="K124" s="70" t="n"/>
      <c r="L124" s="70" t="n"/>
      <c r="M124" s="71" t="inlineStr">
        <is>
          <t>米</t>
        </is>
      </c>
      <c r="N124" s="72" t="n">
        <v>38.94</v>
      </c>
      <c r="O124" s="72">
        <f>ROUND(N124*(1+$F$10),2)</f>
        <v/>
      </c>
      <c r="P124" s="73">
        <f>ROUND(K124*N124,2)</f>
        <v/>
      </c>
      <c r="Q124" s="74">
        <f>ROUND(L124*N124,2)</f>
        <v/>
      </c>
      <c r="R124" s="75" t="n"/>
      <c r="S124" s="76" t="n"/>
      <c r="T124" s="77">
        <f>K124-L124</f>
        <v/>
      </c>
      <c r="U124" s="77">
        <f>P124-Q124</f>
        <v/>
      </c>
      <c r="V124" s="77">
        <f>ABS(U124)</f>
        <v/>
      </c>
      <c r="W124" s="78">
        <f>T124/L124</f>
        <v/>
      </c>
      <c r="X124" s="79">
        <f>ABS(W124)</f>
        <v/>
      </c>
      <c r="AG124" s="80" t="inlineStr">
        <is>
          <t>踢脚长度</t>
        </is>
      </c>
    </row>
    <row r="125" ht="11.4" customHeight="1">
      <c r="A125" s="67" t="inlineStr">
        <is>
          <t>56</t>
        </is>
      </c>
      <c r="B125" s="67" t="inlineStr">
        <is>
          <t>1054</t>
        </is>
      </c>
      <c r="C125" s="67" t="inlineStr">
        <is>
          <t>1611</t>
        </is>
      </c>
      <c r="D125" s="68" t="inlineStr">
        <is>
          <t>01</t>
        </is>
      </c>
      <c r="E125" s="68" t="inlineStr">
        <is>
          <t>6 物业施工费</t>
        </is>
      </c>
      <c r="F125" s="68" t="inlineStr">
        <is>
          <t>6.1 总承包工程</t>
        </is>
      </c>
      <c r="G125" s="68" t="inlineStr">
        <is>
          <t>6.1.1 内部装修工程</t>
        </is>
      </c>
      <c r="H125" s="68" t="inlineStr">
        <is>
          <t>大堂地面（不含卫生间及楼梯）</t>
        </is>
      </c>
      <c r="I125" s="69" t="inlineStr">
        <is>
          <t>1000053614</t>
        </is>
      </c>
      <c r="J125" s="69" t="inlineStr">
        <is>
          <t>灰色水泥纹踢脚（冠军）</t>
        </is>
      </c>
      <c r="K125" s="70" t="n"/>
      <c r="L125" s="70" t="n"/>
      <c r="M125" s="71" t="inlineStr">
        <is>
          <t>米</t>
        </is>
      </c>
      <c r="N125" s="72" t="n">
        <v>40.15</v>
      </c>
      <c r="O125" s="72">
        <f>ROUND(N125*(1+$F$10),2)</f>
        <v/>
      </c>
      <c r="P125" s="73">
        <f>ROUND(K125*N125,2)</f>
        <v/>
      </c>
      <c r="Q125" s="74">
        <f>ROUND(L125*N125,2)</f>
        <v/>
      </c>
      <c r="R125" s="75" t="n"/>
      <c r="S125" s="76" t="n"/>
      <c r="T125" s="77">
        <f>K125-L125</f>
        <v/>
      </c>
      <c r="U125" s="77">
        <f>P125-Q125</f>
        <v/>
      </c>
      <c r="V125" s="77">
        <f>ABS(U125)</f>
        <v/>
      </c>
      <c r="W125" s="78">
        <f>T125/L125</f>
        <v/>
      </c>
      <c r="X125" s="79">
        <f>ABS(W125)</f>
        <v/>
      </c>
      <c r="AG125" s="80" t="inlineStr">
        <is>
          <t>踢脚长度</t>
        </is>
      </c>
    </row>
    <row r="126" ht="11.4" customHeight="1">
      <c r="A126" s="67" t="inlineStr">
        <is>
          <t>56</t>
        </is>
      </c>
      <c r="B126" s="67" t="inlineStr">
        <is>
          <t>1054</t>
        </is>
      </c>
      <c r="C126" s="67" t="inlineStr">
        <is>
          <t>1611</t>
        </is>
      </c>
      <c r="D126" s="68" t="inlineStr">
        <is>
          <t>01</t>
        </is>
      </c>
      <c r="E126" s="68" t="inlineStr">
        <is>
          <t>6 物业施工费</t>
        </is>
      </c>
      <c r="F126" s="68" t="inlineStr">
        <is>
          <t>6.1 总承包工程</t>
        </is>
      </c>
      <c r="G126" s="68" t="inlineStr">
        <is>
          <t>6.1.1 内部装修工程</t>
        </is>
      </c>
      <c r="H126" s="68" t="inlineStr">
        <is>
          <t>大堂地面（不含卫生间及楼梯）</t>
        </is>
      </c>
      <c r="I126" s="69" t="inlineStr">
        <is>
          <t>1000021679</t>
        </is>
      </c>
      <c r="J126" s="69" t="inlineStr">
        <is>
          <t>混凝土地面砖（琛雄，人字形拼接）</t>
        </is>
      </c>
      <c r="K126" s="70" t="n"/>
      <c r="L126" s="70" t="n"/>
      <c r="M126" s="71" t="inlineStr">
        <is>
          <t>m2</t>
        </is>
      </c>
      <c r="N126" s="72" t="n">
        <v>219.86</v>
      </c>
      <c r="O126" s="72">
        <f>ROUND(N126*(1+$F$10),2)</f>
        <v/>
      </c>
      <c r="P126" s="73">
        <f>ROUND(K126*N126,2)</f>
        <v/>
      </c>
      <c r="Q126" s="74">
        <f>ROUND(L126*N126,2)</f>
        <v/>
      </c>
      <c r="R126" s="75" t="n"/>
      <c r="S126" s="76" t="n"/>
      <c r="T126" s="77">
        <f>K126-L126</f>
        <v/>
      </c>
      <c r="U126" s="77">
        <f>P126-Q126</f>
        <v/>
      </c>
      <c r="V126" s="77">
        <f>ABS(U126)</f>
        <v/>
      </c>
      <c r="W126" s="78">
        <f>T126/L126</f>
        <v/>
      </c>
      <c r="X126" s="79">
        <f>ABS(W126)</f>
        <v/>
      </c>
      <c r="AG126" s="6" t="inlineStr">
        <is>
          <t>楼板面积</t>
        </is>
      </c>
    </row>
    <row r="127" ht="11.4" customHeight="1">
      <c r="A127" s="67" t="inlineStr">
        <is>
          <t>56</t>
        </is>
      </c>
      <c r="B127" s="67" t="inlineStr">
        <is>
          <t>1054</t>
        </is>
      </c>
      <c r="C127" s="67" t="inlineStr">
        <is>
          <t>1611</t>
        </is>
      </c>
      <c r="D127" s="68" t="inlineStr">
        <is>
          <t>01</t>
        </is>
      </c>
      <c r="E127" s="68" t="inlineStr">
        <is>
          <t>6 物业施工费</t>
        </is>
      </c>
      <c r="F127" s="68" t="inlineStr">
        <is>
          <t>6.1 总承包工程</t>
        </is>
      </c>
      <c r="G127" s="68" t="inlineStr">
        <is>
          <t>6.1.1 内部装修工程</t>
        </is>
      </c>
      <c r="H127" s="68" t="inlineStr">
        <is>
          <t>大堂地面（不含卫生间及楼梯）</t>
        </is>
      </c>
      <c r="I127" s="69" t="inlineStr">
        <is>
          <t>1000021678</t>
        </is>
      </c>
      <c r="J127" s="69" t="inlineStr">
        <is>
          <t>混凝土地面砖（共荣，人字形拼接）</t>
        </is>
      </c>
      <c r="K127" s="70" t="n"/>
      <c r="L127" s="70" t="n"/>
      <c r="M127" s="71" t="inlineStr">
        <is>
          <t>m2</t>
        </is>
      </c>
      <c r="N127" s="72" t="n">
        <v>203.42</v>
      </c>
      <c r="O127" s="72">
        <f>ROUND(N127*(1+$F$10),2)</f>
        <v/>
      </c>
      <c r="P127" s="73">
        <f>ROUND(K127*N127,2)</f>
        <v/>
      </c>
      <c r="Q127" s="74">
        <f>ROUND(L127*N127,2)</f>
        <v/>
      </c>
      <c r="R127" s="75" t="n"/>
      <c r="S127" s="76" t="n"/>
      <c r="T127" s="77">
        <f>K127-L127</f>
        <v/>
      </c>
      <c r="U127" s="77">
        <f>P127-Q127</f>
        <v/>
      </c>
      <c r="V127" s="77">
        <f>ABS(U127)</f>
        <v/>
      </c>
      <c r="W127" s="78">
        <f>T127/L127</f>
        <v/>
      </c>
      <c r="X127" s="79">
        <f>ABS(W127)</f>
        <v/>
      </c>
      <c r="AG127" s="6" t="inlineStr">
        <is>
          <t>楼板面积</t>
        </is>
      </c>
    </row>
    <row r="128" ht="11.4" customHeight="1">
      <c r="A128" s="67" t="inlineStr">
        <is>
          <t>56</t>
        </is>
      </c>
      <c r="B128" s="67" t="inlineStr">
        <is>
          <t>1054</t>
        </is>
      </c>
      <c r="C128" s="67" t="inlineStr">
        <is>
          <t>1611</t>
        </is>
      </c>
      <c r="D128" s="68" t="inlineStr">
        <is>
          <t>01</t>
        </is>
      </c>
      <c r="E128" s="68" t="inlineStr">
        <is>
          <t>6 物业施工费</t>
        </is>
      </c>
      <c r="F128" s="68" t="inlineStr">
        <is>
          <t>6.1 总承包工程</t>
        </is>
      </c>
      <c r="G128" s="68" t="inlineStr">
        <is>
          <t>6.1.1 内部装修工程</t>
        </is>
      </c>
      <c r="H128" s="68" t="inlineStr">
        <is>
          <t>大堂地面（不含卫生间及楼梯）</t>
        </is>
      </c>
      <c r="I128" s="69" t="inlineStr">
        <is>
          <t>1000021460</t>
        </is>
      </c>
      <c r="J128" s="69" t="inlineStr">
        <is>
          <t>混凝土地面砖（冠军，人字形拼接）</t>
        </is>
      </c>
      <c r="K128" s="70" t="n">
        <v>81.33</v>
      </c>
      <c r="L128" s="70" t="n">
        <v>81.12</v>
      </c>
      <c r="M128" s="71" t="inlineStr">
        <is>
          <t>m2</t>
        </is>
      </c>
      <c r="N128" s="72" t="n">
        <v>222.39</v>
      </c>
      <c r="O128" s="72">
        <f>ROUND(N128*(1+$F$10),2)</f>
        <v/>
      </c>
      <c r="P128" s="73">
        <f>ROUND(K128*N128,2)</f>
        <v/>
      </c>
      <c r="Q128" s="74">
        <f>ROUND(L128*N128,2)</f>
        <v/>
      </c>
      <c r="R128" s="75" t="n"/>
      <c r="S128" s="76" t="n"/>
      <c r="T128" s="77">
        <f>K128-L128</f>
        <v/>
      </c>
      <c r="U128" s="77">
        <f>P128-Q128</f>
        <v/>
      </c>
      <c r="V128" s="77">
        <f>ABS(U128)</f>
        <v/>
      </c>
      <c r="W128" s="78">
        <f>T128/L128</f>
        <v/>
      </c>
      <c r="X128" s="79">
        <f>ABS(W128)</f>
        <v/>
      </c>
      <c r="AG128" s="6" t="inlineStr">
        <is>
          <t>楼板面积</t>
        </is>
      </c>
    </row>
    <row r="129" ht="11.4" customHeight="1">
      <c r="A129" s="67" t="inlineStr">
        <is>
          <t>56</t>
        </is>
      </c>
      <c r="B129" s="67" t="inlineStr">
        <is>
          <t>1054</t>
        </is>
      </c>
      <c r="C129" s="67" t="inlineStr">
        <is>
          <t>1611</t>
        </is>
      </c>
      <c r="D129" s="68" t="inlineStr">
        <is>
          <t>01</t>
        </is>
      </c>
      <c r="E129" s="68" t="inlineStr">
        <is>
          <t>6 物业施工费</t>
        </is>
      </c>
      <c r="F129" s="68" t="inlineStr">
        <is>
          <t>6.1 总承包工程</t>
        </is>
      </c>
      <c r="G129" s="68" t="inlineStr">
        <is>
          <t>6.1.1 内部装修工程</t>
        </is>
      </c>
      <c r="H129" s="68" t="inlineStr">
        <is>
          <t>大堂地面（不含卫生间及楼梯）</t>
        </is>
      </c>
      <c r="I129" s="69" t="inlineStr">
        <is>
          <t>1000041810</t>
        </is>
      </c>
      <c r="J129" s="69" t="inlineStr">
        <is>
          <t>黑色踢脚（琛雄，Geometry）</t>
        </is>
      </c>
      <c r="K129" s="70" t="n"/>
      <c r="L129" s="70" t="n"/>
      <c r="M129" s="71" t="inlineStr">
        <is>
          <t>米</t>
        </is>
      </c>
      <c r="N129" s="72" t="n">
        <v>41.36</v>
      </c>
      <c r="O129" s="72">
        <f>ROUND(N129*(1+$F$10),2)</f>
        <v/>
      </c>
      <c r="P129" s="73">
        <f>ROUND(K129*N129,2)</f>
        <v/>
      </c>
      <c r="Q129" s="74">
        <f>ROUND(L129*N129,2)</f>
        <v/>
      </c>
      <c r="R129" s="75" t="n"/>
      <c r="S129" s="76" t="n"/>
      <c r="T129" s="77">
        <f>K129-L129</f>
        <v/>
      </c>
      <c r="U129" s="77">
        <f>P129-Q129</f>
        <v/>
      </c>
      <c r="V129" s="77">
        <f>ABS(U129)</f>
        <v/>
      </c>
      <c r="W129" s="78">
        <f>T129/L129</f>
        <v/>
      </c>
      <c r="X129" s="79">
        <f>ABS(W129)</f>
        <v/>
      </c>
      <c r="AG129" s="80" t="inlineStr">
        <is>
          <t>踢脚长度</t>
        </is>
      </c>
    </row>
    <row r="130" ht="11.4" customHeight="1">
      <c r="A130" s="67" t="inlineStr">
        <is>
          <t>56</t>
        </is>
      </c>
      <c r="B130" s="67" t="inlineStr">
        <is>
          <t>1054</t>
        </is>
      </c>
      <c r="C130" s="67" t="inlineStr">
        <is>
          <t>1611</t>
        </is>
      </c>
      <c r="D130" s="68" t="inlineStr">
        <is>
          <t>01</t>
        </is>
      </c>
      <c r="E130" s="68" t="inlineStr">
        <is>
          <t>6 物业施工费</t>
        </is>
      </c>
      <c r="F130" s="68" t="inlineStr">
        <is>
          <t>6.1 总承包工程</t>
        </is>
      </c>
      <c r="G130" s="68" t="inlineStr">
        <is>
          <t>6.1.1 内部装修工程</t>
        </is>
      </c>
      <c r="H130" s="68" t="inlineStr">
        <is>
          <t>大堂地面（不含卫生间及楼梯）</t>
        </is>
      </c>
      <c r="I130" s="69" t="inlineStr">
        <is>
          <t>1000041812</t>
        </is>
      </c>
      <c r="J130" s="69" t="inlineStr">
        <is>
          <t>黑色踢脚（共荣，Geometry）</t>
        </is>
      </c>
      <c r="K130" s="70" t="n"/>
      <c r="L130" s="70" t="n"/>
      <c r="M130" s="71" t="inlineStr">
        <is>
          <t>米</t>
        </is>
      </c>
      <c r="N130" s="72" t="n">
        <v>40.15</v>
      </c>
      <c r="O130" s="72">
        <f>ROUND(N130*(1+$F$10),2)</f>
        <v/>
      </c>
      <c r="P130" s="73">
        <f>ROUND(K130*N130,2)</f>
        <v/>
      </c>
      <c r="Q130" s="74">
        <f>ROUND(L130*N130,2)</f>
        <v/>
      </c>
      <c r="R130" s="75" t="n"/>
      <c r="S130" s="76" t="n"/>
      <c r="T130" s="77">
        <f>K130-L130</f>
        <v/>
      </c>
      <c r="U130" s="77">
        <f>P130-Q130</f>
        <v/>
      </c>
      <c r="V130" s="77">
        <f>ABS(U130)</f>
        <v/>
      </c>
      <c r="W130" s="78">
        <f>T130/L130</f>
        <v/>
      </c>
      <c r="X130" s="79">
        <f>ABS(W130)</f>
        <v/>
      </c>
      <c r="AG130" s="80" t="inlineStr">
        <is>
          <t>踢脚长度</t>
        </is>
      </c>
    </row>
    <row r="131" ht="11.4" customHeight="1">
      <c r="A131" s="67" t="inlineStr">
        <is>
          <t>56</t>
        </is>
      </c>
      <c r="B131" s="67" t="inlineStr">
        <is>
          <t>1054</t>
        </is>
      </c>
      <c r="C131" s="67" t="inlineStr">
        <is>
          <t>1611</t>
        </is>
      </c>
      <c r="D131" s="68" t="inlineStr">
        <is>
          <t>01</t>
        </is>
      </c>
      <c r="E131" s="68" t="inlineStr">
        <is>
          <t>6 物业施工费</t>
        </is>
      </c>
      <c r="F131" s="68" t="inlineStr">
        <is>
          <t>6.1 总承包工程</t>
        </is>
      </c>
      <c r="G131" s="68" t="inlineStr">
        <is>
          <t>6.1.1 内部装修工程</t>
        </is>
      </c>
      <c r="H131" s="68" t="inlineStr">
        <is>
          <t>大堂地面（不含卫生间及楼梯）</t>
        </is>
      </c>
      <c r="I131" s="69" t="inlineStr">
        <is>
          <t>1000041818</t>
        </is>
      </c>
      <c r="J131" s="82" t="inlineStr">
        <is>
          <t>黑色踢脚（冠军，Geometry）</t>
        </is>
      </c>
      <c r="K131" s="83" t="n">
        <v>72.34</v>
      </c>
      <c r="L131" s="70" t="n">
        <v>77.15000000000001</v>
      </c>
      <c r="M131" s="71" t="inlineStr">
        <is>
          <t>米</t>
        </is>
      </c>
      <c r="N131" s="72" t="n">
        <v>41.36</v>
      </c>
      <c r="O131" s="72">
        <f>ROUND(N131*(1+$F$10),2)</f>
        <v/>
      </c>
      <c r="P131" s="73">
        <f>ROUND(K131*N131,2)</f>
        <v/>
      </c>
      <c r="Q131" s="74">
        <f>ROUND(L131*N131,2)</f>
        <v/>
      </c>
      <c r="R131" s="75" t="n"/>
      <c r="S131" s="76" t="n"/>
      <c r="T131" s="77">
        <f>K131-L131</f>
        <v/>
      </c>
      <c r="U131" s="77">
        <f>P131-Q131</f>
        <v/>
      </c>
      <c r="V131" s="77">
        <f>ABS(U131)</f>
        <v/>
      </c>
      <c r="W131" s="78">
        <f>T131/L131</f>
        <v/>
      </c>
      <c r="X131" s="79">
        <f>ABS(W131)</f>
        <v/>
      </c>
      <c r="AG131" s="80" t="inlineStr">
        <is>
          <t>踢脚长度</t>
        </is>
      </c>
    </row>
    <row r="132" ht="11.4" customHeight="1">
      <c r="A132" s="67" t="inlineStr">
        <is>
          <t>56</t>
        </is>
      </c>
      <c r="B132" s="67" t="inlineStr">
        <is>
          <t>1054</t>
        </is>
      </c>
      <c r="C132" s="67" t="inlineStr">
        <is>
          <t>1611</t>
        </is>
      </c>
      <c r="D132" s="68" t="inlineStr">
        <is>
          <t>01</t>
        </is>
      </c>
      <c r="E132" s="68" t="inlineStr">
        <is>
          <t>6 物业施工费</t>
        </is>
      </c>
      <c r="F132" s="68" t="inlineStr">
        <is>
          <t>6.1 总承包工程</t>
        </is>
      </c>
      <c r="G132" s="68" t="inlineStr">
        <is>
          <t>6.1.1 内部装修工程</t>
        </is>
      </c>
      <c r="H132" s="68" t="inlineStr">
        <is>
          <t>大堂地面（不含卫生间及楼梯）</t>
        </is>
      </c>
      <c r="I132" s="69" t="inlineStr">
        <is>
          <t>1000021666</t>
        </is>
      </c>
      <c r="J132" s="69" t="inlineStr">
        <is>
          <t>600*600mm水磨石地砖（琛雄，含不超过50mm厚的找平层）</t>
        </is>
      </c>
      <c r="K132" s="70" t="n"/>
      <c r="L132" s="70" t="n"/>
      <c r="M132" s="71" t="inlineStr">
        <is>
          <t>m2</t>
        </is>
      </c>
      <c r="N132" s="72" t="n">
        <v>196.14</v>
      </c>
      <c r="O132" s="72">
        <f>ROUND(N132*(1+$F$10),2)</f>
        <v/>
      </c>
      <c r="P132" s="73">
        <f>ROUND(K132*N132,2)</f>
        <v/>
      </c>
      <c r="Q132" s="74">
        <f>ROUND(L132*N132,2)</f>
        <v/>
      </c>
      <c r="R132" s="75" t="n"/>
      <c r="S132" s="76" t="n"/>
      <c r="T132" s="77">
        <f>K132-L132</f>
        <v/>
      </c>
      <c r="U132" s="77">
        <f>P132-Q132</f>
        <v/>
      </c>
      <c r="V132" s="77">
        <f>ABS(U132)</f>
        <v/>
      </c>
      <c r="W132" s="78">
        <f>T132/L132</f>
        <v/>
      </c>
      <c r="X132" s="79">
        <f>ABS(W132)</f>
        <v/>
      </c>
    </row>
    <row r="133" ht="11.4" customHeight="1">
      <c r="A133" s="67" t="inlineStr">
        <is>
          <t>56</t>
        </is>
      </c>
      <c r="B133" s="67" t="inlineStr">
        <is>
          <t>1054</t>
        </is>
      </c>
      <c r="C133" s="67" t="inlineStr">
        <is>
          <t>1611</t>
        </is>
      </c>
      <c r="D133" s="68" t="inlineStr">
        <is>
          <t>01</t>
        </is>
      </c>
      <c r="E133" s="68" t="inlineStr">
        <is>
          <t>6 物业施工费</t>
        </is>
      </c>
      <c r="F133" s="68" t="inlineStr">
        <is>
          <t>6.1 总承包工程</t>
        </is>
      </c>
      <c r="G133" s="68" t="inlineStr">
        <is>
          <t>6.1.1 内部装修工程</t>
        </is>
      </c>
      <c r="H133" s="68" t="inlineStr">
        <is>
          <t>大堂地面（不含卫生间及楼梯）</t>
        </is>
      </c>
      <c r="I133" s="69" t="inlineStr">
        <is>
          <t>1000021667</t>
        </is>
      </c>
      <c r="J133" s="69" t="inlineStr">
        <is>
          <t>琛雄水磨石踢脚</t>
        </is>
      </c>
      <c r="K133" s="70" t="n"/>
      <c r="L133" s="70" t="n"/>
      <c r="M133" s="71" t="inlineStr">
        <is>
          <t>米</t>
        </is>
      </c>
      <c r="N133" s="72" t="n">
        <v>41.47</v>
      </c>
      <c r="O133" s="72">
        <f>ROUND(N133*(1+$F$10),2)</f>
        <v/>
      </c>
      <c r="P133" s="73">
        <f>ROUND(K133*N133,2)</f>
        <v/>
      </c>
      <c r="Q133" s="74">
        <f>ROUND(L133*N133,2)</f>
        <v/>
      </c>
      <c r="R133" s="75" t="n"/>
      <c r="S133" s="76" t="n"/>
      <c r="T133" s="77">
        <f>K133-L133</f>
        <v/>
      </c>
      <c r="U133" s="77">
        <f>P133-Q133</f>
        <v/>
      </c>
      <c r="V133" s="77">
        <f>ABS(U133)</f>
        <v/>
      </c>
      <c r="W133" s="78">
        <f>T133/L133</f>
        <v/>
      </c>
      <c r="X133" s="79">
        <f>ABS(W133)</f>
        <v/>
      </c>
    </row>
    <row r="134" ht="11.4" customHeight="1">
      <c r="A134" s="67" t="inlineStr">
        <is>
          <t>56</t>
        </is>
      </c>
      <c r="B134" s="67" t="inlineStr">
        <is>
          <t>1054</t>
        </is>
      </c>
      <c r="C134" s="67" t="inlineStr">
        <is>
          <t>1611</t>
        </is>
      </c>
      <c r="D134" s="68" t="inlineStr">
        <is>
          <t>01</t>
        </is>
      </c>
      <c r="E134" s="68" t="inlineStr">
        <is>
          <t>6 物业施工费</t>
        </is>
      </c>
      <c r="F134" s="68" t="inlineStr">
        <is>
          <t>6.1 总承包工程</t>
        </is>
      </c>
      <c r="G134" s="68" t="inlineStr">
        <is>
          <t>6.1.1 内部装修工程</t>
        </is>
      </c>
      <c r="H134" s="68" t="inlineStr">
        <is>
          <t>大堂地面（不含卫生间及楼梯）</t>
        </is>
      </c>
      <c r="I134" s="69" t="inlineStr">
        <is>
          <t>1000021462</t>
        </is>
      </c>
      <c r="J134" s="69" t="inlineStr">
        <is>
          <t>600*600mm水磨石地砖（共荣，含不超过50mm厚的找平层）</t>
        </is>
      </c>
      <c r="K134" s="70" t="n"/>
      <c r="L134" s="70" t="n"/>
      <c r="M134" s="71" t="inlineStr">
        <is>
          <t>m2</t>
        </is>
      </c>
      <c r="N134" s="72" t="n">
        <v>179.82</v>
      </c>
      <c r="O134" s="72">
        <f>ROUND(N134*(1+$F$10),2)</f>
        <v/>
      </c>
      <c r="P134" s="73">
        <f>ROUND(K134*N134,2)</f>
        <v/>
      </c>
      <c r="Q134" s="74">
        <f>ROUND(L134*N134,2)</f>
        <v/>
      </c>
      <c r="R134" s="75" t="n"/>
      <c r="S134" s="76" t="n"/>
      <c r="T134" s="77">
        <f>K134-L134</f>
        <v/>
      </c>
      <c r="U134" s="77">
        <f>P134-Q134</f>
        <v/>
      </c>
      <c r="V134" s="77">
        <f>ABS(U134)</f>
        <v/>
      </c>
      <c r="W134" s="78">
        <f>T134/L134</f>
        <v/>
      </c>
      <c r="X134" s="79">
        <f>ABS(W134)</f>
        <v/>
      </c>
    </row>
    <row r="135" ht="11.4" customHeight="1">
      <c r="A135" s="67" t="inlineStr">
        <is>
          <t>56</t>
        </is>
      </c>
      <c r="B135" s="67" t="inlineStr">
        <is>
          <t>1054</t>
        </is>
      </c>
      <c r="C135" s="67" t="inlineStr">
        <is>
          <t>1611</t>
        </is>
      </c>
      <c r="D135" s="68" t="inlineStr">
        <is>
          <t>01</t>
        </is>
      </c>
      <c r="E135" s="68" t="inlineStr">
        <is>
          <t>6 物业施工费</t>
        </is>
      </c>
      <c r="F135" s="68" t="inlineStr">
        <is>
          <t>6.1 总承包工程</t>
        </is>
      </c>
      <c r="G135" s="68" t="inlineStr">
        <is>
          <t>6.1.1 内部装修工程</t>
        </is>
      </c>
      <c r="H135" s="68" t="inlineStr">
        <is>
          <t>大堂地面（不含卫生间及楼梯）</t>
        </is>
      </c>
      <c r="I135" s="69" t="inlineStr">
        <is>
          <t>1000021463</t>
        </is>
      </c>
      <c r="J135" s="69" t="inlineStr">
        <is>
          <t>共荣水磨石踢脚</t>
        </is>
      </c>
      <c r="K135" s="70" t="n"/>
      <c r="L135" s="70" t="n"/>
      <c r="M135" s="71" t="inlineStr">
        <is>
          <t>米</t>
        </is>
      </c>
      <c r="N135" s="72" t="n">
        <v>37.84</v>
      </c>
      <c r="O135" s="72">
        <f>ROUND(N135*(1+$F$10),2)</f>
        <v/>
      </c>
      <c r="P135" s="73">
        <f>ROUND(K135*N135,2)</f>
        <v/>
      </c>
      <c r="Q135" s="74">
        <f>ROUND(L135*N135,2)</f>
        <v/>
      </c>
      <c r="R135" s="75" t="n"/>
      <c r="S135" s="76" t="n"/>
      <c r="T135" s="77">
        <f>K135-L135</f>
        <v/>
      </c>
      <c r="U135" s="77">
        <f>P135-Q135</f>
        <v/>
      </c>
      <c r="V135" s="77">
        <f>ABS(U135)</f>
        <v/>
      </c>
      <c r="W135" s="78">
        <f>T135/L135</f>
        <v/>
      </c>
      <c r="X135" s="79">
        <f>ABS(W135)</f>
        <v/>
      </c>
    </row>
    <row r="136" ht="11.4" customHeight="1">
      <c r="A136" s="67" t="inlineStr">
        <is>
          <t>56</t>
        </is>
      </c>
      <c r="B136" s="67" t="inlineStr">
        <is>
          <t>1054</t>
        </is>
      </c>
      <c r="C136" s="67" t="inlineStr">
        <is>
          <t>1611</t>
        </is>
      </c>
      <c r="D136" s="68" t="inlineStr">
        <is>
          <t>01</t>
        </is>
      </c>
      <c r="E136" s="68" t="inlineStr">
        <is>
          <t>6 物业施工费</t>
        </is>
      </c>
      <c r="F136" s="68" t="inlineStr">
        <is>
          <t>6.1 总承包工程</t>
        </is>
      </c>
      <c r="G136" s="68" t="inlineStr">
        <is>
          <t>6.1.1 内部装修工程</t>
        </is>
      </c>
      <c r="H136" s="68" t="inlineStr">
        <is>
          <t>大堂地面（不含卫生间及楼梯）</t>
        </is>
      </c>
      <c r="I136" s="69" t="inlineStr">
        <is>
          <t>1000021668</t>
        </is>
      </c>
      <c r="J136" s="69" t="inlineStr">
        <is>
          <t>600*600mm水磨石地砖（冠军，含不超过50mm厚的找平层）</t>
        </is>
      </c>
      <c r="K136" s="70" t="n"/>
      <c r="L136" s="70" t="n"/>
      <c r="M136" s="71" t="inlineStr">
        <is>
          <t>m2</t>
        </is>
      </c>
      <c r="N136" s="72" t="n">
        <v>193.81</v>
      </c>
      <c r="O136" s="72">
        <f>ROUND(N136*(1+$F$10),2)</f>
        <v/>
      </c>
      <c r="P136" s="73">
        <f>ROUND(K136*N136,2)</f>
        <v/>
      </c>
      <c r="Q136" s="74">
        <f>ROUND(L136*N136,2)</f>
        <v/>
      </c>
      <c r="R136" s="75" t="n"/>
      <c r="S136" s="76" t="n"/>
      <c r="T136" s="77">
        <f>K136-L136</f>
        <v/>
      </c>
      <c r="U136" s="77">
        <f>P136-Q136</f>
        <v/>
      </c>
      <c r="V136" s="77">
        <f>ABS(U136)</f>
        <v/>
      </c>
      <c r="W136" s="78">
        <f>T136/L136</f>
        <v/>
      </c>
      <c r="X136" s="79">
        <f>ABS(W136)</f>
        <v/>
      </c>
    </row>
    <row r="137" ht="11.4" customHeight="1">
      <c r="A137" s="67" t="inlineStr">
        <is>
          <t>56</t>
        </is>
      </c>
      <c r="B137" s="67" t="inlineStr">
        <is>
          <t>1054</t>
        </is>
      </c>
      <c r="C137" s="67" t="inlineStr">
        <is>
          <t>1611</t>
        </is>
      </c>
      <c r="D137" s="68" t="inlineStr">
        <is>
          <t>01</t>
        </is>
      </c>
      <c r="E137" s="68" t="inlineStr">
        <is>
          <t>6 物业施工费</t>
        </is>
      </c>
      <c r="F137" s="68" t="inlineStr">
        <is>
          <t>6.1 总承包工程</t>
        </is>
      </c>
      <c r="G137" s="68" t="inlineStr">
        <is>
          <t>6.1.1 内部装修工程</t>
        </is>
      </c>
      <c r="H137" s="68" t="inlineStr">
        <is>
          <t>大堂地面（不含卫生间及楼梯）</t>
        </is>
      </c>
      <c r="I137" s="69" t="inlineStr">
        <is>
          <t>1000021669</t>
        </is>
      </c>
      <c r="J137" s="69" t="inlineStr">
        <is>
          <t>冠军水磨石踢脚</t>
        </is>
      </c>
      <c r="K137" s="70" t="n"/>
      <c r="L137" s="70" t="n"/>
      <c r="M137" s="71" t="inlineStr">
        <is>
          <t>米</t>
        </is>
      </c>
      <c r="N137" s="72" t="n">
        <v>39.05</v>
      </c>
      <c r="O137" s="72">
        <f>ROUND(N137*(1+$F$10),2)</f>
        <v/>
      </c>
      <c r="P137" s="73">
        <f>ROUND(K137*N137,2)</f>
        <v/>
      </c>
      <c r="Q137" s="74">
        <f>ROUND(L137*N137,2)</f>
        <v/>
      </c>
      <c r="R137" s="75" t="n"/>
      <c r="S137" s="76" t="n"/>
      <c r="T137" s="77">
        <f>K137-L137</f>
        <v/>
      </c>
      <c r="U137" s="77">
        <f>P137-Q137</f>
        <v/>
      </c>
      <c r="V137" s="77">
        <f>ABS(U137)</f>
        <v/>
      </c>
      <c r="W137" s="78">
        <f>T137/L137</f>
        <v/>
      </c>
      <c r="X137" s="79">
        <f>ABS(W137)</f>
        <v/>
      </c>
    </row>
    <row r="138" ht="11.4" customHeight="1">
      <c r="A138" s="67" t="inlineStr">
        <is>
          <t>56</t>
        </is>
      </c>
      <c r="B138" s="67" t="inlineStr">
        <is>
          <t>1054</t>
        </is>
      </c>
      <c r="C138" s="67" t="inlineStr">
        <is>
          <t>1611</t>
        </is>
      </c>
      <c r="D138" s="68" t="inlineStr">
        <is>
          <t>01</t>
        </is>
      </c>
      <c r="E138" s="68" t="inlineStr">
        <is>
          <t>6 物业施工费</t>
        </is>
      </c>
      <c r="F138" s="68" t="inlineStr">
        <is>
          <t>6.1 总承包工程</t>
        </is>
      </c>
      <c r="G138" s="68" t="inlineStr">
        <is>
          <t>6.1.1 内部装修工程</t>
        </is>
      </c>
      <c r="H138" s="68" t="inlineStr">
        <is>
          <t>大堂地面（不含卫生间及楼梯）</t>
        </is>
      </c>
      <c r="I138" s="69" t="inlineStr">
        <is>
          <t>1000021670</t>
        </is>
      </c>
      <c r="J138" s="69" t="inlineStr">
        <is>
          <t>木纹砖(琛雄，含不超过50mm厚的找平层)</t>
        </is>
      </c>
      <c r="K138" s="70" t="n"/>
      <c r="L138" s="70" t="n"/>
      <c r="M138" s="71" t="inlineStr">
        <is>
          <t>m2</t>
        </is>
      </c>
      <c r="N138" s="72" t="n">
        <v>178.2</v>
      </c>
      <c r="O138" s="72">
        <f>ROUND(N138*(1+$F$10),2)</f>
        <v/>
      </c>
      <c r="P138" s="73">
        <f>ROUND(K138*N138,2)</f>
        <v/>
      </c>
      <c r="Q138" s="74">
        <f>ROUND(L138*N138,2)</f>
        <v/>
      </c>
      <c r="R138" s="75" t="n"/>
      <c r="S138" s="76" t="n"/>
      <c r="T138" s="77">
        <f>K138-L138</f>
        <v/>
      </c>
      <c r="U138" s="77">
        <f>P138-Q138</f>
        <v/>
      </c>
      <c r="V138" s="77">
        <f>ABS(U138)</f>
        <v/>
      </c>
      <c r="W138" s="78">
        <f>T138/L138</f>
        <v/>
      </c>
      <c r="X138" s="79">
        <f>ABS(W138)</f>
        <v/>
      </c>
    </row>
    <row r="139" ht="11.4" customHeight="1">
      <c r="A139" s="67" t="inlineStr">
        <is>
          <t>56</t>
        </is>
      </c>
      <c r="B139" s="67" t="inlineStr">
        <is>
          <t>1054</t>
        </is>
      </c>
      <c r="C139" s="67" t="inlineStr">
        <is>
          <t>1611</t>
        </is>
      </c>
      <c r="D139" s="68" t="inlineStr">
        <is>
          <t>01</t>
        </is>
      </c>
      <c r="E139" s="68" t="inlineStr">
        <is>
          <t>6 物业施工费</t>
        </is>
      </c>
      <c r="F139" s="68" t="inlineStr">
        <is>
          <t>6.1 总承包工程</t>
        </is>
      </c>
      <c r="G139" s="68" t="inlineStr">
        <is>
          <t>6.1.1 内部装修工程</t>
        </is>
      </c>
      <c r="H139" s="68" t="inlineStr">
        <is>
          <t>大堂地面（不含卫生间及楼梯）</t>
        </is>
      </c>
      <c r="I139" s="69" t="inlineStr">
        <is>
          <t>1000021464</t>
        </is>
      </c>
      <c r="J139" s="69" t="inlineStr">
        <is>
          <t>木纹砖（共荣，含不超过50mm厚的找平层）</t>
        </is>
      </c>
      <c r="K139" s="70" t="n"/>
      <c r="L139" s="70" t="n"/>
      <c r="M139" s="71" t="inlineStr">
        <is>
          <t>m2</t>
        </is>
      </c>
      <c r="N139" s="72" t="n">
        <v>170.67</v>
      </c>
      <c r="O139" s="72">
        <f>ROUND(N139*(1+$F$10),2)</f>
        <v/>
      </c>
      <c r="P139" s="73">
        <f>ROUND(K139*N139,2)</f>
        <v/>
      </c>
      <c r="Q139" s="74">
        <f>ROUND(L139*N139,2)</f>
        <v/>
      </c>
      <c r="R139" s="75" t="n"/>
      <c r="S139" s="76" t="n"/>
      <c r="T139" s="77">
        <f>K139-L139</f>
        <v/>
      </c>
      <c r="U139" s="77">
        <f>P139-Q139</f>
        <v/>
      </c>
      <c r="V139" s="77">
        <f>ABS(U139)</f>
        <v/>
      </c>
      <c r="W139" s="78">
        <f>T139/L139</f>
        <v/>
      </c>
      <c r="X139" s="79">
        <f>ABS(W139)</f>
        <v/>
      </c>
    </row>
    <row r="140" ht="11.4" customHeight="1">
      <c r="A140" s="67" t="inlineStr">
        <is>
          <t>56</t>
        </is>
      </c>
      <c r="B140" s="67" t="inlineStr">
        <is>
          <t>1054</t>
        </is>
      </c>
      <c r="C140" s="67" t="inlineStr">
        <is>
          <t>1611</t>
        </is>
      </c>
      <c r="D140" s="68" t="inlineStr">
        <is>
          <t>01</t>
        </is>
      </c>
      <c r="E140" s="68" t="inlineStr">
        <is>
          <t>6 物业施工费</t>
        </is>
      </c>
      <c r="F140" s="68" t="inlineStr">
        <is>
          <t>6.1 总承包工程</t>
        </is>
      </c>
      <c r="G140" s="68" t="inlineStr">
        <is>
          <t>6.1.1 内部装修工程</t>
        </is>
      </c>
      <c r="H140" s="68" t="inlineStr">
        <is>
          <t>大堂地面（不含卫生间及楼梯）</t>
        </is>
      </c>
      <c r="I140" s="69" t="inlineStr">
        <is>
          <t>1000021671</t>
        </is>
      </c>
      <c r="J140" s="69" t="inlineStr">
        <is>
          <t>木纹砖(冠军，含不超过50mm厚的找平层)</t>
        </is>
      </c>
      <c r="K140" s="70" t="n"/>
      <c r="L140" s="70" t="n"/>
      <c r="M140" s="71" t="inlineStr">
        <is>
          <t>m2</t>
        </is>
      </c>
      <c r="N140" s="72" t="n">
        <v>181.7</v>
      </c>
      <c r="O140" s="72">
        <f>ROUND(N140*(1+$F$10),2)</f>
        <v/>
      </c>
      <c r="P140" s="73">
        <f>ROUND(K140*N140,2)</f>
        <v/>
      </c>
      <c r="Q140" s="74">
        <f>ROUND(L140*N140,2)</f>
        <v/>
      </c>
      <c r="R140" s="75" t="n"/>
      <c r="S140" s="76" t="n"/>
      <c r="T140" s="77">
        <f>K140-L140</f>
        <v/>
      </c>
      <c r="U140" s="77">
        <f>P140-Q140</f>
        <v/>
      </c>
      <c r="V140" s="77">
        <f>ABS(U140)</f>
        <v/>
      </c>
      <c r="W140" s="78">
        <f>T140/L140</f>
        <v/>
      </c>
      <c r="X140" s="79">
        <f>ABS(W140)</f>
        <v/>
      </c>
    </row>
    <row r="141" ht="11.4" customHeight="1">
      <c r="A141" s="67" t="inlineStr">
        <is>
          <t>56</t>
        </is>
      </c>
      <c r="B141" s="67" t="inlineStr">
        <is>
          <t>1054</t>
        </is>
      </c>
      <c r="C141" s="67" t="inlineStr">
        <is>
          <t>1611</t>
        </is>
      </c>
      <c r="D141" s="68" t="inlineStr">
        <is>
          <t>01</t>
        </is>
      </c>
      <c r="E141" s="68" t="inlineStr">
        <is>
          <t>6 物业施工费</t>
        </is>
      </c>
      <c r="F141" s="68" t="inlineStr">
        <is>
          <t>6.1 总承包工程</t>
        </is>
      </c>
      <c r="G141" s="68" t="inlineStr">
        <is>
          <t>6.1.1 内部装修工程</t>
        </is>
      </c>
      <c r="H141" s="68" t="inlineStr">
        <is>
          <t>大堂地面（不含卫生间及楼梯）</t>
        </is>
      </c>
      <c r="I141" s="69" t="inlineStr">
        <is>
          <t>1000021715</t>
        </is>
      </c>
      <c r="J141" s="69" t="inlineStr">
        <is>
          <t>地面灰砖（琛雄，Luna）</t>
        </is>
      </c>
      <c r="K141" s="70" t="n"/>
      <c r="L141" s="70" t="n"/>
      <c r="M141" s="71" t="inlineStr">
        <is>
          <t>m2</t>
        </is>
      </c>
      <c r="N141" s="72" t="n">
        <v>180.78</v>
      </c>
      <c r="O141" s="72">
        <f>ROUND(N141*(1+$F$10),2)</f>
        <v/>
      </c>
      <c r="P141" s="73">
        <f>ROUND(K141*N141,2)</f>
        <v/>
      </c>
      <c r="Q141" s="74">
        <f>ROUND(L141*N141,2)</f>
        <v/>
      </c>
      <c r="R141" s="75" t="n"/>
      <c r="S141" s="76" t="n"/>
      <c r="T141" s="77">
        <f>K141-L141</f>
        <v/>
      </c>
      <c r="U141" s="77">
        <f>P141-Q141</f>
        <v/>
      </c>
      <c r="V141" s="77">
        <f>ABS(U141)</f>
        <v/>
      </c>
      <c r="W141" s="78">
        <f>T141/L141</f>
        <v/>
      </c>
      <c r="X141" s="79">
        <f>ABS(W141)</f>
        <v/>
      </c>
    </row>
    <row r="142" ht="11.4" customHeight="1">
      <c r="A142" s="67" t="inlineStr">
        <is>
          <t>56</t>
        </is>
      </c>
      <c r="B142" s="67" t="inlineStr">
        <is>
          <t>1054</t>
        </is>
      </c>
      <c r="C142" s="67" t="inlineStr">
        <is>
          <t>1611</t>
        </is>
      </c>
      <c r="D142" s="68" t="inlineStr">
        <is>
          <t>01</t>
        </is>
      </c>
      <c r="E142" s="68" t="inlineStr">
        <is>
          <t>6 物业施工费</t>
        </is>
      </c>
      <c r="F142" s="68" t="inlineStr">
        <is>
          <t>6.1 总承包工程</t>
        </is>
      </c>
      <c r="G142" s="68" t="inlineStr">
        <is>
          <t>6.1.1 内部装修工程</t>
        </is>
      </c>
      <c r="H142" s="68" t="inlineStr">
        <is>
          <t>大堂地面（不含卫生间及楼梯）</t>
        </is>
      </c>
      <c r="I142" s="69" t="inlineStr">
        <is>
          <t>1000041815</t>
        </is>
      </c>
      <c r="J142" s="69" t="inlineStr">
        <is>
          <t>地面灰砖（共荣，Luna）</t>
        </is>
      </c>
      <c r="K142" s="70" t="n"/>
      <c r="L142" s="70" t="n"/>
      <c r="M142" s="71" t="inlineStr">
        <is>
          <t>m2</t>
        </is>
      </c>
      <c r="N142" s="72" t="n">
        <v>162.63</v>
      </c>
      <c r="O142" s="72">
        <f>ROUND(N142*(1+$F$10),2)</f>
        <v/>
      </c>
      <c r="P142" s="73">
        <f>ROUND(K142*N142,2)</f>
        <v/>
      </c>
      <c r="Q142" s="74">
        <f>ROUND(L142*N142,2)</f>
        <v/>
      </c>
      <c r="R142" s="75" t="n"/>
      <c r="S142" s="76" t="n"/>
      <c r="T142" s="77">
        <f>K142-L142</f>
        <v/>
      </c>
      <c r="U142" s="77">
        <f>P142-Q142</f>
        <v/>
      </c>
      <c r="V142" s="77">
        <f>ABS(U142)</f>
        <v/>
      </c>
      <c r="W142" s="78">
        <f>T142/L142</f>
        <v/>
      </c>
      <c r="X142" s="79">
        <f>ABS(W142)</f>
        <v/>
      </c>
    </row>
    <row r="143" ht="11.4" customHeight="1">
      <c r="A143" s="67" t="inlineStr">
        <is>
          <t>56</t>
        </is>
      </c>
      <c r="B143" s="67" t="inlineStr">
        <is>
          <t>1054</t>
        </is>
      </c>
      <c r="C143" s="67" t="inlineStr">
        <is>
          <t>1611</t>
        </is>
      </c>
      <c r="D143" s="68" t="inlineStr">
        <is>
          <t>01</t>
        </is>
      </c>
      <c r="E143" s="68" t="inlineStr">
        <is>
          <t>6 物业施工费</t>
        </is>
      </c>
      <c r="F143" s="68" t="inlineStr">
        <is>
          <t>6.1 总承包工程</t>
        </is>
      </c>
      <c r="G143" s="68" t="inlineStr">
        <is>
          <t>6.1.1 内部装修工程</t>
        </is>
      </c>
      <c r="H143" s="68" t="inlineStr">
        <is>
          <t>大堂地面（不含卫生间及楼梯）</t>
        </is>
      </c>
      <c r="I143" s="69" t="inlineStr">
        <is>
          <t>1000041821</t>
        </is>
      </c>
      <c r="J143" s="69" t="inlineStr">
        <is>
          <t>地面灰砖（冠军，Luna）</t>
        </is>
      </c>
      <c r="K143" s="70" t="n"/>
      <c r="L143" s="70" t="n"/>
      <c r="M143" s="71" t="inlineStr">
        <is>
          <t>m2</t>
        </is>
      </c>
      <c r="N143" s="72" t="n">
        <v>183.2</v>
      </c>
      <c r="O143" s="72">
        <f>ROUND(N143*(1+$F$10),2)</f>
        <v/>
      </c>
      <c r="P143" s="73">
        <f>ROUND(K143*N143,2)</f>
        <v/>
      </c>
      <c r="Q143" s="74">
        <f>ROUND(L143*N143,2)</f>
        <v/>
      </c>
      <c r="R143" s="75" t="n"/>
      <c r="S143" s="76" t="n"/>
      <c r="T143" s="77">
        <f>K143-L143</f>
        <v/>
      </c>
      <c r="U143" s="77">
        <f>P143-Q143</f>
        <v/>
      </c>
      <c r="V143" s="77">
        <f>ABS(U143)</f>
        <v/>
      </c>
      <c r="W143" s="78">
        <f>T143/L143</f>
        <v/>
      </c>
      <c r="X143" s="79">
        <f>ABS(W143)</f>
        <v/>
      </c>
    </row>
    <row r="144" ht="11.4" customHeight="1">
      <c r="A144" s="67" t="inlineStr">
        <is>
          <t>56</t>
        </is>
      </c>
      <c r="B144" s="67" t="inlineStr">
        <is>
          <t>1054</t>
        </is>
      </c>
      <c r="C144" s="67" t="inlineStr">
        <is>
          <t>1611</t>
        </is>
      </c>
      <c r="D144" s="68" t="inlineStr">
        <is>
          <t>01</t>
        </is>
      </c>
      <c r="E144" s="68" t="inlineStr">
        <is>
          <t>6 物业施工费</t>
        </is>
      </c>
      <c r="F144" s="68" t="inlineStr">
        <is>
          <t>6.1 总承包工程</t>
        </is>
      </c>
      <c r="G144" s="68" t="inlineStr">
        <is>
          <t>6.1.1 内部装修工程</t>
        </is>
      </c>
      <c r="H144" s="68" t="inlineStr">
        <is>
          <t>大堂地面（不含卫生间及楼梯）</t>
        </is>
      </c>
      <c r="I144" s="69" t="inlineStr">
        <is>
          <t>1000021461</t>
        </is>
      </c>
      <c r="J144" s="69" t="inlineStr">
        <is>
          <t>儿童乐园800*800mm白色亚光砖地面（琛雄）</t>
        </is>
      </c>
      <c r="K144" s="70" t="n"/>
      <c r="L144" s="70" t="n"/>
      <c r="M144" s="71" t="inlineStr">
        <is>
          <t>m2</t>
        </is>
      </c>
      <c r="N144" s="72" t="n">
        <v>205.46</v>
      </c>
      <c r="O144" s="72">
        <f>ROUND(N144*(1+$F$10),2)</f>
        <v/>
      </c>
      <c r="P144" s="73">
        <f>ROUND(K144*N144,2)</f>
        <v/>
      </c>
      <c r="Q144" s="74">
        <f>ROUND(L144*N144,2)</f>
        <v/>
      </c>
      <c r="R144" s="75" t="n"/>
      <c r="S144" s="76" t="n"/>
      <c r="T144" s="77">
        <f>K144-L144</f>
        <v/>
      </c>
      <c r="U144" s="77">
        <f>P144-Q144</f>
        <v/>
      </c>
      <c r="V144" s="77">
        <f>ABS(U144)</f>
        <v/>
      </c>
      <c r="W144" s="78">
        <f>T144/L144</f>
        <v/>
      </c>
      <c r="X144" s="79">
        <f>ABS(W144)</f>
        <v/>
      </c>
    </row>
    <row r="145" ht="11.4" customHeight="1">
      <c r="A145" s="67" t="inlineStr">
        <is>
          <t>56</t>
        </is>
      </c>
      <c r="B145" s="67" t="inlineStr">
        <is>
          <t>1054</t>
        </is>
      </c>
      <c r="C145" s="67" t="inlineStr">
        <is>
          <t>1611</t>
        </is>
      </c>
      <c r="D145" s="68" t="inlineStr">
        <is>
          <t>01</t>
        </is>
      </c>
      <c r="E145" s="68" t="inlineStr">
        <is>
          <t>6 物业施工费</t>
        </is>
      </c>
      <c r="F145" s="68" t="inlineStr">
        <is>
          <t>6.1 总承包工程</t>
        </is>
      </c>
      <c r="G145" s="68" t="inlineStr">
        <is>
          <t>6.1.1 内部装修工程</t>
        </is>
      </c>
      <c r="H145" s="68" t="inlineStr">
        <is>
          <t>大堂地面（不含卫生间及楼梯）</t>
        </is>
      </c>
      <c r="I145" s="69" t="inlineStr">
        <is>
          <t>1000021680</t>
        </is>
      </c>
      <c r="J145" s="69" t="inlineStr">
        <is>
          <t>儿童乐园800*800mm白色亚光砖地面（共荣）</t>
        </is>
      </c>
      <c r="K145" s="70" t="n"/>
      <c r="L145" s="70" t="n"/>
      <c r="M145" s="71" t="inlineStr">
        <is>
          <t>m2</t>
        </is>
      </c>
      <c r="N145" s="72" t="n">
        <v>195.26</v>
      </c>
      <c r="O145" s="72">
        <f>ROUND(N145*(1+$F$10),2)</f>
        <v/>
      </c>
      <c r="P145" s="73">
        <f>ROUND(K145*N145,2)</f>
        <v/>
      </c>
      <c r="Q145" s="74">
        <f>ROUND(L145*N145,2)</f>
        <v/>
      </c>
      <c r="R145" s="75" t="n"/>
      <c r="S145" s="76" t="n"/>
      <c r="T145" s="77">
        <f>K145-L145</f>
        <v/>
      </c>
      <c r="U145" s="77">
        <f>P145-Q145</f>
        <v/>
      </c>
      <c r="V145" s="77">
        <f>ABS(U145)</f>
        <v/>
      </c>
      <c r="W145" s="78">
        <f>T145/L145</f>
        <v/>
      </c>
      <c r="X145" s="79">
        <f>ABS(W145)</f>
        <v/>
      </c>
    </row>
    <row r="146" ht="11.4" customHeight="1">
      <c r="A146" s="67" t="inlineStr">
        <is>
          <t>56</t>
        </is>
      </c>
      <c r="B146" s="67" t="inlineStr">
        <is>
          <t>1054</t>
        </is>
      </c>
      <c r="C146" s="67" t="inlineStr">
        <is>
          <t>1611</t>
        </is>
      </c>
      <c r="D146" s="68" t="inlineStr">
        <is>
          <t>01</t>
        </is>
      </c>
      <c r="E146" s="68" t="inlineStr">
        <is>
          <t>6 物业施工费</t>
        </is>
      </c>
      <c r="F146" s="68" t="inlineStr">
        <is>
          <t>6.1 总承包工程</t>
        </is>
      </c>
      <c r="G146" s="68" t="inlineStr">
        <is>
          <t>6.1.1 内部装修工程</t>
        </is>
      </c>
      <c r="H146" s="68" t="inlineStr">
        <is>
          <t>大堂地面（不含卫生间及楼梯）</t>
        </is>
      </c>
      <c r="I146" s="69" t="inlineStr">
        <is>
          <t>1000021681</t>
        </is>
      </c>
      <c r="J146" s="69" t="inlineStr">
        <is>
          <t>儿童乐园800*800mm白色亚光砖地面（冠军）</t>
        </is>
      </c>
      <c r="K146" s="70" t="n"/>
      <c r="L146" s="70" t="n"/>
      <c r="M146" s="71" t="inlineStr">
        <is>
          <t>m2</t>
        </is>
      </c>
      <c r="N146" s="72" t="n">
        <v>205.46</v>
      </c>
      <c r="O146" s="72">
        <f>ROUND(N146*(1+$F$10),2)</f>
        <v/>
      </c>
      <c r="P146" s="73">
        <f>ROUND(K146*N146,2)</f>
        <v/>
      </c>
      <c r="Q146" s="74">
        <f>ROUND(L146*N146,2)</f>
        <v/>
      </c>
      <c r="R146" s="75" t="n"/>
      <c r="S146" s="76" t="n"/>
      <c r="T146" s="77">
        <f>K146-L146</f>
        <v/>
      </c>
      <c r="U146" s="77">
        <f>P146-Q146</f>
        <v/>
      </c>
      <c r="V146" s="77">
        <f>ABS(U146)</f>
        <v/>
      </c>
      <c r="W146" s="78">
        <f>T146/L146</f>
        <v/>
      </c>
      <c r="X146" s="79">
        <f>ABS(W146)</f>
        <v/>
      </c>
    </row>
    <row r="147" ht="11.4" customHeight="1">
      <c r="A147" s="67" t="inlineStr">
        <is>
          <t>56</t>
        </is>
      </c>
      <c r="B147" s="67" t="inlineStr">
        <is>
          <t>1054</t>
        </is>
      </c>
      <c r="C147" s="67" t="inlineStr">
        <is>
          <t>1611</t>
        </is>
      </c>
      <c r="D147" s="68" t="inlineStr">
        <is>
          <t>01</t>
        </is>
      </c>
      <c r="E147" s="68" t="inlineStr">
        <is>
          <t>6 物业施工费</t>
        </is>
      </c>
      <c r="F147" s="68" t="inlineStr">
        <is>
          <t>6.1 总承包工程</t>
        </is>
      </c>
      <c r="G147" s="68" t="inlineStr">
        <is>
          <t>6.1.1 内部装修工程</t>
        </is>
      </c>
      <c r="H147" s="68" t="inlineStr">
        <is>
          <t>大堂地面（不含卫生间及楼梯）</t>
        </is>
      </c>
      <c r="I147" s="69" t="inlineStr">
        <is>
          <t>1000021772</t>
        </is>
      </c>
      <c r="J147" s="69" t="inlineStr">
        <is>
          <t>儿童乐园微晶石地面（含不超过50mm厚的找平层）</t>
        </is>
      </c>
      <c r="K147" s="70" t="n"/>
      <c r="L147" s="70" t="n"/>
      <c r="M147" s="71" t="inlineStr">
        <is>
          <t>m2</t>
        </is>
      </c>
      <c r="N147" s="72" t="n">
        <v>607.91</v>
      </c>
      <c r="O147" s="72">
        <f>ROUND(N147*(1+$F$10),2)</f>
        <v/>
      </c>
      <c r="P147" s="73">
        <f>ROUND(K147*N147,2)</f>
        <v/>
      </c>
      <c r="Q147" s="74">
        <f>ROUND(L147*N147,2)</f>
        <v/>
      </c>
      <c r="R147" s="75" t="n"/>
      <c r="S147" s="76" t="n"/>
      <c r="T147" s="77">
        <f>K147-L147</f>
        <v/>
      </c>
      <c r="U147" s="77">
        <f>P147-Q147</f>
        <v/>
      </c>
      <c r="V147" s="77">
        <f>ABS(U147)</f>
        <v/>
      </c>
      <c r="W147" s="78">
        <f>T147/L147</f>
        <v/>
      </c>
      <c r="X147" s="79">
        <f>ABS(W147)</f>
        <v/>
      </c>
    </row>
    <row r="148" ht="11.4" customHeight="1">
      <c r="A148" s="67" t="inlineStr">
        <is>
          <t>57</t>
        </is>
      </c>
      <c r="B148" s="67" t="inlineStr">
        <is>
          <t>1055</t>
        </is>
      </c>
      <c r="C148" s="67" t="inlineStr">
        <is>
          <t>1611</t>
        </is>
      </c>
      <c r="D148" s="68" t="inlineStr">
        <is>
          <t>01</t>
        </is>
      </c>
      <c r="E148" s="68" t="inlineStr">
        <is>
          <t>6 物业施工费</t>
        </is>
      </c>
      <c r="F148" s="68" t="inlineStr">
        <is>
          <t>6.1 总承包工程</t>
        </is>
      </c>
      <c r="G148" s="68" t="inlineStr">
        <is>
          <t>6.1.1 内部装修工程</t>
        </is>
      </c>
      <c r="H148" s="68" t="inlineStr">
        <is>
          <t>大堂墙面基层和装饰层（不含卫生间及楼梯）</t>
        </is>
      </c>
      <c r="I148" s="69" t="inlineStr">
        <is>
          <t>1000021773</t>
        </is>
      </c>
      <c r="J148" s="69" t="inlineStr">
        <is>
          <t>墙面基层（木工板或硅酸钙板）</t>
        </is>
      </c>
      <c r="K148" s="70" t="n">
        <v>89.34</v>
      </c>
      <c r="L148" s="70" t="n">
        <v>90.12</v>
      </c>
      <c r="M148" s="71" t="inlineStr">
        <is>
          <t>m2</t>
        </is>
      </c>
      <c r="N148" s="72" t="n">
        <v>114.06</v>
      </c>
      <c r="O148" s="72">
        <f>ROUND(N148*(1+$F$10),2)</f>
        <v/>
      </c>
      <c r="P148" s="73">
        <f>ROUND(K148*N148,2)</f>
        <v/>
      </c>
      <c r="Q148" s="74">
        <f>ROUND(L148*N148,2)</f>
        <v/>
      </c>
      <c r="R148" s="75" t="n"/>
      <c r="S148" s="76" t="n"/>
      <c r="T148" s="77">
        <f>K148-L148</f>
        <v/>
      </c>
      <c r="U148" s="77">
        <f>P148-Q148</f>
        <v/>
      </c>
      <c r="V148" s="77">
        <f>ABS(U148)</f>
        <v/>
      </c>
      <c r="W148" s="78">
        <f>T148/L148</f>
        <v/>
      </c>
      <c r="X148" s="79">
        <f>ABS(W148)</f>
        <v/>
      </c>
      <c r="AH148" s="80" t="inlineStr">
        <is>
          <t>两种计算公式</t>
        </is>
      </c>
    </row>
    <row r="149" ht="11.4" customHeight="1">
      <c r="A149" s="67" t="inlineStr">
        <is>
          <t>57</t>
        </is>
      </c>
      <c r="B149" s="67" t="inlineStr">
        <is>
          <t>1055</t>
        </is>
      </c>
      <c r="C149" s="67" t="inlineStr">
        <is>
          <t>1611</t>
        </is>
      </c>
      <c r="D149" s="68" t="inlineStr">
        <is>
          <t>01</t>
        </is>
      </c>
      <c r="E149" s="68" t="inlineStr">
        <is>
          <t>6 物业施工费</t>
        </is>
      </c>
      <c r="F149" s="68" t="inlineStr">
        <is>
          <t>6.1 总承包工程</t>
        </is>
      </c>
      <c r="G149" s="68" t="inlineStr">
        <is>
          <t>6.1.1 内部装修工程</t>
        </is>
      </c>
      <c r="H149" s="68" t="inlineStr">
        <is>
          <t>大堂墙面基层和装饰层（不含卫生间及楼梯）</t>
        </is>
      </c>
      <c r="I149" s="69" t="inlineStr">
        <is>
          <t>1000021465</t>
        </is>
      </c>
      <c r="J149" s="69" t="inlineStr">
        <is>
          <t>墙面 /富美家木纹色防火板（不含基层）</t>
        </is>
      </c>
      <c r="K149" s="70" t="n"/>
      <c r="L149" s="70" t="n"/>
      <c r="M149" s="71" t="inlineStr">
        <is>
          <t>m2</t>
        </is>
      </c>
      <c r="N149" s="72" t="n">
        <v>197.83</v>
      </c>
      <c r="O149" s="72">
        <f>ROUND(N149*(1+$F$10),2)</f>
        <v/>
      </c>
      <c r="P149" s="73">
        <f>ROUND(K149*N149,2)</f>
        <v/>
      </c>
      <c r="Q149" s="74">
        <f>ROUND(L149*N149,2)</f>
        <v/>
      </c>
      <c r="R149" s="75" t="n"/>
      <c r="S149" s="76" t="n"/>
      <c r="T149" s="77">
        <f>K149-L149</f>
        <v/>
      </c>
      <c r="U149" s="77">
        <f>P149-Q149</f>
        <v/>
      </c>
      <c r="V149" s="77">
        <f>ABS(U149)</f>
        <v/>
      </c>
      <c r="W149" s="78">
        <f>T149/L149</f>
        <v/>
      </c>
      <c r="X149" s="79">
        <f>ABS(W149)</f>
        <v/>
      </c>
      <c r="AG149" s="80" t="inlineStr">
        <is>
          <t>叠层墙面积</t>
        </is>
      </c>
    </row>
    <row r="150" ht="11.4" customHeight="1">
      <c r="A150" s="67" t="inlineStr">
        <is>
          <t>57</t>
        </is>
      </c>
      <c r="B150" s="67" t="inlineStr">
        <is>
          <t>1055</t>
        </is>
      </c>
      <c r="C150" s="67" t="inlineStr">
        <is>
          <t>1611</t>
        </is>
      </c>
      <c r="D150" s="68" t="inlineStr">
        <is>
          <t>01</t>
        </is>
      </c>
      <c r="E150" s="68" t="inlineStr">
        <is>
          <t>6 物业施工费</t>
        </is>
      </c>
      <c r="F150" s="68" t="inlineStr">
        <is>
          <t>6.1 总承包工程</t>
        </is>
      </c>
      <c r="G150" s="68" t="inlineStr">
        <is>
          <t>6.1.1 内部装修工程</t>
        </is>
      </c>
      <c r="H150" s="68" t="inlineStr">
        <is>
          <t>大堂墙面基层和装饰层（不含卫生间及楼梯）</t>
        </is>
      </c>
      <c r="I150" s="69" t="inlineStr">
        <is>
          <t>1000040124</t>
        </is>
      </c>
      <c r="J150" s="69" t="inlineStr">
        <is>
          <t>墙面 /富美家深灰色防火板（不含基层）</t>
        </is>
      </c>
      <c r="K150" s="70" t="n"/>
      <c r="L150" s="70" t="n"/>
      <c r="M150" s="71" t="inlineStr">
        <is>
          <t>m2</t>
        </is>
      </c>
      <c r="N150" s="72" t="n">
        <v>182.9</v>
      </c>
      <c r="O150" s="72">
        <f>ROUND(N150*(1+$F$10),2)</f>
        <v/>
      </c>
      <c r="P150" s="73">
        <f>ROUND(K150*N150,2)</f>
        <v/>
      </c>
      <c r="Q150" s="74">
        <f>ROUND(L150*N150,2)</f>
        <v/>
      </c>
      <c r="R150" s="75" t="n"/>
      <c r="S150" s="76" t="n"/>
      <c r="T150" s="77">
        <f>K150-L150</f>
        <v/>
      </c>
      <c r="U150" s="77">
        <f>P150-Q150</f>
        <v/>
      </c>
      <c r="V150" s="77">
        <f>ABS(U150)</f>
        <v/>
      </c>
      <c r="W150" s="78">
        <f>T150/L150</f>
        <v/>
      </c>
      <c r="X150" s="79">
        <f>ABS(W150)</f>
        <v/>
      </c>
      <c r="AG150" s="80" t="inlineStr">
        <is>
          <t>叠层墙面积</t>
        </is>
      </c>
    </row>
    <row r="151" ht="11.4" customHeight="1">
      <c r="A151" s="67" t="inlineStr">
        <is>
          <t>57</t>
        </is>
      </c>
      <c r="B151" s="67" t="inlineStr">
        <is>
          <t>1055</t>
        </is>
      </c>
      <c r="C151" s="67" t="inlineStr">
        <is>
          <t>1611</t>
        </is>
      </c>
      <c r="D151" s="68" t="inlineStr">
        <is>
          <t>01</t>
        </is>
      </c>
      <c r="E151" s="68" t="inlineStr">
        <is>
          <t>6 物业施工费</t>
        </is>
      </c>
      <c r="F151" s="68" t="inlineStr">
        <is>
          <t>6.1 总承包工程</t>
        </is>
      </c>
      <c r="G151" s="68" t="inlineStr">
        <is>
          <t>6.1.1 内部装修工程</t>
        </is>
      </c>
      <c r="H151" s="68" t="inlineStr">
        <is>
          <t>大堂墙面基层和装饰层（不含卫生间及楼梯）</t>
        </is>
      </c>
      <c r="I151" s="69" t="inlineStr">
        <is>
          <t>1000021625</t>
        </is>
      </c>
      <c r="J151" s="69" t="inlineStr">
        <is>
          <t>墙面 /威盛亚木纹色防火板（不含基层）</t>
        </is>
      </c>
      <c r="K151" s="70" t="n">
        <v>89.34</v>
      </c>
      <c r="L151" s="70" t="n">
        <v>90.12</v>
      </c>
      <c r="M151" s="71" t="inlineStr">
        <is>
          <t>m2</t>
        </is>
      </c>
      <c r="N151" s="72" t="n">
        <v>186.66</v>
      </c>
      <c r="O151" s="72">
        <f>ROUND(N151*(1+$F$10),2)</f>
        <v/>
      </c>
      <c r="P151" s="73">
        <f>ROUND(K151*N151,2)</f>
        <v/>
      </c>
      <c r="Q151" s="74">
        <f>ROUND(L151*N151,2)</f>
        <v/>
      </c>
      <c r="R151" s="75" t="n"/>
      <c r="S151" s="76" t="n"/>
      <c r="T151" s="77">
        <f>K151-L151</f>
        <v/>
      </c>
      <c r="U151" s="77">
        <f>P151-Q151</f>
        <v/>
      </c>
      <c r="V151" s="77">
        <f>ABS(U151)</f>
        <v/>
      </c>
      <c r="W151" s="78">
        <f>T151/L151</f>
        <v/>
      </c>
      <c r="X151" s="79">
        <f>ABS(W151)</f>
        <v/>
      </c>
      <c r="AG151" s="80" t="inlineStr">
        <is>
          <t>叠层墙面积</t>
        </is>
      </c>
    </row>
    <row r="152" ht="11.4" customHeight="1">
      <c r="A152" s="67" t="inlineStr">
        <is>
          <t>57</t>
        </is>
      </c>
      <c r="B152" s="67" t="inlineStr">
        <is>
          <t>1055</t>
        </is>
      </c>
      <c r="C152" s="67" t="inlineStr">
        <is>
          <t>1611</t>
        </is>
      </c>
      <c r="D152" s="68" t="inlineStr">
        <is>
          <t>01</t>
        </is>
      </c>
      <c r="E152" s="68" t="inlineStr">
        <is>
          <t>6 物业施工费</t>
        </is>
      </c>
      <c r="F152" s="68" t="inlineStr">
        <is>
          <t>6.1 总承包工程</t>
        </is>
      </c>
      <c r="G152" s="68" t="inlineStr">
        <is>
          <t>6.1.1 内部装修工程</t>
        </is>
      </c>
      <c r="H152" s="68" t="inlineStr">
        <is>
          <t>大堂墙面基层和装饰层（不含卫生间及楼梯）</t>
        </is>
      </c>
      <c r="I152" s="69" t="inlineStr">
        <is>
          <t>1000021624</t>
        </is>
      </c>
      <c r="J152" s="69" t="inlineStr">
        <is>
          <t>墙面 /威盛亚深灰色防火板（不含基层）</t>
        </is>
      </c>
      <c r="K152" s="70" t="n"/>
      <c r="L152" s="70" t="n"/>
      <c r="M152" s="71" t="inlineStr">
        <is>
          <t>m2</t>
        </is>
      </c>
      <c r="N152" s="72" t="n">
        <v>174.35</v>
      </c>
      <c r="O152" s="72">
        <f>ROUND(N152*(1+$F$10),2)</f>
        <v/>
      </c>
      <c r="P152" s="73">
        <f>ROUND(K152*N152,2)</f>
        <v/>
      </c>
      <c r="Q152" s="74">
        <f>ROUND(L152*N152,2)</f>
        <v/>
      </c>
      <c r="R152" s="75" t="n"/>
      <c r="S152" s="76" t="n"/>
      <c r="T152" s="77">
        <f>K152-L152</f>
        <v/>
      </c>
      <c r="U152" s="77">
        <f>P152-Q152</f>
        <v/>
      </c>
      <c r="V152" s="77">
        <f>ABS(U152)</f>
        <v/>
      </c>
      <c r="W152" s="78">
        <f>T152/L152</f>
        <v/>
      </c>
      <c r="X152" s="79">
        <f>ABS(W152)</f>
        <v/>
      </c>
      <c r="AG152" s="80" t="inlineStr">
        <is>
          <t>叠层墙面积</t>
        </is>
      </c>
    </row>
    <row r="153" ht="11.4" customHeight="1">
      <c r="A153" s="67" t="inlineStr">
        <is>
          <t>57</t>
        </is>
      </c>
      <c r="B153" s="67" t="inlineStr">
        <is>
          <t>1055</t>
        </is>
      </c>
      <c r="C153" s="67" t="inlineStr">
        <is>
          <t>1611</t>
        </is>
      </c>
      <c r="D153" s="68" t="inlineStr">
        <is>
          <t>01</t>
        </is>
      </c>
      <c r="E153" s="68" t="inlineStr">
        <is>
          <t>6 物业施工费</t>
        </is>
      </c>
      <c r="F153" s="68" t="inlineStr">
        <is>
          <t>6.1 总承包工程</t>
        </is>
      </c>
      <c r="G153" s="68" t="inlineStr">
        <is>
          <t>6.1.1 内部装修工程</t>
        </is>
      </c>
      <c r="H153" s="68" t="inlineStr">
        <is>
          <t>大堂墙面基层和装饰层（不含卫生间及楼梯）</t>
        </is>
      </c>
      <c r="I153" s="69" t="inlineStr">
        <is>
          <t>1000021466</t>
        </is>
      </c>
      <c r="J153" s="69" t="inlineStr">
        <is>
          <t>墙面特种防火板(定制艺术板)（不含基层）</t>
        </is>
      </c>
      <c r="K153" s="70" t="n"/>
      <c r="L153" s="70" t="n"/>
      <c r="M153" s="71" t="inlineStr">
        <is>
          <t>m2</t>
        </is>
      </c>
      <c r="N153" s="72" t="n">
        <v>379.89</v>
      </c>
      <c r="O153" s="72">
        <f>ROUND(N153*(1+$F$10),2)</f>
        <v/>
      </c>
      <c r="P153" s="73">
        <f>ROUND(K153*N153,2)</f>
        <v/>
      </c>
      <c r="Q153" s="74">
        <f>ROUND(L153*N153,2)</f>
        <v/>
      </c>
      <c r="R153" s="75" t="n"/>
      <c r="S153" s="76" t="n"/>
      <c r="T153" s="77">
        <f>K153-L153</f>
        <v/>
      </c>
      <c r="U153" s="77">
        <f>P153-Q153</f>
        <v/>
      </c>
      <c r="V153" s="77">
        <f>ABS(U153)</f>
        <v/>
      </c>
      <c r="W153" s="78">
        <f>T153/L153</f>
        <v/>
      </c>
      <c r="X153" s="79">
        <f>ABS(W153)</f>
        <v/>
      </c>
      <c r="AG153" s="80" t="inlineStr">
        <is>
          <t>叠层墙面积</t>
        </is>
      </c>
    </row>
    <row r="154" ht="11.4" customHeight="1">
      <c r="A154" s="67" t="inlineStr">
        <is>
          <t>57</t>
        </is>
      </c>
      <c r="B154" s="67" t="inlineStr">
        <is>
          <t>1055</t>
        </is>
      </c>
      <c r="C154" s="67" t="inlineStr">
        <is>
          <t>1611</t>
        </is>
      </c>
      <c r="D154" s="68" t="inlineStr">
        <is>
          <t>01</t>
        </is>
      </c>
      <c r="E154" s="68" t="inlineStr">
        <is>
          <t>6 物业施工费</t>
        </is>
      </c>
      <c r="F154" s="68" t="inlineStr">
        <is>
          <t>6.1 总承包工程</t>
        </is>
      </c>
      <c r="G154" s="68" t="inlineStr">
        <is>
          <t>6.1.1 内部装修工程</t>
        </is>
      </c>
      <c r="H154" s="68" t="inlineStr">
        <is>
          <t>大堂墙面基层和装饰层（不含卫生间及楼梯）</t>
        </is>
      </c>
      <c r="I154" s="69" t="inlineStr">
        <is>
          <t>1000021467</t>
        </is>
      </c>
      <c r="J154" s="69" t="inlineStr">
        <is>
          <t>纤维水泥板（室内）</t>
        </is>
      </c>
      <c r="K154" s="70" t="n"/>
      <c r="L154" s="70" t="n"/>
      <c r="M154" s="71" t="inlineStr">
        <is>
          <t>m2</t>
        </is>
      </c>
      <c r="N154" s="72" t="n">
        <v>219.2</v>
      </c>
      <c r="O154" s="72">
        <f>ROUND(N154*(1+$F$10),2)</f>
        <v/>
      </c>
      <c r="P154" s="73">
        <f>ROUND(K154*N154,2)</f>
        <v/>
      </c>
      <c r="Q154" s="74">
        <f>ROUND(L154*N154,2)</f>
        <v/>
      </c>
      <c r="R154" s="75" t="n"/>
      <c r="S154" s="76" t="n"/>
      <c r="T154" s="77">
        <f>K154-L154</f>
        <v/>
      </c>
      <c r="U154" s="77">
        <f>P154-Q154</f>
        <v/>
      </c>
      <c r="V154" s="77">
        <f>ABS(U154)</f>
        <v/>
      </c>
      <c r="W154" s="78">
        <f>T154/L154</f>
        <v/>
      </c>
      <c r="X154" s="79">
        <f>ABS(W154)</f>
        <v/>
      </c>
      <c r="AG154" s="80" t="inlineStr">
        <is>
          <t>叠层墙面积</t>
        </is>
      </c>
    </row>
    <row r="155" ht="11.4" customHeight="1">
      <c r="A155" s="67" t="inlineStr">
        <is>
          <t>57</t>
        </is>
      </c>
      <c r="B155" s="67" t="inlineStr">
        <is>
          <t>1055</t>
        </is>
      </c>
      <c r="C155" s="67" t="inlineStr">
        <is>
          <t>1611</t>
        </is>
      </c>
      <c r="D155" s="68" t="inlineStr">
        <is>
          <t>01</t>
        </is>
      </c>
      <c r="E155" s="68" t="inlineStr">
        <is>
          <t>6 物业施工费</t>
        </is>
      </c>
      <c r="F155" s="68" t="inlineStr">
        <is>
          <t>6.1 总承包工程</t>
        </is>
      </c>
      <c r="G155" s="68" t="inlineStr">
        <is>
          <t>6.1.1 内部装修工程</t>
        </is>
      </c>
      <c r="H155" s="68" t="inlineStr">
        <is>
          <t>大堂墙面基层和装饰层（不含卫生间及楼梯）</t>
        </is>
      </c>
      <c r="I155" s="69" t="inlineStr">
        <is>
          <t>1000021470</t>
        </is>
      </c>
      <c r="J155" s="69" t="inlineStr">
        <is>
          <t>木材纹文理层压板（地板上墙）</t>
        </is>
      </c>
      <c r="K155" s="70" t="n"/>
      <c r="L155" s="70" t="n"/>
      <c r="M155" s="71" t="inlineStr">
        <is>
          <t>m2</t>
        </is>
      </c>
      <c r="N155" s="72" t="n">
        <v>402.43</v>
      </c>
      <c r="O155" s="72">
        <f>ROUND(N155*(1+$F$10),2)</f>
        <v/>
      </c>
      <c r="P155" s="73">
        <f>ROUND(K155*N155,2)</f>
        <v/>
      </c>
      <c r="Q155" s="74">
        <f>ROUND(L155*N155,2)</f>
        <v/>
      </c>
      <c r="R155" s="75" t="n"/>
      <c r="S155" s="76" t="n"/>
      <c r="T155" s="77">
        <f>K155-L155</f>
        <v/>
      </c>
      <c r="U155" s="77">
        <f>P155-Q155</f>
        <v/>
      </c>
      <c r="V155" s="77">
        <f>ABS(U155)</f>
        <v/>
      </c>
      <c r="W155" s="78">
        <f>T155/L155</f>
        <v/>
      </c>
      <c r="X155" s="79">
        <f>ABS(W155)</f>
        <v/>
      </c>
      <c r="AG155" s="80" t="inlineStr">
        <is>
          <t>叠层墙面积</t>
        </is>
      </c>
    </row>
    <row r="156" ht="11.4" customHeight="1">
      <c r="A156" s="67" t="inlineStr">
        <is>
          <t>57</t>
        </is>
      </c>
      <c r="B156" s="67" t="inlineStr">
        <is>
          <t>1055</t>
        </is>
      </c>
      <c r="C156" s="67" t="inlineStr">
        <is>
          <t>1611</t>
        </is>
      </c>
      <c r="D156" s="68" t="inlineStr">
        <is>
          <t>01</t>
        </is>
      </c>
      <c r="E156" s="68" t="inlineStr">
        <is>
          <t>6 物业施工费</t>
        </is>
      </c>
      <c r="F156" s="68" t="inlineStr">
        <is>
          <t>6.1 总承包工程</t>
        </is>
      </c>
      <c r="G156" s="68" t="inlineStr">
        <is>
          <t>6.1.1 内部装修工程</t>
        </is>
      </c>
      <c r="H156" s="68" t="inlineStr">
        <is>
          <t>大堂墙面基层和装饰层（不含卫生间及楼梯）</t>
        </is>
      </c>
      <c r="I156" s="69" t="inlineStr">
        <is>
          <t>1000021774</t>
        </is>
      </c>
      <c r="J156" s="69" t="inlineStr">
        <is>
          <t>A级防火铝型材墙板-墙面基层（方管龙骨）</t>
        </is>
      </c>
      <c r="K156" s="70" t="n"/>
      <c r="L156" s="70" t="n"/>
      <c r="M156" s="71" t="inlineStr">
        <is>
          <t>m2</t>
        </is>
      </c>
      <c r="N156" s="72" t="n">
        <v>70.84999999999999</v>
      </c>
      <c r="O156" s="72">
        <f>ROUND(N156*(1+$F$10),2)</f>
        <v/>
      </c>
      <c r="P156" s="73">
        <f>ROUND(K156*N156,2)</f>
        <v/>
      </c>
      <c r="Q156" s="74">
        <f>ROUND(L156*N156,2)</f>
        <v/>
      </c>
      <c r="R156" s="75" t="n"/>
      <c r="S156" s="76" t="n"/>
      <c r="T156" s="77">
        <f>K156-L156</f>
        <v/>
      </c>
      <c r="U156" s="77">
        <f>P156-Q156</f>
        <v/>
      </c>
      <c r="V156" s="77">
        <f>ABS(U156)</f>
        <v/>
      </c>
      <c r="W156" s="78">
        <f>T156/L156</f>
        <v/>
      </c>
      <c r="X156" s="79">
        <f>ABS(W156)</f>
        <v/>
      </c>
      <c r="AG156" s="80" t="inlineStr">
        <is>
          <t>叠层墙面积</t>
        </is>
      </c>
    </row>
    <row r="157" ht="11.4" customHeight="1">
      <c r="A157" s="67" t="inlineStr">
        <is>
          <t>57</t>
        </is>
      </c>
      <c r="B157" s="67" t="inlineStr">
        <is>
          <t>1055</t>
        </is>
      </c>
      <c r="C157" s="67" t="inlineStr">
        <is>
          <t>1611</t>
        </is>
      </c>
      <c r="D157" s="68" t="inlineStr">
        <is>
          <t>01</t>
        </is>
      </c>
      <c r="E157" s="68" t="inlineStr">
        <is>
          <t>6 物业施工费</t>
        </is>
      </c>
      <c r="F157" s="68" t="inlineStr">
        <is>
          <t>6.1 总承包工程</t>
        </is>
      </c>
      <c r="G157" s="68" t="inlineStr">
        <is>
          <t>6.1.1 内部装修工程</t>
        </is>
      </c>
      <c r="H157" s="68" t="inlineStr">
        <is>
          <t>大堂墙面基层和装饰层（不含卫生间及楼梯）</t>
        </is>
      </c>
      <c r="I157" s="69" t="inlineStr">
        <is>
          <t>1000021775</t>
        </is>
      </c>
      <c r="J157" s="69" t="inlineStr">
        <is>
          <t>A级防火铝型材墙板-主材</t>
        </is>
      </c>
      <c r="K157" s="70" t="n"/>
      <c r="L157" s="70" t="n"/>
      <c r="M157" s="71" t="inlineStr">
        <is>
          <t>m2</t>
        </is>
      </c>
      <c r="N157" s="72" t="n">
        <v>307.56</v>
      </c>
      <c r="O157" s="72">
        <f>ROUND(N157*(1+$F$10),2)</f>
        <v/>
      </c>
      <c r="P157" s="73">
        <f>ROUND(K157*N157,2)</f>
        <v/>
      </c>
      <c r="Q157" s="74">
        <f>ROUND(L157*N157,2)</f>
        <v/>
      </c>
      <c r="R157" s="75" t="n"/>
      <c r="S157" s="76" t="n"/>
      <c r="T157" s="77">
        <f>K157-L157</f>
        <v/>
      </c>
      <c r="U157" s="77">
        <f>P157-Q157</f>
        <v/>
      </c>
      <c r="V157" s="77">
        <f>ABS(U157)</f>
        <v/>
      </c>
      <c r="W157" s="78">
        <f>T157/L157</f>
        <v/>
      </c>
      <c r="X157" s="79">
        <f>ABS(W157)</f>
        <v/>
      </c>
      <c r="AG157" s="80" t="inlineStr">
        <is>
          <t>叠层墙面积</t>
        </is>
      </c>
    </row>
    <row r="158" ht="11.4" customHeight="1">
      <c r="A158" s="67" t="inlineStr">
        <is>
          <t>57</t>
        </is>
      </c>
      <c r="B158" s="67" t="inlineStr">
        <is>
          <t>1055</t>
        </is>
      </c>
      <c r="C158" s="67" t="inlineStr">
        <is>
          <t>1611</t>
        </is>
      </c>
      <c r="D158" s="68" t="inlineStr">
        <is>
          <t>01</t>
        </is>
      </c>
      <c r="E158" s="68" t="inlineStr">
        <is>
          <t>6 物业施工费</t>
        </is>
      </c>
      <c r="F158" s="68" t="inlineStr">
        <is>
          <t>6.1 总承包工程</t>
        </is>
      </c>
      <c r="G158" s="68" t="inlineStr">
        <is>
          <t>6.1.1 内部装修工程</t>
        </is>
      </c>
      <c r="H158" s="68" t="inlineStr">
        <is>
          <t>大堂墙面基层和装饰层（不含卫生间及楼梯）</t>
        </is>
      </c>
      <c r="I158" s="69" t="inlineStr">
        <is>
          <t>1000021776</t>
        </is>
      </c>
      <c r="J158" s="69" t="inlineStr">
        <is>
          <t>A级防火铝型材墙板--安装</t>
        </is>
      </c>
      <c r="K158" s="70" t="n"/>
      <c r="L158" s="70" t="n"/>
      <c r="M158" s="71" t="inlineStr">
        <is>
          <t>m2</t>
        </is>
      </c>
      <c r="N158" s="72" t="n">
        <v>39.59</v>
      </c>
      <c r="O158" s="72">
        <f>ROUND(N158*(1+$F$10),2)</f>
        <v/>
      </c>
      <c r="P158" s="73">
        <f>ROUND(K158*N158,2)</f>
        <v/>
      </c>
      <c r="Q158" s="74">
        <f>ROUND(L158*N158,2)</f>
        <v/>
      </c>
      <c r="R158" s="75" t="n"/>
      <c r="S158" s="76" t="n"/>
      <c r="T158" s="77">
        <f>K158-L158</f>
        <v/>
      </c>
      <c r="U158" s="77">
        <f>P158-Q158</f>
        <v/>
      </c>
      <c r="V158" s="77">
        <f>ABS(U158)</f>
        <v/>
      </c>
      <c r="W158" s="78">
        <f>T158/L158</f>
        <v/>
      </c>
      <c r="X158" s="79">
        <f>ABS(W158)</f>
        <v/>
      </c>
      <c r="AG158" s="80" t="inlineStr">
        <is>
          <t>叠层墙面积</t>
        </is>
      </c>
    </row>
    <row r="159" ht="11.4" customHeight="1">
      <c r="A159" s="67" t="inlineStr">
        <is>
          <t>57</t>
        </is>
      </c>
      <c r="B159" s="67" t="inlineStr">
        <is>
          <t>1055</t>
        </is>
      </c>
      <c r="C159" s="67" t="inlineStr">
        <is>
          <t>1611</t>
        </is>
      </c>
      <c r="D159" s="68" t="inlineStr">
        <is>
          <t>01</t>
        </is>
      </c>
      <c r="E159" s="68" t="inlineStr">
        <is>
          <t>6 物业施工费</t>
        </is>
      </c>
      <c r="F159" s="68" t="inlineStr">
        <is>
          <t>6.1 总承包工程</t>
        </is>
      </c>
      <c r="G159" s="68" t="inlineStr">
        <is>
          <t>6.1.1 内部装修工程</t>
        </is>
      </c>
      <c r="H159" s="68" t="inlineStr">
        <is>
          <t>大堂墙面基层和装饰层（不含卫生间及楼梯）</t>
        </is>
      </c>
      <c r="I159" s="69" t="inlineStr">
        <is>
          <t>1000021468</t>
        </is>
      </c>
      <c r="J159" s="69" t="inlineStr">
        <is>
          <t>墙面PMC墙板（琛雄，薄贴法，B1级）</t>
        </is>
      </c>
      <c r="K159" s="70" t="n"/>
      <c r="L159" s="70" t="n"/>
      <c r="M159" s="71" t="inlineStr">
        <is>
          <t>m2</t>
        </is>
      </c>
      <c r="N159" s="72" t="n">
        <v>203.22</v>
      </c>
      <c r="O159" s="72">
        <f>ROUND(N159*(1+$F$10),2)</f>
        <v/>
      </c>
      <c r="P159" s="73">
        <f>ROUND(K159*N159,2)</f>
        <v/>
      </c>
      <c r="Q159" s="74">
        <f>ROUND(L159*N159,2)</f>
        <v/>
      </c>
      <c r="R159" s="75" t="n"/>
      <c r="S159" s="76" t="n"/>
      <c r="T159" s="77">
        <f>K159-L159</f>
        <v/>
      </c>
      <c r="U159" s="77">
        <f>P159-Q159</f>
        <v/>
      </c>
      <c r="V159" s="77">
        <f>ABS(U159)</f>
        <v/>
      </c>
      <c r="W159" s="78">
        <f>T159/L159</f>
        <v/>
      </c>
      <c r="X159" s="79">
        <f>ABS(W159)</f>
        <v/>
      </c>
      <c r="AG159" s="80" t="inlineStr">
        <is>
          <t>叠层墙面积</t>
        </is>
      </c>
    </row>
    <row r="160" ht="11.4" customHeight="1">
      <c r="A160" s="67" t="inlineStr">
        <is>
          <t>57</t>
        </is>
      </c>
      <c r="B160" s="67" t="inlineStr">
        <is>
          <t>1055</t>
        </is>
      </c>
      <c r="C160" s="67" t="inlineStr">
        <is>
          <t>1611</t>
        </is>
      </c>
      <c r="D160" s="68" t="inlineStr">
        <is>
          <t>01</t>
        </is>
      </c>
      <c r="E160" s="68" t="inlineStr">
        <is>
          <t>6 物业施工费</t>
        </is>
      </c>
      <c r="F160" s="68" t="inlineStr">
        <is>
          <t>6.1 总承包工程</t>
        </is>
      </c>
      <c r="G160" s="68" t="inlineStr">
        <is>
          <t>6.1.1 内部装修工程</t>
        </is>
      </c>
      <c r="H160" s="68" t="inlineStr">
        <is>
          <t>大堂墙面基层和装饰层（不含卫生间及楼梯）</t>
        </is>
      </c>
      <c r="I160" s="69" t="inlineStr">
        <is>
          <t>1000021469</t>
        </is>
      </c>
      <c r="J160" s="69" t="inlineStr">
        <is>
          <t>墙面PMC墙板（琛雄，点龙骨施工，B1级）</t>
        </is>
      </c>
      <c r="K160" s="70" t="n"/>
      <c r="L160" s="70" t="n"/>
      <c r="M160" s="71" t="inlineStr">
        <is>
          <t>m2</t>
        </is>
      </c>
      <c r="N160" s="72" t="n">
        <v>268.9</v>
      </c>
      <c r="O160" s="72">
        <f>ROUND(N160*(1+$F$10),2)</f>
        <v/>
      </c>
      <c r="P160" s="73">
        <f>ROUND(K160*N160,2)</f>
        <v/>
      </c>
      <c r="Q160" s="74">
        <f>ROUND(L160*N160,2)</f>
        <v/>
      </c>
      <c r="R160" s="75" t="n"/>
      <c r="S160" s="76" t="n"/>
      <c r="T160" s="77">
        <f>K160-L160</f>
        <v/>
      </c>
      <c r="U160" s="77">
        <f>P160-Q160</f>
        <v/>
      </c>
      <c r="V160" s="77">
        <f>ABS(U160)</f>
        <v/>
      </c>
      <c r="W160" s="78">
        <f>T160/L160</f>
        <v/>
      </c>
      <c r="X160" s="79">
        <f>ABS(W160)</f>
        <v/>
      </c>
      <c r="AG160" s="80" t="inlineStr">
        <is>
          <t>叠层墙面积</t>
        </is>
      </c>
    </row>
    <row r="161" ht="11.4" customHeight="1">
      <c r="A161" s="67" t="inlineStr">
        <is>
          <t>57</t>
        </is>
      </c>
      <c r="B161" s="67" t="inlineStr">
        <is>
          <t>1055</t>
        </is>
      </c>
      <c r="C161" s="67" t="inlineStr">
        <is>
          <t>1611</t>
        </is>
      </c>
      <c r="D161" s="68" t="inlineStr">
        <is>
          <t>01</t>
        </is>
      </c>
      <c r="E161" s="68" t="inlineStr">
        <is>
          <t>6 物业施工费</t>
        </is>
      </c>
      <c r="F161" s="68" t="inlineStr">
        <is>
          <t>6.1 总承包工程</t>
        </is>
      </c>
      <c r="G161" s="68" t="inlineStr">
        <is>
          <t>6.1.1 内部装修工程</t>
        </is>
      </c>
      <c r="H161" s="68" t="inlineStr">
        <is>
          <t>大堂墙面基层和装饰层（不含卫生间及楼梯）</t>
        </is>
      </c>
      <c r="I161" s="69" t="inlineStr">
        <is>
          <t>1000021777</t>
        </is>
      </c>
      <c r="J161" s="69" t="inlineStr">
        <is>
          <t>墙面抹平压光</t>
        </is>
      </c>
      <c r="K161" s="70" t="n"/>
      <c r="L161" s="70" t="n"/>
      <c r="M161" s="71" t="inlineStr">
        <is>
          <t>m2</t>
        </is>
      </c>
      <c r="N161" s="72" t="n">
        <v>17.39</v>
      </c>
      <c r="O161" s="72">
        <f>ROUND(N161*(1+$F$10),2)</f>
        <v/>
      </c>
      <c r="P161" s="73">
        <f>ROUND(K161*N161,2)</f>
        <v/>
      </c>
      <c r="Q161" s="74">
        <f>ROUND(L161*N161,2)</f>
        <v/>
      </c>
      <c r="R161" s="75" t="n"/>
      <c r="S161" s="76" t="n"/>
      <c r="T161" s="77">
        <f>K161-L161</f>
        <v/>
      </c>
      <c r="U161" s="77">
        <f>P161-Q161</f>
        <v/>
      </c>
      <c r="V161" s="77">
        <f>ABS(U161)</f>
        <v/>
      </c>
      <c r="W161" s="78">
        <f>T161/L161</f>
        <v/>
      </c>
      <c r="X161" s="79">
        <f>ABS(W161)</f>
        <v/>
      </c>
      <c r="AH161" s="80" t="inlineStr">
        <is>
          <t>调整（承建商、PM)</t>
        </is>
      </c>
    </row>
    <row r="162" ht="11.4" customHeight="1">
      <c r="A162" s="67" t="inlineStr">
        <is>
          <t>57</t>
        </is>
      </c>
      <c r="B162" s="67" t="inlineStr">
        <is>
          <t>1055</t>
        </is>
      </c>
      <c r="C162" s="67" t="inlineStr">
        <is>
          <t>1611</t>
        </is>
      </c>
      <c r="D162" s="68" t="inlineStr">
        <is>
          <t>01</t>
        </is>
      </c>
      <c r="E162" s="68" t="inlineStr">
        <is>
          <t>6 物业施工费</t>
        </is>
      </c>
      <c r="F162" s="68" t="inlineStr">
        <is>
          <t>6.1 总承包工程</t>
        </is>
      </c>
      <c r="G162" s="68" t="inlineStr">
        <is>
          <t>6.1.1 内部装修工程</t>
        </is>
      </c>
      <c r="H162" s="68" t="inlineStr">
        <is>
          <t>大堂墙面基层和装饰层（不含卫生间及楼梯）</t>
        </is>
      </c>
      <c r="I162" s="69" t="inlineStr">
        <is>
          <t>1000021713</t>
        </is>
      </c>
      <c r="J162" s="69" t="inlineStr">
        <is>
          <t>墙面多彩板（琛雄，仿涂料效果，B1级）</t>
        </is>
      </c>
      <c r="K162" s="70" t="n"/>
      <c r="L162" s="70" t="n"/>
      <c r="M162" s="71" t="inlineStr">
        <is>
          <t>m2</t>
        </is>
      </c>
      <c r="N162" s="72" t="n">
        <v>266.78</v>
      </c>
      <c r="O162" s="72">
        <f>ROUND(N162*(1+$F$10),2)</f>
        <v/>
      </c>
      <c r="P162" s="73">
        <f>ROUND(K162*N162,2)</f>
        <v/>
      </c>
      <c r="Q162" s="74">
        <f>ROUND(L162*N162,2)</f>
        <v/>
      </c>
      <c r="R162" s="75" t="n"/>
      <c r="S162" s="76" t="n"/>
      <c r="T162" s="77">
        <f>K162-L162</f>
        <v/>
      </c>
      <c r="U162" s="77">
        <f>P162-Q162</f>
        <v/>
      </c>
      <c r="V162" s="77">
        <f>ABS(U162)</f>
        <v/>
      </c>
      <c r="W162" s="78">
        <f>T162/L162</f>
        <v/>
      </c>
      <c r="X162" s="79">
        <f>ABS(W162)</f>
        <v/>
      </c>
      <c r="AG162" s="80" t="inlineStr">
        <is>
          <t>叠层墙面积</t>
        </is>
      </c>
    </row>
    <row r="163" ht="11.4" customHeight="1">
      <c r="A163" s="67" t="inlineStr">
        <is>
          <t>57</t>
        </is>
      </c>
      <c r="B163" s="67" t="inlineStr">
        <is>
          <t>1055</t>
        </is>
      </c>
      <c r="C163" s="67" t="inlineStr">
        <is>
          <t>1611</t>
        </is>
      </c>
      <c r="D163" s="68" t="inlineStr">
        <is>
          <t>01</t>
        </is>
      </c>
      <c r="E163" s="68" t="inlineStr">
        <is>
          <t>6 物业施工费</t>
        </is>
      </c>
      <c r="F163" s="68" t="inlineStr">
        <is>
          <t>6.1 总承包工程</t>
        </is>
      </c>
      <c r="G163" s="68" t="inlineStr">
        <is>
          <t>6.1.1 内部装修工程</t>
        </is>
      </c>
      <c r="H163" s="68" t="inlineStr">
        <is>
          <t>大堂墙面基层和装饰层（不含卫生间及楼梯）</t>
        </is>
      </c>
      <c r="I163" s="69" t="inlineStr">
        <is>
          <t>1000051749</t>
        </is>
      </c>
      <c r="J163" s="69" t="inlineStr">
        <is>
          <t>墙面多彩板（琛雄，木格栅效果，B1级）</t>
        </is>
      </c>
      <c r="K163" s="70" t="n"/>
      <c r="L163" s="70" t="n"/>
      <c r="M163" s="71" t="inlineStr">
        <is>
          <t>m2</t>
        </is>
      </c>
      <c r="N163" s="72" t="n">
        <v>283.28</v>
      </c>
      <c r="O163" s="72">
        <f>ROUND(N163*(1+$F$10),2)</f>
        <v/>
      </c>
      <c r="P163" s="73">
        <f>ROUND(K163*N163,2)</f>
        <v/>
      </c>
      <c r="Q163" s="74">
        <f>ROUND(L163*N163,2)</f>
        <v/>
      </c>
      <c r="R163" s="75" t="n"/>
      <c r="S163" s="76" t="n"/>
      <c r="T163" s="77">
        <f>K163-L163</f>
        <v/>
      </c>
      <c r="U163" s="77">
        <f>P163-Q163</f>
        <v/>
      </c>
      <c r="V163" s="77">
        <f>ABS(U163)</f>
        <v/>
      </c>
      <c r="W163" s="78">
        <f>T163/L163</f>
        <v/>
      </c>
      <c r="X163" s="79">
        <f>ABS(W163)</f>
        <v/>
      </c>
      <c r="AG163" s="80" t="inlineStr">
        <is>
          <t>叠层墙面积</t>
        </is>
      </c>
    </row>
    <row r="164" ht="11.4" customHeight="1">
      <c r="A164" s="67" t="inlineStr">
        <is>
          <t>57</t>
        </is>
      </c>
      <c r="B164" s="67" t="inlineStr">
        <is>
          <t>1055</t>
        </is>
      </c>
      <c r="C164" s="67" t="inlineStr">
        <is>
          <t>1611</t>
        </is>
      </c>
      <c r="D164" s="68" t="inlineStr">
        <is>
          <t>01</t>
        </is>
      </c>
      <c r="E164" s="68" t="inlineStr">
        <is>
          <t>6 物业施工费</t>
        </is>
      </c>
      <c r="F164" s="68" t="inlineStr">
        <is>
          <t>6.1 总承包工程</t>
        </is>
      </c>
      <c r="G164" s="68" t="inlineStr">
        <is>
          <t>6.1.1 内部装修工程</t>
        </is>
      </c>
      <c r="H164" s="68" t="inlineStr">
        <is>
          <t>大堂墙面基层和装饰层（不含卫生间及楼梯）</t>
        </is>
      </c>
      <c r="I164" s="69" t="inlineStr">
        <is>
          <t>1000021714</t>
        </is>
      </c>
      <c r="J164" s="69" t="inlineStr">
        <is>
          <t>墙面多彩板（琛雄，仿木纹效果，含收边条，B1级）</t>
        </is>
      </c>
      <c r="K164" s="70" t="n"/>
      <c r="L164" s="70" t="n"/>
      <c r="M164" s="71" t="inlineStr">
        <is>
          <t>m2</t>
        </is>
      </c>
      <c r="N164" s="72" t="n">
        <v>288.72</v>
      </c>
      <c r="O164" s="72">
        <f>ROUND(N164*(1+$F$10),2)</f>
        <v/>
      </c>
      <c r="P164" s="73">
        <f>ROUND(K164*N164,2)</f>
        <v/>
      </c>
      <c r="Q164" s="74">
        <f>ROUND(L164*N164,2)</f>
        <v/>
      </c>
      <c r="R164" s="75" t="n"/>
      <c r="S164" s="76" t="n"/>
      <c r="T164" s="77">
        <f>K164-L164</f>
        <v/>
      </c>
      <c r="U164" s="77">
        <f>P164-Q164</f>
        <v/>
      </c>
      <c r="V164" s="77">
        <f>ABS(U164)</f>
        <v/>
      </c>
      <c r="W164" s="78">
        <f>T164/L164</f>
        <v/>
      </c>
      <c r="X164" s="79">
        <f>ABS(W164)</f>
        <v/>
      </c>
      <c r="AG164" s="80" t="inlineStr">
        <is>
          <t>叠层墙面积</t>
        </is>
      </c>
    </row>
    <row r="165" ht="11.4" customHeight="1">
      <c r="A165" s="67" t="inlineStr">
        <is>
          <t>57</t>
        </is>
      </c>
      <c r="B165" s="67" t="inlineStr">
        <is>
          <t>1055</t>
        </is>
      </c>
      <c r="C165" s="67" t="inlineStr">
        <is>
          <t>1611</t>
        </is>
      </c>
      <c r="D165" s="68" t="inlineStr">
        <is>
          <t>01</t>
        </is>
      </c>
      <c r="E165" s="68" t="inlineStr">
        <is>
          <t>6 物业施工费</t>
        </is>
      </c>
      <c r="F165" s="68" t="inlineStr">
        <is>
          <t>6.1 总承包工程</t>
        </is>
      </c>
      <c r="G165" s="68" t="inlineStr">
        <is>
          <t>6.1.1 内部装修工程</t>
        </is>
      </c>
      <c r="H165" s="68" t="inlineStr">
        <is>
          <t>大堂墙面基层和装饰层（不含卫生间及楼梯）</t>
        </is>
      </c>
      <c r="I165" s="69" t="inlineStr">
        <is>
          <t>1000041864</t>
        </is>
      </c>
      <c r="J165" s="69" t="inlineStr">
        <is>
          <t>墙面多彩板（大生，仿涂料效果，B1级）</t>
        </is>
      </c>
      <c r="K165" s="70" t="n"/>
      <c r="L165" s="70" t="n"/>
      <c r="M165" s="71" t="inlineStr">
        <is>
          <t>m2</t>
        </is>
      </c>
      <c r="N165" s="72" t="n">
        <v>267.97</v>
      </c>
      <c r="O165" s="72">
        <f>ROUND(N165*(1+$F$10),2)</f>
        <v/>
      </c>
      <c r="P165" s="73">
        <f>ROUND(K165*N165,2)</f>
        <v/>
      </c>
      <c r="Q165" s="74">
        <f>ROUND(L165*N165,2)</f>
        <v/>
      </c>
      <c r="R165" s="75" t="n"/>
      <c r="S165" s="76" t="n"/>
      <c r="T165" s="77">
        <f>K165-L165</f>
        <v/>
      </c>
      <c r="U165" s="77">
        <f>P165-Q165</f>
        <v/>
      </c>
      <c r="V165" s="77">
        <f>ABS(U165)</f>
        <v/>
      </c>
      <c r="W165" s="78">
        <f>T165/L165</f>
        <v/>
      </c>
      <c r="X165" s="79">
        <f>ABS(W165)</f>
        <v/>
      </c>
      <c r="AG165" s="80" t="inlineStr">
        <is>
          <t>叠层墙面积</t>
        </is>
      </c>
    </row>
    <row r="166" ht="11.4" customHeight="1">
      <c r="A166" s="67" t="inlineStr">
        <is>
          <t>57</t>
        </is>
      </c>
      <c r="B166" s="67" t="inlineStr">
        <is>
          <t>1055</t>
        </is>
      </c>
      <c r="C166" s="67" t="inlineStr">
        <is>
          <t>1611</t>
        </is>
      </c>
      <c r="D166" s="68" t="inlineStr">
        <is>
          <t>01</t>
        </is>
      </c>
      <c r="E166" s="68" t="inlineStr">
        <is>
          <t>6 物业施工费</t>
        </is>
      </c>
      <c r="F166" s="68" t="inlineStr">
        <is>
          <t>6.1 总承包工程</t>
        </is>
      </c>
      <c r="G166" s="68" t="inlineStr">
        <is>
          <t>6.1.1 内部装修工程</t>
        </is>
      </c>
      <c r="H166" s="68" t="inlineStr">
        <is>
          <t>大堂墙面基层和装饰层（不含卫生间及楼梯）</t>
        </is>
      </c>
      <c r="I166" s="69" t="inlineStr">
        <is>
          <t>1000051751</t>
        </is>
      </c>
      <c r="J166" s="69" t="inlineStr">
        <is>
          <t>墙面多彩板（大生，木格栅效果，B1级）</t>
        </is>
      </c>
      <c r="K166" s="70" t="n"/>
      <c r="L166" s="70" t="n"/>
      <c r="M166" s="71" t="inlineStr">
        <is>
          <t>m2</t>
        </is>
      </c>
      <c r="N166" s="72" t="n">
        <v>284.47</v>
      </c>
      <c r="O166" s="72">
        <f>ROUND(N166*(1+$F$10),2)</f>
        <v/>
      </c>
      <c r="P166" s="73">
        <f>ROUND(K166*N166,2)</f>
        <v/>
      </c>
      <c r="Q166" s="74">
        <f>ROUND(L166*N166,2)</f>
        <v/>
      </c>
      <c r="R166" s="75" t="n"/>
      <c r="S166" s="76" t="n"/>
      <c r="T166" s="77">
        <f>K166-L166</f>
        <v/>
      </c>
      <c r="U166" s="77">
        <f>P166-Q166</f>
        <v/>
      </c>
      <c r="V166" s="77">
        <f>ABS(U166)</f>
        <v/>
      </c>
      <c r="W166" s="78">
        <f>T166/L166</f>
        <v/>
      </c>
      <c r="X166" s="79">
        <f>ABS(W166)</f>
        <v/>
      </c>
      <c r="AG166" s="80" t="inlineStr">
        <is>
          <t>叠层墙面积</t>
        </is>
      </c>
    </row>
    <row r="167" ht="11.4" customHeight="1">
      <c r="A167" s="67" t="inlineStr">
        <is>
          <t>57</t>
        </is>
      </c>
      <c r="B167" s="67" t="inlineStr">
        <is>
          <t>1055</t>
        </is>
      </c>
      <c r="C167" s="67" t="inlineStr">
        <is>
          <t>1611</t>
        </is>
      </c>
      <c r="D167" s="68" t="inlineStr">
        <is>
          <t>01</t>
        </is>
      </c>
      <c r="E167" s="68" t="inlineStr">
        <is>
          <t>6 物业施工费</t>
        </is>
      </c>
      <c r="F167" s="68" t="inlineStr">
        <is>
          <t>6.1 总承包工程</t>
        </is>
      </c>
      <c r="G167" s="68" t="inlineStr">
        <is>
          <t>6.1.1 内部装修工程</t>
        </is>
      </c>
      <c r="H167" s="68" t="inlineStr">
        <is>
          <t>大堂墙面基层和装饰层（不含卫生间及楼梯）</t>
        </is>
      </c>
      <c r="I167" s="69" t="inlineStr">
        <is>
          <t>1000041862</t>
        </is>
      </c>
      <c r="J167" s="69" t="inlineStr">
        <is>
          <t>墙面多彩板（大生，仿木纹效果，含收边条，B1级）</t>
        </is>
      </c>
      <c r="K167" s="70" t="n"/>
      <c r="L167" s="70" t="n"/>
      <c r="M167" s="71" t="inlineStr">
        <is>
          <t>m2</t>
        </is>
      </c>
      <c r="N167" s="72" t="n">
        <v>288.72</v>
      </c>
      <c r="O167" s="72">
        <f>ROUND(N167*(1+$F$10),2)</f>
        <v/>
      </c>
      <c r="P167" s="73">
        <f>ROUND(K167*N167,2)</f>
        <v/>
      </c>
      <c r="Q167" s="74">
        <f>ROUND(L167*N167,2)</f>
        <v/>
      </c>
      <c r="R167" s="75" t="n"/>
      <c r="S167" s="76" t="n"/>
      <c r="T167" s="77">
        <f>K167-L167</f>
        <v/>
      </c>
      <c r="U167" s="77">
        <f>P167-Q167</f>
        <v/>
      </c>
      <c r="V167" s="77">
        <f>ABS(U167)</f>
        <v/>
      </c>
      <c r="W167" s="78">
        <f>T167/L167</f>
        <v/>
      </c>
      <c r="X167" s="79">
        <f>ABS(W167)</f>
        <v/>
      </c>
      <c r="AG167" s="80" t="inlineStr">
        <is>
          <t>叠层墙面积</t>
        </is>
      </c>
    </row>
    <row r="168" ht="11.4" customHeight="1">
      <c r="A168" s="67" t="inlineStr">
        <is>
          <t>57</t>
        </is>
      </c>
      <c r="B168" s="67" t="inlineStr">
        <is>
          <t>1055</t>
        </is>
      </c>
      <c r="C168" s="67" t="inlineStr">
        <is>
          <t>1611</t>
        </is>
      </c>
      <c r="D168" s="68" t="inlineStr">
        <is>
          <t>01</t>
        </is>
      </c>
      <c r="E168" s="68" t="inlineStr">
        <is>
          <t>6 物业施工费</t>
        </is>
      </c>
      <c r="F168" s="68" t="inlineStr">
        <is>
          <t>6.1 总承包工程</t>
        </is>
      </c>
      <c r="G168" s="68" t="inlineStr">
        <is>
          <t>6.1.1 内部装修工程</t>
        </is>
      </c>
      <c r="H168" s="68" t="inlineStr">
        <is>
          <t>大堂墙面基层和装饰层（不含卫生间及楼梯）</t>
        </is>
      </c>
      <c r="I168" s="69" t="inlineStr">
        <is>
          <t>1000041870</t>
        </is>
      </c>
      <c r="J168" s="69" t="inlineStr">
        <is>
          <t>墙面多彩板（共荣，仿涂料效果，B1级）</t>
        </is>
      </c>
      <c r="K168" s="70" t="n"/>
      <c r="L168" s="70" t="n"/>
      <c r="M168" s="71" t="inlineStr">
        <is>
          <t>m2</t>
        </is>
      </c>
      <c r="N168" s="72" t="n">
        <v>250.15</v>
      </c>
      <c r="O168" s="72">
        <f>ROUND(N168*(1+$F$10),2)</f>
        <v/>
      </c>
      <c r="P168" s="73">
        <f>ROUND(K168*N168,2)</f>
        <v/>
      </c>
      <c r="Q168" s="74">
        <f>ROUND(L168*N168,2)</f>
        <v/>
      </c>
      <c r="R168" s="75" t="n"/>
      <c r="S168" s="76" t="n"/>
      <c r="T168" s="77">
        <f>K168-L168</f>
        <v/>
      </c>
      <c r="U168" s="77">
        <f>P168-Q168</f>
        <v/>
      </c>
      <c r="V168" s="77">
        <f>ABS(U168)</f>
        <v/>
      </c>
      <c r="W168" s="78">
        <f>T168/L168</f>
        <v/>
      </c>
      <c r="X168" s="79">
        <f>ABS(W168)</f>
        <v/>
      </c>
      <c r="AG168" s="80" t="inlineStr">
        <is>
          <t>叠层墙面积</t>
        </is>
      </c>
    </row>
    <row r="169" ht="11.4" customHeight="1">
      <c r="A169" s="67" t="inlineStr">
        <is>
          <t>57</t>
        </is>
      </c>
      <c r="B169" s="67" t="inlineStr">
        <is>
          <t>1055</t>
        </is>
      </c>
      <c r="C169" s="67" t="inlineStr">
        <is>
          <t>1611</t>
        </is>
      </c>
      <c r="D169" s="68" t="inlineStr">
        <is>
          <t>01</t>
        </is>
      </c>
      <c r="E169" s="68" t="inlineStr">
        <is>
          <t>6 物业施工费</t>
        </is>
      </c>
      <c r="F169" s="68" t="inlineStr">
        <is>
          <t>6.1 总承包工程</t>
        </is>
      </c>
      <c r="G169" s="68" t="inlineStr">
        <is>
          <t>6.1.1 内部装修工程</t>
        </is>
      </c>
      <c r="H169" s="68" t="inlineStr">
        <is>
          <t>大堂墙面基层和装饰层（不含卫生间及楼梯）</t>
        </is>
      </c>
      <c r="I169" s="69" t="inlineStr">
        <is>
          <t>1000051750</t>
        </is>
      </c>
      <c r="J169" s="69" t="inlineStr">
        <is>
          <t>墙面多彩板（共荣，木格栅效果，B1级）</t>
        </is>
      </c>
      <c r="K169" s="70" t="n"/>
      <c r="L169" s="70" t="n"/>
      <c r="M169" s="71" t="inlineStr">
        <is>
          <t>m2</t>
        </is>
      </c>
      <c r="N169" s="72" t="n">
        <v>288.04</v>
      </c>
      <c r="O169" s="72">
        <f>ROUND(N169*(1+$F$10),2)</f>
        <v/>
      </c>
      <c r="P169" s="73">
        <f>ROUND(K169*N169,2)</f>
        <v/>
      </c>
      <c r="Q169" s="74">
        <f>ROUND(L169*N169,2)</f>
        <v/>
      </c>
      <c r="R169" s="75" t="n"/>
      <c r="S169" s="76" t="n"/>
      <c r="T169" s="77">
        <f>K169-L169</f>
        <v/>
      </c>
      <c r="U169" s="77">
        <f>P169-Q169</f>
        <v/>
      </c>
      <c r="V169" s="77">
        <f>ABS(U169)</f>
        <v/>
      </c>
      <c r="W169" s="78">
        <f>T169/L169</f>
        <v/>
      </c>
      <c r="X169" s="79">
        <f>ABS(W169)</f>
        <v/>
      </c>
      <c r="AG169" s="80" t="inlineStr">
        <is>
          <t>叠层墙面积</t>
        </is>
      </c>
    </row>
    <row r="170" ht="11.4" customHeight="1">
      <c r="A170" s="67" t="inlineStr">
        <is>
          <t>57</t>
        </is>
      </c>
      <c r="B170" s="67" t="inlineStr">
        <is>
          <t>1055</t>
        </is>
      </c>
      <c r="C170" s="67" t="inlineStr">
        <is>
          <t>1611</t>
        </is>
      </c>
      <c r="D170" s="68" t="inlineStr">
        <is>
          <t>01</t>
        </is>
      </c>
      <c r="E170" s="68" t="inlineStr">
        <is>
          <t>6 物业施工费</t>
        </is>
      </c>
      <c r="F170" s="68" t="inlineStr">
        <is>
          <t>6.1 总承包工程</t>
        </is>
      </c>
      <c r="G170" s="68" t="inlineStr">
        <is>
          <t>6.1.1 内部装修工程</t>
        </is>
      </c>
      <c r="H170" s="68" t="inlineStr">
        <is>
          <t>大堂墙面基层和装饰层（不含卫生间及楼梯）</t>
        </is>
      </c>
      <c r="I170" s="69" t="inlineStr">
        <is>
          <t>1000041868</t>
        </is>
      </c>
      <c r="J170" s="69" t="inlineStr">
        <is>
          <t>墙面多彩板（共荣，仿木纹效果，含收边条，B1级）</t>
        </is>
      </c>
      <c r="K170" s="70" t="n"/>
      <c r="L170" s="70" t="n"/>
      <c r="M170" s="71" t="inlineStr">
        <is>
          <t>m2</t>
        </is>
      </c>
      <c r="N170" s="72" t="n">
        <v>270.9</v>
      </c>
      <c r="O170" s="72">
        <f>ROUND(N170*(1+$F$10),2)</f>
        <v/>
      </c>
      <c r="P170" s="73">
        <f>ROUND(K170*N170,2)</f>
        <v/>
      </c>
      <c r="Q170" s="74">
        <f>ROUND(L170*N170,2)</f>
        <v/>
      </c>
      <c r="R170" s="75" t="n"/>
      <c r="S170" s="76" t="n"/>
      <c r="T170" s="77">
        <f>K170-L170</f>
        <v/>
      </c>
      <c r="U170" s="77">
        <f>P170-Q170</f>
        <v/>
      </c>
      <c r="V170" s="77">
        <f>ABS(U170)</f>
        <v/>
      </c>
      <c r="W170" s="78">
        <f>T170/L170</f>
        <v/>
      </c>
      <c r="X170" s="79">
        <f>ABS(W170)</f>
        <v/>
      </c>
      <c r="AG170" s="80" t="inlineStr">
        <is>
          <t>叠层墙面积</t>
        </is>
      </c>
    </row>
    <row r="171" ht="11.4" customHeight="1">
      <c r="A171" s="67" t="inlineStr">
        <is>
          <t>57</t>
        </is>
      </c>
      <c r="B171" s="67" t="inlineStr">
        <is>
          <t>1055</t>
        </is>
      </c>
      <c r="C171" s="67" t="inlineStr">
        <is>
          <t>1611</t>
        </is>
      </c>
      <c r="D171" s="68" t="inlineStr">
        <is>
          <t>01</t>
        </is>
      </c>
      <c r="E171" s="68" t="inlineStr">
        <is>
          <t>6 物业施工费</t>
        </is>
      </c>
      <c r="F171" s="68" t="inlineStr">
        <is>
          <t>6.1 总承包工程</t>
        </is>
      </c>
      <c r="G171" s="68" t="inlineStr">
        <is>
          <t>6.1.1 内部装修工程</t>
        </is>
      </c>
      <c r="H171" s="68" t="inlineStr">
        <is>
          <t>大堂墙面基层和装饰层（不含卫生间及楼梯）</t>
        </is>
      </c>
      <c r="I171" s="69" t="inlineStr">
        <is>
          <t>1000041866</t>
        </is>
      </c>
      <c r="J171" s="69" t="inlineStr">
        <is>
          <t>墙面多彩板（琛雄，仿涂料效果，A级）</t>
        </is>
      </c>
      <c r="K171" s="70" t="n"/>
      <c r="L171" s="70" t="n"/>
      <c r="M171" s="71" t="inlineStr">
        <is>
          <t>m2</t>
        </is>
      </c>
      <c r="N171" s="72" t="n">
        <v>385.58</v>
      </c>
      <c r="O171" s="72">
        <f>ROUND(N171*(1+$F$10),2)</f>
        <v/>
      </c>
      <c r="P171" s="73">
        <f>ROUND(K171*N171,2)</f>
        <v/>
      </c>
      <c r="Q171" s="74">
        <f>ROUND(L171*N171,2)</f>
        <v/>
      </c>
      <c r="R171" s="75" t="n"/>
      <c r="S171" s="76" t="n"/>
      <c r="T171" s="77">
        <f>K171-L171</f>
        <v/>
      </c>
      <c r="U171" s="77">
        <f>P171-Q171</f>
        <v/>
      </c>
      <c r="V171" s="77">
        <f>ABS(U171)</f>
        <v/>
      </c>
      <c r="W171" s="78">
        <f>T171/L171</f>
        <v/>
      </c>
      <c r="X171" s="79">
        <f>ABS(W171)</f>
        <v/>
      </c>
      <c r="AG171" s="80" t="inlineStr">
        <is>
          <t>叠层墙面积</t>
        </is>
      </c>
    </row>
    <row r="172" ht="11.4" customHeight="1">
      <c r="A172" s="67" t="inlineStr">
        <is>
          <t>57</t>
        </is>
      </c>
      <c r="B172" s="67" t="inlineStr">
        <is>
          <t>1055</t>
        </is>
      </c>
      <c r="C172" s="67" t="inlineStr">
        <is>
          <t>1611</t>
        </is>
      </c>
      <c r="D172" s="68" t="inlineStr">
        <is>
          <t>01</t>
        </is>
      </c>
      <c r="E172" s="68" t="inlineStr">
        <is>
          <t>6 物业施工费</t>
        </is>
      </c>
      <c r="F172" s="68" t="inlineStr">
        <is>
          <t>6.1 总承包工程</t>
        </is>
      </c>
      <c r="G172" s="68" t="inlineStr">
        <is>
          <t>6.1.1 内部装修工程</t>
        </is>
      </c>
      <c r="H172" s="68" t="inlineStr">
        <is>
          <t>大堂墙面基层和装饰层（不含卫生间及楼梯）</t>
        </is>
      </c>
      <c r="I172" s="69" t="inlineStr">
        <is>
          <t>1000051752</t>
        </is>
      </c>
      <c r="J172" s="69" t="inlineStr">
        <is>
          <t>墙面多彩板（琛雄，木格栅效果，A级）</t>
        </is>
      </c>
      <c r="K172" s="70" t="n"/>
      <c r="L172" s="70" t="n"/>
      <c r="M172" s="71" t="inlineStr">
        <is>
          <t>m2</t>
        </is>
      </c>
      <c r="N172" s="72" t="n">
        <v>454.36</v>
      </c>
      <c r="O172" s="72">
        <f>ROUND(N172*(1+$F$10),2)</f>
        <v/>
      </c>
      <c r="P172" s="73">
        <f>ROUND(K172*N172,2)</f>
        <v/>
      </c>
      <c r="Q172" s="74">
        <f>ROUND(L172*N172,2)</f>
        <v/>
      </c>
      <c r="R172" s="75" t="n"/>
      <c r="S172" s="76" t="n"/>
      <c r="T172" s="77">
        <f>K172-L172</f>
        <v/>
      </c>
      <c r="U172" s="77">
        <f>P172-Q172</f>
        <v/>
      </c>
      <c r="V172" s="77">
        <f>ABS(U172)</f>
        <v/>
      </c>
      <c r="W172" s="78">
        <f>T172/L172</f>
        <v/>
      </c>
      <c r="X172" s="79">
        <f>ABS(W172)</f>
        <v/>
      </c>
      <c r="AG172" s="80" t="inlineStr">
        <is>
          <t>叠层墙面积</t>
        </is>
      </c>
    </row>
    <row r="173" ht="11.4" customHeight="1">
      <c r="A173" s="67" t="inlineStr">
        <is>
          <t>57</t>
        </is>
      </c>
      <c r="B173" s="67" t="inlineStr">
        <is>
          <t>1055</t>
        </is>
      </c>
      <c r="C173" s="67" t="inlineStr">
        <is>
          <t>1611</t>
        </is>
      </c>
      <c r="D173" s="68" t="inlineStr">
        <is>
          <t>01</t>
        </is>
      </c>
      <c r="E173" s="68" t="inlineStr">
        <is>
          <t>6 物业施工费</t>
        </is>
      </c>
      <c r="F173" s="68" t="inlineStr">
        <is>
          <t>6.1 总承包工程</t>
        </is>
      </c>
      <c r="G173" s="68" t="inlineStr">
        <is>
          <t>6.1.1 内部装修工程</t>
        </is>
      </c>
      <c r="H173" s="68" t="inlineStr">
        <is>
          <t>大堂墙面基层和装饰层（不含卫生间及楼梯）</t>
        </is>
      </c>
      <c r="I173" s="69" t="inlineStr">
        <is>
          <t>1000041865</t>
        </is>
      </c>
      <c r="J173" s="69" t="inlineStr">
        <is>
          <t>墙面多彩板（琛雄，仿木纹效果，含收边条，A级）</t>
        </is>
      </c>
      <c r="K173" s="70" t="n"/>
      <c r="L173" s="70" t="n"/>
      <c r="M173" s="71" t="inlineStr">
        <is>
          <t>m2</t>
        </is>
      </c>
      <c r="N173" s="72" t="n">
        <v>406.33</v>
      </c>
      <c r="O173" s="72">
        <f>ROUND(N173*(1+$F$10),2)</f>
        <v/>
      </c>
      <c r="P173" s="73">
        <f>ROUND(K173*N173,2)</f>
        <v/>
      </c>
      <c r="Q173" s="74">
        <f>ROUND(L173*N173,2)</f>
        <v/>
      </c>
      <c r="R173" s="75" t="n"/>
      <c r="S173" s="76" t="n"/>
      <c r="T173" s="77">
        <f>K173-L173</f>
        <v/>
      </c>
      <c r="U173" s="77">
        <f>P173-Q173</f>
        <v/>
      </c>
      <c r="V173" s="77">
        <f>ABS(U173)</f>
        <v/>
      </c>
      <c r="W173" s="78">
        <f>T173/L173</f>
        <v/>
      </c>
      <c r="X173" s="79">
        <f>ABS(W173)</f>
        <v/>
      </c>
      <c r="AG173" s="80" t="inlineStr">
        <is>
          <t>叠层墙面积</t>
        </is>
      </c>
    </row>
    <row r="174" ht="11.4" customHeight="1">
      <c r="A174" s="67" t="inlineStr">
        <is>
          <t>57</t>
        </is>
      </c>
      <c r="B174" s="67" t="inlineStr">
        <is>
          <t>1055</t>
        </is>
      </c>
      <c r="C174" s="67" t="inlineStr">
        <is>
          <t>1611</t>
        </is>
      </c>
      <c r="D174" s="68" t="inlineStr">
        <is>
          <t>01</t>
        </is>
      </c>
      <c r="E174" s="68" t="inlineStr">
        <is>
          <t>6 物业施工费</t>
        </is>
      </c>
      <c r="F174" s="68" t="inlineStr">
        <is>
          <t>6.1 总承包工程</t>
        </is>
      </c>
      <c r="G174" s="68" t="inlineStr">
        <is>
          <t>6.1.1 内部装修工程</t>
        </is>
      </c>
      <c r="H174" s="68" t="inlineStr">
        <is>
          <t>大堂墙面基层和装饰层（不含卫生间及楼梯）</t>
        </is>
      </c>
      <c r="I174" s="69" t="inlineStr">
        <is>
          <t>1000041863</t>
        </is>
      </c>
      <c r="J174" s="69" t="inlineStr">
        <is>
          <t>墙面多彩板（大生，仿涂料效果，A级）</t>
        </is>
      </c>
      <c r="K174" s="70" t="n"/>
      <c r="L174" s="70" t="n"/>
      <c r="M174" s="71" t="inlineStr">
        <is>
          <t>m2</t>
        </is>
      </c>
      <c r="N174" s="72" t="n">
        <v>387.96</v>
      </c>
      <c r="O174" s="72">
        <f>ROUND(N174*(1+$F$10),2)</f>
        <v/>
      </c>
      <c r="P174" s="73">
        <f>ROUND(K174*N174,2)</f>
        <v/>
      </c>
      <c r="Q174" s="74">
        <f>ROUND(L174*N174,2)</f>
        <v/>
      </c>
      <c r="R174" s="75" t="n"/>
      <c r="S174" s="76" t="n"/>
      <c r="T174" s="77">
        <f>K174-L174</f>
        <v/>
      </c>
      <c r="U174" s="77">
        <f>P174-Q174</f>
        <v/>
      </c>
      <c r="V174" s="77">
        <f>ABS(U174)</f>
        <v/>
      </c>
      <c r="W174" s="78">
        <f>T174/L174</f>
        <v/>
      </c>
      <c r="X174" s="79">
        <f>ABS(W174)</f>
        <v/>
      </c>
      <c r="AG174" s="80" t="inlineStr">
        <is>
          <t>叠层墙面积</t>
        </is>
      </c>
    </row>
    <row r="175" ht="11.4" customHeight="1">
      <c r="A175" s="67" t="inlineStr">
        <is>
          <t>57</t>
        </is>
      </c>
      <c r="B175" s="67" t="inlineStr">
        <is>
          <t>1055</t>
        </is>
      </c>
      <c r="C175" s="67" t="inlineStr">
        <is>
          <t>1611</t>
        </is>
      </c>
      <c r="D175" s="68" t="inlineStr">
        <is>
          <t>01</t>
        </is>
      </c>
      <c r="E175" s="68" t="inlineStr">
        <is>
          <t>6 物业施工费</t>
        </is>
      </c>
      <c r="F175" s="68" t="inlineStr">
        <is>
          <t>6.1 总承包工程</t>
        </is>
      </c>
      <c r="G175" s="68" t="inlineStr">
        <is>
          <t>6.1.1 内部装修工程</t>
        </is>
      </c>
      <c r="H175" s="68" t="inlineStr">
        <is>
          <t>大堂墙面基层和装饰层（不含卫生间及楼梯）</t>
        </is>
      </c>
      <c r="I175" s="69" t="inlineStr">
        <is>
          <t>1000051754</t>
        </is>
      </c>
      <c r="J175" s="69" t="inlineStr">
        <is>
          <t>墙面多彩板（大生，木格栅效果，A级）</t>
        </is>
      </c>
      <c r="K175" s="70" t="n"/>
      <c r="L175" s="70" t="n"/>
      <c r="M175" s="71" t="inlineStr">
        <is>
          <t>m2</t>
        </is>
      </c>
      <c r="N175" s="72" t="n">
        <v>404.46</v>
      </c>
      <c r="O175" s="72">
        <f>ROUND(N175*(1+$F$10),2)</f>
        <v/>
      </c>
      <c r="P175" s="73">
        <f>ROUND(K175*N175,2)</f>
        <v/>
      </c>
      <c r="Q175" s="74">
        <f>ROUND(L175*N175,2)</f>
        <v/>
      </c>
      <c r="R175" s="75" t="n"/>
      <c r="S175" s="76" t="n"/>
      <c r="T175" s="77">
        <f>K175-L175</f>
        <v/>
      </c>
      <c r="U175" s="77">
        <f>P175-Q175</f>
        <v/>
      </c>
      <c r="V175" s="77">
        <f>ABS(U175)</f>
        <v/>
      </c>
      <c r="W175" s="78">
        <f>T175/L175</f>
        <v/>
      </c>
      <c r="X175" s="79">
        <f>ABS(W175)</f>
        <v/>
      </c>
      <c r="AG175" s="80" t="inlineStr">
        <is>
          <t>叠层墙面积</t>
        </is>
      </c>
    </row>
    <row r="176" ht="11.4" customHeight="1">
      <c r="A176" s="67" t="inlineStr">
        <is>
          <t>57</t>
        </is>
      </c>
      <c r="B176" s="67" t="inlineStr">
        <is>
          <t>1055</t>
        </is>
      </c>
      <c r="C176" s="67" t="inlineStr">
        <is>
          <t>1611</t>
        </is>
      </c>
      <c r="D176" s="68" t="inlineStr">
        <is>
          <t>01</t>
        </is>
      </c>
      <c r="E176" s="68" t="inlineStr">
        <is>
          <t>6 物业施工费</t>
        </is>
      </c>
      <c r="F176" s="68" t="inlineStr">
        <is>
          <t>6.1 总承包工程</t>
        </is>
      </c>
      <c r="G176" s="68" t="inlineStr">
        <is>
          <t>6.1.1 内部装修工程</t>
        </is>
      </c>
      <c r="H176" s="68" t="inlineStr">
        <is>
          <t>大堂墙面基层和装饰层（不含卫生间及楼梯）</t>
        </is>
      </c>
      <c r="I176" s="69" t="inlineStr">
        <is>
          <t>1000041861</t>
        </is>
      </c>
      <c r="J176" s="69" t="inlineStr">
        <is>
          <t>墙面多彩板（大生，仿木纹效果，含收边条，A级）</t>
        </is>
      </c>
      <c r="K176" s="70" t="n"/>
      <c r="L176" s="70" t="n"/>
      <c r="M176" s="71" t="inlineStr">
        <is>
          <t>m2</t>
        </is>
      </c>
      <c r="N176" s="72" t="n">
        <v>408.71</v>
      </c>
      <c r="O176" s="72">
        <f>ROUND(N176*(1+$F$10),2)</f>
        <v/>
      </c>
      <c r="P176" s="73">
        <f>ROUND(K176*N176,2)</f>
        <v/>
      </c>
      <c r="Q176" s="74">
        <f>ROUND(L176*N176,2)</f>
        <v/>
      </c>
      <c r="R176" s="75" t="n"/>
      <c r="S176" s="76" t="n"/>
      <c r="T176" s="77">
        <f>K176-L176</f>
        <v/>
      </c>
      <c r="U176" s="77">
        <f>P176-Q176</f>
        <v/>
      </c>
      <c r="V176" s="77">
        <f>ABS(U176)</f>
        <v/>
      </c>
      <c r="W176" s="78">
        <f>T176/L176</f>
        <v/>
      </c>
      <c r="X176" s="79">
        <f>ABS(W176)</f>
        <v/>
      </c>
      <c r="AG176" s="80" t="inlineStr">
        <is>
          <t>叠层墙面积</t>
        </is>
      </c>
    </row>
    <row r="177" ht="11.4" customHeight="1">
      <c r="A177" s="67" t="inlineStr">
        <is>
          <t>57</t>
        </is>
      </c>
      <c r="B177" s="67" t="inlineStr">
        <is>
          <t>1055</t>
        </is>
      </c>
      <c r="C177" s="67" t="inlineStr">
        <is>
          <t>1611</t>
        </is>
      </c>
      <c r="D177" s="68" t="inlineStr">
        <is>
          <t>01</t>
        </is>
      </c>
      <c r="E177" s="68" t="inlineStr">
        <is>
          <t>6 物业施工费</t>
        </is>
      </c>
      <c r="F177" s="68" t="inlineStr">
        <is>
          <t>6.1 总承包工程</t>
        </is>
      </c>
      <c r="G177" s="68" t="inlineStr">
        <is>
          <t>6.1.1 内部装修工程</t>
        </is>
      </c>
      <c r="H177" s="68" t="inlineStr">
        <is>
          <t>大堂墙面基层和装饰层（不含卫生间及楼梯）</t>
        </is>
      </c>
      <c r="I177" s="69" t="inlineStr">
        <is>
          <t>1000041869</t>
        </is>
      </c>
      <c r="J177" s="69" t="inlineStr">
        <is>
          <t>墙面多彩板（共荣，仿涂料效果，A级）</t>
        </is>
      </c>
      <c r="K177" s="70" t="n"/>
      <c r="L177" s="70" t="n"/>
      <c r="M177" s="71" t="inlineStr">
        <is>
          <t>m2</t>
        </is>
      </c>
      <c r="N177" s="72" t="n">
        <v>385.58</v>
      </c>
      <c r="O177" s="72">
        <f>ROUND(N177*(1+$F$10),2)</f>
        <v/>
      </c>
      <c r="P177" s="73">
        <f>ROUND(K177*N177,2)</f>
        <v/>
      </c>
      <c r="Q177" s="74">
        <f>ROUND(L177*N177,2)</f>
        <v/>
      </c>
      <c r="R177" s="75" t="n"/>
      <c r="S177" s="76" t="n"/>
      <c r="T177" s="77">
        <f>K177-L177</f>
        <v/>
      </c>
      <c r="U177" s="77">
        <f>P177-Q177</f>
        <v/>
      </c>
      <c r="V177" s="77">
        <f>ABS(U177)</f>
        <v/>
      </c>
      <c r="W177" s="78">
        <f>T177/L177</f>
        <v/>
      </c>
      <c r="X177" s="79">
        <f>ABS(W177)</f>
        <v/>
      </c>
      <c r="AG177" s="80" t="inlineStr">
        <is>
          <t>叠层墙面积</t>
        </is>
      </c>
    </row>
    <row r="178" ht="11.4" customHeight="1">
      <c r="A178" s="67" t="inlineStr">
        <is>
          <t>57</t>
        </is>
      </c>
      <c r="B178" s="67" t="inlineStr">
        <is>
          <t>1055</t>
        </is>
      </c>
      <c r="C178" s="67" t="inlineStr">
        <is>
          <t>1611</t>
        </is>
      </c>
      <c r="D178" s="68" t="inlineStr">
        <is>
          <t>01</t>
        </is>
      </c>
      <c r="E178" s="68" t="inlineStr">
        <is>
          <t>6 物业施工费</t>
        </is>
      </c>
      <c r="F178" s="68" t="inlineStr">
        <is>
          <t>6.1 总承包工程</t>
        </is>
      </c>
      <c r="G178" s="68" t="inlineStr">
        <is>
          <t>6.1.1 内部装修工程</t>
        </is>
      </c>
      <c r="H178" s="68" t="inlineStr">
        <is>
          <t>大堂墙面基层和装饰层（不含卫生间及楼梯）</t>
        </is>
      </c>
      <c r="I178" s="69" t="inlineStr">
        <is>
          <t>1000051753</t>
        </is>
      </c>
      <c r="J178" s="69" t="inlineStr">
        <is>
          <t>墙面多彩板（共荣，木格栅效果，A级）</t>
        </is>
      </c>
      <c r="K178" s="70" t="n"/>
      <c r="L178" s="70" t="n"/>
      <c r="M178" s="71" t="inlineStr">
        <is>
          <t>m2</t>
        </is>
      </c>
      <c r="N178" s="72" t="n">
        <v>402.08</v>
      </c>
      <c r="O178" s="72">
        <f>ROUND(N178*(1+$F$10),2)</f>
        <v/>
      </c>
      <c r="P178" s="73">
        <f>ROUND(K178*N178,2)</f>
        <v/>
      </c>
      <c r="Q178" s="74">
        <f>ROUND(L178*N178,2)</f>
        <v/>
      </c>
      <c r="R178" s="75" t="n"/>
      <c r="S178" s="76" t="n"/>
      <c r="T178" s="77">
        <f>K178-L178</f>
        <v/>
      </c>
      <c r="U178" s="77">
        <f>P178-Q178</f>
        <v/>
      </c>
      <c r="V178" s="77">
        <f>ABS(U178)</f>
        <v/>
      </c>
      <c r="W178" s="78">
        <f>T178/L178</f>
        <v/>
      </c>
      <c r="X178" s="79">
        <f>ABS(W178)</f>
        <v/>
      </c>
      <c r="AG178" s="80" t="inlineStr">
        <is>
          <t>叠层墙面积</t>
        </is>
      </c>
    </row>
    <row r="179" ht="11.4" customHeight="1">
      <c r="A179" s="67" t="inlineStr">
        <is>
          <t>57</t>
        </is>
      </c>
      <c r="B179" s="67" t="inlineStr">
        <is>
          <t>1055</t>
        </is>
      </c>
      <c r="C179" s="67" t="inlineStr">
        <is>
          <t>1611</t>
        </is>
      </c>
      <c r="D179" s="68" t="inlineStr">
        <is>
          <t>01</t>
        </is>
      </c>
      <c r="E179" s="68" t="inlineStr">
        <is>
          <t>6 物业施工费</t>
        </is>
      </c>
      <c r="F179" s="68" t="inlineStr">
        <is>
          <t>6.1 总承包工程</t>
        </is>
      </c>
      <c r="G179" s="68" t="inlineStr">
        <is>
          <t>6.1.1 内部装修工程</t>
        </is>
      </c>
      <c r="H179" s="68" t="inlineStr">
        <is>
          <t>大堂墙面基层和装饰层（不含卫生间及楼梯）</t>
        </is>
      </c>
      <c r="I179" s="69" t="inlineStr">
        <is>
          <t>1000041867</t>
        </is>
      </c>
      <c r="J179" s="69" t="inlineStr">
        <is>
          <t>墙面多彩板（共荣，仿木纹效果，含收边条，A级）</t>
        </is>
      </c>
      <c r="K179" s="70" t="n"/>
      <c r="L179" s="70" t="n"/>
      <c r="M179" s="71" t="inlineStr">
        <is>
          <t>m2</t>
        </is>
      </c>
      <c r="N179" s="72" t="n">
        <v>406.33</v>
      </c>
      <c r="O179" s="72">
        <f>ROUND(N179*(1+$F$10),2)</f>
        <v/>
      </c>
      <c r="P179" s="73">
        <f>ROUND(K179*N179,2)</f>
        <v/>
      </c>
      <c r="Q179" s="74">
        <f>ROUND(L179*N179,2)</f>
        <v/>
      </c>
      <c r="R179" s="75" t="n"/>
      <c r="S179" s="76" t="n"/>
      <c r="T179" s="77">
        <f>K179-L179</f>
        <v/>
      </c>
      <c r="U179" s="77">
        <f>P179-Q179</f>
        <v/>
      </c>
      <c r="V179" s="77">
        <f>ABS(U179)</f>
        <v/>
      </c>
      <c r="W179" s="78">
        <f>T179/L179</f>
        <v/>
      </c>
      <c r="X179" s="79">
        <f>ABS(W179)</f>
        <v/>
      </c>
      <c r="AG179" s="80" t="inlineStr">
        <is>
          <t>叠层墙面积</t>
        </is>
      </c>
    </row>
    <row r="180" ht="11.4" customHeight="1">
      <c r="A180" s="67" t="inlineStr">
        <is>
          <t>57</t>
        </is>
      </c>
      <c r="B180" s="67" t="inlineStr">
        <is>
          <t>1055</t>
        </is>
      </c>
      <c r="C180" s="67" t="inlineStr">
        <is>
          <t>1611</t>
        </is>
      </c>
      <c r="D180" s="68" t="inlineStr">
        <is>
          <t>01</t>
        </is>
      </c>
      <c r="E180" s="68" t="inlineStr">
        <is>
          <t>6 物业施工费</t>
        </is>
      </c>
      <c r="F180" s="68" t="inlineStr">
        <is>
          <t>6.1 总承包工程</t>
        </is>
      </c>
      <c r="G180" s="68" t="inlineStr">
        <is>
          <t>6.1.1 内部装修工程</t>
        </is>
      </c>
      <c r="H180" s="68" t="inlineStr">
        <is>
          <t>大堂墙面基层和装饰层（不含卫生间及楼梯）</t>
        </is>
      </c>
      <c r="I180" s="69" t="inlineStr">
        <is>
          <t>1000022273</t>
        </is>
      </c>
      <c r="J180" s="69" t="inlineStr">
        <is>
          <t>墙面波纹板（Luna,含收边、基层及龙骨）</t>
        </is>
      </c>
      <c r="K180" s="70" t="n"/>
      <c r="L180" s="70" t="n"/>
      <c r="M180" s="71" t="inlineStr">
        <is>
          <t>m2</t>
        </is>
      </c>
      <c r="N180" s="72" t="n">
        <v>676.14</v>
      </c>
      <c r="O180" s="72">
        <f>ROUND(N180*(1+$F$10),2)</f>
        <v/>
      </c>
      <c r="P180" s="73">
        <f>ROUND(K180*N180,2)</f>
        <v/>
      </c>
      <c r="Q180" s="74">
        <f>ROUND(L180*N180,2)</f>
        <v/>
      </c>
      <c r="R180" s="75" t="n"/>
      <c r="S180" s="76" t="n"/>
      <c r="T180" s="77">
        <f>K180-L180</f>
        <v/>
      </c>
      <c r="U180" s="77">
        <f>P180-Q180</f>
        <v/>
      </c>
      <c r="V180" s="77">
        <f>ABS(U180)</f>
        <v/>
      </c>
      <c r="W180" s="78">
        <f>T180/L180</f>
        <v/>
      </c>
      <c r="X180" s="79">
        <f>ABS(W180)</f>
        <v/>
      </c>
      <c r="AG180" s="80" t="inlineStr">
        <is>
          <t>叠层墙面积</t>
        </is>
      </c>
    </row>
    <row r="181" ht="11.4" customHeight="1">
      <c r="A181" s="67" t="inlineStr">
        <is>
          <t>57</t>
        </is>
      </c>
      <c r="B181" s="67" t="inlineStr">
        <is>
          <t>1055</t>
        </is>
      </c>
      <c r="C181" s="67" t="inlineStr">
        <is>
          <t>1611</t>
        </is>
      </c>
      <c r="D181" s="68" t="inlineStr">
        <is>
          <t>01</t>
        </is>
      </c>
      <c r="E181" s="68" t="inlineStr">
        <is>
          <t>6 物业施工费</t>
        </is>
      </c>
      <c r="F181" s="68" t="inlineStr">
        <is>
          <t>6.1 总承包工程</t>
        </is>
      </c>
      <c r="G181" s="68" t="inlineStr">
        <is>
          <t>6.1.1 内部装修工程</t>
        </is>
      </c>
      <c r="H181" s="68" t="inlineStr">
        <is>
          <t>大堂墙面基层和装饰层（不含卫生间及楼梯）</t>
        </is>
      </c>
      <c r="I181" s="69" t="inlineStr">
        <is>
          <t>1000021682</t>
        </is>
      </c>
      <c r="J181" s="69" t="inlineStr">
        <is>
          <t>墙面小白砖50*50mm（琛雄）</t>
        </is>
      </c>
      <c r="K181" s="70" t="n"/>
      <c r="L181" s="70" t="n"/>
      <c r="M181" s="71" t="inlineStr">
        <is>
          <t>m2</t>
        </is>
      </c>
      <c r="N181" s="72" t="n">
        <v>214.82</v>
      </c>
      <c r="O181" s="72">
        <f>ROUND(N181*(1+$F$10),2)</f>
        <v/>
      </c>
      <c r="P181" s="73">
        <f>ROUND(K181*N181,2)</f>
        <v/>
      </c>
      <c r="Q181" s="74">
        <f>ROUND(L181*N181,2)</f>
        <v/>
      </c>
      <c r="R181" s="75" t="n"/>
      <c r="S181" s="76" t="n"/>
      <c r="T181" s="77">
        <f>K181-L181</f>
        <v/>
      </c>
      <c r="U181" s="77">
        <f>P181-Q181</f>
        <v/>
      </c>
      <c r="V181" s="77">
        <f>ABS(U181)</f>
        <v/>
      </c>
      <c r="W181" s="78">
        <f>T181/L181</f>
        <v/>
      </c>
      <c r="X181" s="79">
        <f>ABS(W181)</f>
        <v/>
      </c>
      <c r="AG181" s="80" t="inlineStr">
        <is>
          <t>叠层墙面积</t>
        </is>
      </c>
    </row>
    <row r="182" ht="11.4" customHeight="1">
      <c r="A182" s="67" t="inlineStr">
        <is>
          <t>57</t>
        </is>
      </c>
      <c r="B182" s="67" t="inlineStr">
        <is>
          <t>1055</t>
        </is>
      </c>
      <c r="C182" s="67" t="inlineStr">
        <is>
          <t>1611</t>
        </is>
      </c>
      <c r="D182" s="68" t="inlineStr">
        <is>
          <t>01</t>
        </is>
      </c>
      <c r="E182" s="68" t="inlineStr">
        <is>
          <t>6 物业施工费</t>
        </is>
      </c>
      <c r="F182" s="68" t="inlineStr">
        <is>
          <t>6.1 总承包工程</t>
        </is>
      </c>
      <c r="G182" s="68" t="inlineStr">
        <is>
          <t>6.1.1 内部装修工程</t>
        </is>
      </c>
      <c r="H182" s="68" t="inlineStr">
        <is>
          <t>大堂墙面基层和装饰层（不含卫生间及楼梯）</t>
        </is>
      </c>
      <c r="I182" s="69" t="inlineStr">
        <is>
          <t>1000021683</t>
        </is>
      </c>
      <c r="J182" s="69" t="inlineStr">
        <is>
          <t>墙面小黄砖50*50mm（琛雄）</t>
        </is>
      </c>
      <c r="K182" s="70" t="n"/>
      <c r="L182" s="70" t="n"/>
      <c r="M182" s="71" t="inlineStr">
        <is>
          <t>m2</t>
        </is>
      </c>
      <c r="N182" s="72" t="n">
        <v>241.44</v>
      </c>
      <c r="O182" s="72">
        <f>ROUND(N182*(1+$F$10),2)</f>
        <v/>
      </c>
      <c r="P182" s="73">
        <f>ROUND(K182*N182,2)</f>
        <v/>
      </c>
      <c r="Q182" s="74">
        <f>ROUND(L182*N182,2)</f>
        <v/>
      </c>
      <c r="R182" s="75" t="n"/>
      <c r="S182" s="76" t="n"/>
      <c r="T182" s="77">
        <f>K182-L182</f>
        <v/>
      </c>
      <c r="U182" s="77">
        <f>P182-Q182</f>
        <v/>
      </c>
      <c r="V182" s="77">
        <f>ABS(U182)</f>
        <v/>
      </c>
      <c r="W182" s="78">
        <f>T182/L182</f>
        <v/>
      </c>
      <c r="X182" s="79">
        <f>ABS(W182)</f>
        <v/>
      </c>
      <c r="AG182" s="80" t="inlineStr">
        <is>
          <t>叠层墙面积</t>
        </is>
      </c>
    </row>
    <row r="183" ht="11.4" customHeight="1">
      <c r="A183" s="67" t="inlineStr">
        <is>
          <t>57</t>
        </is>
      </c>
      <c r="B183" s="67" t="inlineStr">
        <is>
          <t>1055</t>
        </is>
      </c>
      <c r="C183" s="67" t="inlineStr">
        <is>
          <t>1611</t>
        </is>
      </c>
      <c r="D183" s="68" t="inlineStr">
        <is>
          <t>01</t>
        </is>
      </c>
      <c r="E183" s="68" t="inlineStr">
        <is>
          <t>6 物业施工费</t>
        </is>
      </c>
      <c r="F183" s="68" t="inlineStr">
        <is>
          <t>6.1 总承包工程</t>
        </is>
      </c>
      <c r="G183" s="68" t="inlineStr">
        <is>
          <t>6.1.1 内部装修工程</t>
        </is>
      </c>
      <c r="H183" s="68" t="inlineStr">
        <is>
          <t>大堂墙面基层和装饰层（不含卫生间及楼梯）</t>
        </is>
      </c>
      <c r="I183" s="69" t="inlineStr">
        <is>
          <t>1000021684</t>
        </is>
      </c>
      <c r="J183" s="69" t="inlineStr">
        <is>
          <t>墙面灰色砖50*50mm（琛雄）</t>
        </is>
      </c>
      <c r="K183" s="70" t="n"/>
      <c r="L183" s="70" t="n"/>
      <c r="M183" s="71" t="inlineStr">
        <is>
          <t>m2</t>
        </is>
      </c>
      <c r="N183" s="72" t="n">
        <v>224.5</v>
      </c>
      <c r="O183" s="72">
        <f>ROUND(N183*(1+$F$10),2)</f>
        <v/>
      </c>
      <c r="P183" s="73">
        <f>ROUND(K183*N183,2)</f>
        <v/>
      </c>
      <c r="Q183" s="74">
        <f>ROUND(L183*N183,2)</f>
        <v/>
      </c>
      <c r="R183" s="75" t="n"/>
      <c r="S183" s="76" t="n"/>
      <c r="T183" s="77">
        <f>K183-L183</f>
        <v/>
      </c>
      <c r="U183" s="77">
        <f>P183-Q183</f>
        <v/>
      </c>
      <c r="V183" s="77">
        <f>ABS(U183)</f>
        <v/>
      </c>
      <c r="W183" s="78">
        <f>T183/L183</f>
        <v/>
      </c>
      <c r="X183" s="79">
        <f>ABS(W183)</f>
        <v/>
      </c>
      <c r="AG183" s="80" t="inlineStr">
        <is>
          <t>叠层墙面积</t>
        </is>
      </c>
    </row>
    <row r="184" ht="11.4" customHeight="1">
      <c r="A184" s="67" t="inlineStr">
        <is>
          <t>57</t>
        </is>
      </c>
      <c r="B184" s="67" t="inlineStr">
        <is>
          <t>1055</t>
        </is>
      </c>
      <c r="C184" s="67" t="inlineStr">
        <is>
          <t>1611</t>
        </is>
      </c>
      <c r="D184" s="68" t="inlineStr">
        <is>
          <t>01</t>
        </is>
      </c>
      <c r="E184" s="68" t="inlineStr">
        <is>
          <t>6 物业施工费</t>
        </is>
      </c>
      <c r="F184" s="68" t="inlineStr">
        <is>
          <t>6.1 总承包工程</t>
        </is>
      </c>
      <c r="G184" s="68" t="inlineStr">
        <is>
          <t>6.1.1 内部装修工程</t>
        </is>
      </c>
      <c r="H184" s="68" t="inlineStr">
        <is>
          <t>大堂墙面基层和装饰层（不含卫生间及楼梯）</t>
        </is>
      </c>
      <c r="I184" s="69" t="inlineStr">
        <is>
          <t>1000021471</t>
        </is>
      </c>
      <c r="J184" s="69" t="inlineStr">
        <is>
          <t>墙面小白砖50*50mm（共荣）</t>
        </is>
      </c>
      <c r="K184" s="70" t="n"/>
      <c r="L184" s="70" t="n"/>
      <c r="M184" s="71" t="inlineStr">
        <is>
          <t>m2</t>
        </is>
      </c>
      <c r="N184" s="72" t="n">
        <v>195.76</v>
      </c>
      <c r="O184" s="72">
        <f>ROUND(N184*(1+$F$10),2)</f>
        <v/>
      </c>
      <c r="P184" s="73">
        <f>ROUND(K184*N184,2)</f>
        <v/>
      </c>
      <c r="Q184" s="74">
        <f>ROUND(L184*N184,2)</f>
        <v/>
      </c>
      <c r="R184" s="75" t="n"/>
      <c r="S184" s="76" t="n"/>
      <c r="T184" s="77">
        <f>K184-L184</f>
        <v/>
      </c>
      <c r="U184" s="77">
        <f>P184-Q184</f>
        <v/>
      </c>
      <c r="V184" s="77">
        <f>ABS(U184)</f>
        <v/>
      </c>
      <c r="W184" s="78">
        <f>T184/L184</f>
        <v/>
      </c>
      <c r="X184" s="79">
        <f>ABS(W184)</f>
        <v/>
      </c>
      <c r="AG184" s="80" t="inlineStr">
        <is>
          <t>叠层墙面积</t>
        </is>
      </c>
    </row>
    <row r="185" ht="11.4" customHeight="1">
      <c r="A185" s="67" t="inlineStr">
        <is>
          <t>57</t>
        </is>
      </c>
      <c r="B185" s="67" t="inlineStr">
        <is>
          <t>1055</t>
        </is>
      </c>
      <c r="C185" s="67" t="inlineStr">
        <is>
          <t>1611</t>
        </is>
      </c>
      <c r="D185" s="68" t="inlineStr">
        <is>
          <t>01</t>
        </is>
      </c>
      <c r="E185" s="68" t="inlineStr">
        <is>
          <t>6 物业施工费</t>
        </is>
      </c>
      <c r="F185" s="68" t="inlineStr">
        <is>
          <t>6.1 总承包工程</t>
        </is>
      </c>
      <c r="G185" s="68" t="inlineStr">
        <is>
          <t>6.1.1 内部装修工程</t>
        </is>
      </c>
      <c r="H185" s="68" t="inlineStr">
        <is>
          <t>大堂墙面基层和装饰层（不含卫生间及楼梯）</t>
        </is>
      </c>
      <c r="I185" s="69" t="inlineStr">
        <is>
          <t>1000021472</t>
        </is>
      </c>
      <c r="J185" s="69" t="inlineStr">
        <is>
          <t>墙面小黄砖50*50mm（共荣）</t>
        </is>
      </c>
      <c r="K185" s="70" t="n"/>
      <c r="L185" s="70" t="n"/>
      <c r="M185" s="71" t="inlineStr">
        <is>
          <t>m2</t>
        </is>
      </c>
      <c r="N185" s="72" t="n">
        <v>223.29</v>
      </c>
      <c r="O185" s="72">
        <f>ROUND(N185*(1+$F$10),2)</f>
        <v/>
      </c>
      <c r="P185" s="73">
        <f>ROUND(K185*N185,2)</f>
        <v/>
      </c>
      <c r="Q185" s="74">
        <f>ROUND(L185*N185,2)</f>
        <v/>
      </c>
      <c r="R185" s="75" t="n"/>
      <c r="S185" s="76" t="n"/>
      <c r="T185" s="77">
        <f>K185-L185</f>
        <v/>
      </c>
      <c r="U185" s="77">
        <f>P185-Q185</f>
        <v/>
      </c>
      <c r="V185" s="77">
        <f>ABS(U185)</f>
        <v/>
      </c>
      <c r="W185" s="78">
        <f>T185/L185</f>
        <v/>
      </c>
      <c r="X185" s="79">
        <f>ABS(W185)</f>
        <v/>
      </c>
      <c r="AG185" s="80" t="inlineStr">
        <is>
          <t>叠层墙面积</t>
        </is>
      </c>
    </row>
    <row r="186" ht="11.4" customHeight="1">
      <c r="A186" s="67" t="inlineStr">
        <is>
          <t>57</t>
        </is>
      </c>
      <c r="B186" s="67" t="inlineStr">
        <is>
          <t>1055</t>
        </is>
      </c>
      <c r="C186" s="67" t="inlineStr">
        <is>
          <t>1611</t>
        </is>
      </c>
      <c r="D186" s="68" t="inlineStr">
        <is>
          <t>01</t>
        </is>
      </c>
      <c r="E186" s="68" t="inlineStr">
        <is>
          <t>6 物业施工费</t>
        </is>
      </c>
      <c r="F186" s="68" t="inlineStr">
        <is>
          <t>6.1 总承包工程</t>
        </is>
      </c>
      <c r="G186" s="68" t="inlineStr">
        <is>
          <t>6.1.1 内部装修工程</t>
        </is>
      </c>
      <c r="H186" s="68" t="inlineStr">
        <is>
          <t>大堂墙面基层和装饰层（不含卫生间及楼梯）</t>
        </is>
      </c>
      <c r="I186" s="69" t="inlineStr">
        <is>
          <t>1000021473</t>
        </is>
      </c>
      <c r="J186" s="69" t="inlineStr">
        <is>
          <t>墙面灰色砖50*50mm（共荣）</t>
        </is>
      </c>
      <c r="K186" s="70" t="n"/>
      <c r="L186" s="70" t="n"/>
      <c r="M186" s="71" t="inlineStr">
        <is>
          <t>m2</t>
        </is>
      </c>
      <c r="N186" s="72" t="n">
        <v>195.76</v>
      </c>
      <c r="O186" s="72">
        <f>ROUND(N186*(1+$F$10),2)</f>
        <v/>
      </c>
      <c r="P186" s="73">
        <f>ROUND(K186*N186,2)</f>
        <v/>
      </c>
      <c r="Q186" s="74">
        <f>ROUND(L186*N186,2)</f>
        <v/>
      </c>
      <c r="R186" s="75" t="n"/>
      <c r="S186" s="76" t="n"/>
      <c r="T186" s="77">
        <f>K186-L186</f>
        <v/>
      </c>
      <c r="U186" s="77">
        <f>P186-Q186</f>
        <v/>
      </c>
      <c r="V186" s="77">
        <f>ABS(U186)</f>
        <v/>
      </c>
      <c r="W186" s="78">
        <f>T186/L186</f>
        <v/>
      </c>
      <c r="X186" s="79">
        <f>ABS(W186)</f>
        <v/>
      </c>
      <c r="AG186" s="80" t="inlineStr">
        <is>
          <t>叠层墙面积</t>
        </is>
      </c>
    </row>
    <row r="187" ht="11.4" customHeight="1">
      <c r="A187" s="67" t="inlineStr">
        <is>
          <t>57</t>
        </is>
      </c>
      <c r="B187" s="67" t="inlineStr">
        <is>
          <t>1055</t>
        </is>
      </c>
      <c r="C187" s="67" t="inlineStr">
        <is>
          <t>1611</t>
        </is>
      </c>
      <c r="D187" s="68" t="inlineStr">
        <is>
          <t>01</t>
        </is>
      </c>
      <c r="E187" s="68" t="inlineStr">
        <is>
          <t>6 物业施工费</t>
        </is>
      </c>
      <c r="F187" s="68" t="inlineStr">
        <is>
          <t>6.1 总承包工程</t>
        </is>
      </c>
      <c r="G187" s="68" t="inlineStr">
        <is>
          <t>6.1.1 内部装修工程</t>
        </is>
      </c>
      <c r="H187" s="68" t="inlineStr">
        <is>
          <t>大堂墙面基层和装饰层（不含卫生间及楼梯）</t>
        </is>
      </c>
      <c r="I187" s="69" t="inlineStr">
        <is>
          <t>1000021685</t>
        </is>
      </c>
      <c r="J187" s="69" t="inlineStr">
        <is>
          <t>墙面小白砖50*50mm（冠军）</t>
        </is>
      </c>
      <c r="K187" s="70" t="n"/>
      <c r="L187" s="70" t="n"/>
      <c r="M187" s="71" t="inlineStr">
        <is>
          <t>m2</t>
        </is>
      </c>
      <c r="N187" s="72" t="n">
        <v>214.82</v>
      </c>
      <c r="O187" s="72">
        <f>ROUND(N187*(1+$F$10),2)</f>
        <v/>
      </c>
      <c r="P187" s="73">
        <f>ROUND(K187*N187,2)</f>
        <v/>
      </c>
      <c r="Q187" s="74">
        <f>ROUND(L187*N187,2)</f>
        <v/>
      </c>
      <c r="R187" s="75" t="n"/>
      <c r="S187" s="76" t="n"/>
      <c r="T187" s="77">
        <f>K187-L187</f>
        <v/>
      </c>
      <c r="U187" s="77">
        <f>P187-Q187</f>
        <v/>
      </c>
      <c r="V187" s="77">
        <f>ABS(U187)</f>
        <v/>
      </c>
      <c r="W187" s="78">
        <f>T187/L187</f>
        <v/>
      </c>
      <c r="X187" s="79">
        <f>ABS(W187)</f>
        <v/>
      </c>
      <c r="AG187" s="80" t="inlineStr">
        <is>
          <t>叠层墙面积</t>
        </is>
      </c>
    </row>
    <row r="188" ht="11.4" customHeight="1">
      <c r="A188" s="67" t="inlineStr">
        <is>
          <t>57</t>
        </is>
      </c>
      <c r="B188" s="67" t="inlineStr">
        <is>
          <t>1055</t>
        </is>
      </c>
      <c r="C188" s="67" t="inlineStr">
        <is>
          <t>1611</t>
        </is>
      </c>
      <c r="D188" s="68" t="inlineStr">
        <is>
          <t>01</t>
        </is>
      </c>
      <c r="E188" s="68" t="inlineStr">
        <is>
          <t>6 物业施工费</t>
        </is>
      </c>
      <c r="F188" s="68" t="inlineStr">
        <is>
          <t>6.1 总承包工程</t>
        </is>
      </c>
      <c r="G188" s="68" t="inlineStr">
        <is>
          <t>6.1.1 内部装修工程</t>
        </is>
      </c>
      <c r="H188" s="68" t="inlineStr">
        <is>
          <t>大堂墙面基层和装饰层（不含卫生间及楼梯）</t>
        </is>
      </c>
      <c r="I188" s="69" t="inlineStr">
        <is>
          <t>1000021686</t>
        </is>
      </c>
      <c r="J188" s="69" t="inlineStr">
        <is>
          <t>墙面小黄砖50*50mm（冠军）</t>
        </is>
      </c>
      <c r="K188" s="70" t="n"/>
      <c r="L188" s="70" t="n"/>
      <c r="M188" s="71" t="inlineStr">
        <is>
          <t>m2</t>
        </is>
      </c>
      <c r="N188" s="72" t="n">
        <v>236.6</v>
      </c>
      <c r="O188" s="72">
        <f>ROUND(N188*(1+$F$10),2)</f>
        <v/>
      </c>
      <c r="P188" s="73">
        <f>ROUND(K188*N188,2)</f>
        <v/>
      </c>
      <c r="Q188" s="74">
        <f>ROUND(L188*N188,2)</f>
        <v/>
      </c>
      <c r="R188" s="75" t="n"/>
      <c r="S188" s="76" t="n"/>
      <c r="T188" s="77">
        <f>K188-L188</f>
        <v/>
      </c>
      <c r="U188" s="77">
        <f>P188-Q188</f>
        <v/>
      </c>
      <c r="V188" s="77">
        <f>ABS(U188)</f>
        <v/>
      </c>
      <c r="W188" s="78">
        <f>T188/L188</f>
        <v/>
      </c>
      <c r="X188" s="79">
        <f>ABS(W188)</f>
        <v/>
      </c>
      <c r="AG188" s="80" t="inlineStr">
        <is>
          <t>叠层墙面积</t>
        </is>
      </c>
    </row>
    <row r="189" ht="11.4" customHeight="1">
      <c r="A189" s="67" t="inlineStr">
        <is>
          <t>57</t>
        </is>
      </c>
      <c r="B189" s="67" t="inlineStr">
        <is>
          <t>1055</t>
        </is>
      </c>
      <c r="C189" s="67" t="inlineStr">
        <is>
          <t>1611</t>
        </is>
      </c>
      <c r="D189" s="68" t="inlineStr">
        <is>
          <t>01</t>
        </is>
      </c>
      <c r="E189" s="68" t="inlineStr">
        <is>
          <t>6 物业施工费</t>
        </is>
      </c>
      <c r="F189" s="68" t="inlineStr">
        <is>
          <t>6.1 总承包工程</t>
        </is>
      </c>
      <c r="G189" s="68" t="inlineStr">
        <is>
          <t>6.1.1 内部装修工程</t>
        </is>
      </c>
      <c r="H189" s="68" t="inlineStr">
        <is>
          <t>大堂墙面基层和装饰层（不含卫生间及楼梯）</t>
        </is>
      </c>
      <c r="I189" s="69" t="inlineStr">
        <is>
          <t>1000021687</t>
        </is>
      </c>
      <c r="J189" s="69" t="inlineStr">
        <is>
          <t>墙面灰色砖50*50mm（冠军）</t>
        </is>
      </c>
      <c r="K189" s="70" t="n"/>
      <c r="L189" s="70" t="n"/>
      <c r="M189" s="71" t="inlineStr">
        <is>
          <t>m2</t>
        </is>
      </c>
      <c r="N189" s="72" t="n">
        <v>224.5</v>
      </c>
      <c r="O189" s="72">
        <f>ROUND(N189*(1+$F$10),2)</f>
        <v/>
      </c>
      <c r="P189" s="73">
        <f>ROUND(K189*N189,2)</f>
        <v/>
      </c>
      <c r="Q189" s="74">
        <f>ROUND(L189*N189,2)</f>
        <v/>
      </c>
      <c r="R189" s="75" t="n"/>
      <c r="S189" s="76" t="n"/>
      <c r="T189" s="77">
        <f>K189-L189</f>
        <v/>
      </c>
      <c r="U189" s="77">
        <f>P189-Q189</f>
        <v/>
      </c>
      <c r="V189" s="77">
        <f>ABS(U189)</f>
        <v/>
      </c>
      <c r="W189" s="78">
        <f>T189/L189</f>
        <v/>
      </c>
      <c r="X189" s="79">
        <f>ABS(W189)</f>
        <v/>
      </c>
      <c r="AG189" s="80" t="inlineStr">
        <is>
          <t>叠层墙面积</t>
        </is>
      </c>
    </row>
    <row r="190" ht="11.4" customHeight="1">
      <c r="A190" s="67" t="inlineStr">
        <is>
          <t>57</t>
        </is>
      </c>
      <c r="B190" s="67" t="inlineStr">
        <is>
          <t>1055</t>
        </is>
      </c>
      <c r="C190" s="67" t="inlineStr">
        <is>
          <t>1611</t>
        </is>
      </c>
      <c r="D190" s="68" t="inlineStr">
        <is>
          <t>01</t>
        </is>
      </c>
      <c r="E190" s="68" t="inlineStr">
        <is>
          <t>6 物业施工费</t>
        </is>
      </c>
      <c r="F190" s="68" t="inlineStr">
        <is>
          <t>6.1 总承包工程</t>
        </is>
      </c>
      <c r="G190" s="68" t="inlineStr">
        <is>
          <t>6.1.1 内部装修工程</t>
        </is>
      </c>
      <c r="H190" s="68" t="inlineStr">
        <is>
          <t>大堂墙面基层和装饰层（不含卫生间及楼梯）</t>
        </is>
      </c>
      <c r="I190" s="69" t="inlineStr">
        <is>
          <t>1000021778</t>
        </is>
      </c>
      <c r="J190" s="84" t="inlineStr">
        <is>
          <t>烤漆方管装饰条</t>
        </is>
      </c>
      <c r="K190" s="70" t="n"/>
      <c r="L190" s="70" t="n"/>
      <c r="M190" s="71" t="inlineStr">
        <is>
          <t>米</t>
        </is>
      </c>
      <c r="N190" s="72" t="n">
        <v>56.04</v>
      </c>
      <c r="O190" s="72">
        <f>ROUND(N190*(1+$F$10),2)</f>
        <v/>
      </c>
      <c r="P190" s="73">
        <f>ROUND(K190*N190,2)</f>
        <v/>
      </c>
      <c r="Q190" s="74">
        <f>ROUND(L190*N190,2)</f>
        <v/>
      </c>
      <c r="R190" s="75" t="n"/>
      <c r="S190" s="76" t="n"/>
      <c r="T190" s="77">
        <f>K190-L190</f>
        <v/>
      </c>
      <c r="U190" s="77">
        <f>P190-Q190</f>
        <v/>
      </c>
      <c r="V190" s="77">
        <f>ABS(U190)</f>
        <v/>
      </c>
      <c r="W190" s="78">
        <f>T190/L190</f>
        <v/>
      </c>
      <c r="X190" s="79">
        <f>ABS(W190)</f>
        <v/>
      </c>
    </row>
    <row r="191" ht="11.4" customHeight="1">
      <c r="A191" s="67" t="inlineStr">
        <is>
          <t>57</t>
        </is>
      </c>
      <c r="B191" s="67" t="inlineStr">
        <is>
          <t>1055</t>
        </is>
      </c>
      <c r="C191" s="67" t="inlineStr">
        <is>
          <t>1611</t>
        </is>
      </c>
      <c r="D191" s="68" t="inlineStr">
        <is>
          <t>01</t>
        </is>
      </c>
      <c r="E191" s="68" t="inlineStr">
        <is>
          <t>6 物业施工费</t>
        </is>
      </c>
      <c r="F191" s="68" t="inlineStr">
        <is>
          <t>6.1 总承包工程</t>
        </is>
      </c>
      <c r="G191" s="68" t="inlineStr">
        <is>
          <t>6.1.1 内部装修工程</t>
        </is>
      </c>
      <c r="H191" s="68" t="inlineStr">
        <is>
          <t>大堂墙面基层和装饰层（不含卫生间及楼梯）</t>
        </is>
      </c>
      <c r="I191" s="69" t="inlineStr">
        <is>
          <t>1000021474</t>
        </is>
      </c>
      <c r="J191" s="69" t="inlineStr">
        <is>
          <t>墙面白色涂料（含保护清漆，可擦洗）</t>
        </is>
      </c>
      <c r="K191" s="70" t="n"/>
      <c r="L191" s="70" t="n"/>
      <c r="M191" s="71" t="inlineStr">
        <is>
          <t>m2</t>
        </is>
      </c>
      <c r="N191" s="72" t="n">
        <v>93.15000000000001</v>
      </c>
      <c r="O191" s="72">
        <f>ROUND(N191*(1+$F$10),2)</f>
        <v/>
      </c>
      <c r="P191" s="73">
        <f>ROUND(K191*N191,2)</f>
        <v/>
      </c>
      <c r="Q191" s="74">
        <f>ROUND(L191*N191,2)</f>
        <v/>
      </c>
      <c r="R191" s="75" t="n"/>
      <c r="S191" s="76" t="n"/>
      <c r="T191" s="77">
        <f>K191-L191</f>
        <v/>
      </c>
      <c r="U191" s="77">
        <f>P191-Q191</f>
        <v/>
      </c>
      <c r="V191" s="77">
        <f>ABS(U191)</f>
        <v/>
      </c>
      <c r="W191" s="78">
        <f>T191/L191</f>
        <v/>
      </c>
      <c r="X191" s="79">
        <f>ABS(W191)</f>
        <v/>
      </c>
      <c r="AG191" s="80" t="inlineStr">
        <is>
          <t>基本墙面积</t>
        </is>
      </c>
    </row>
    <row r="192" ht="11.4" customHeight="1">
      <c r="A192" s="67" t="inlineStr">
        <is>
          <t>57</t>
        </is>
      </c>
      <c r="B192" s="67" t="inlineStr">
        <is>
          <t>1055</t>
        </is>
      </c>
      <c r="C192" s="67" t="inlineStr">
        <is>
          <t>1611</t>
        </is>
      </c>
      <c r="D192" s="68" t="inlineStr">
        <is>
          <t>01</t>
        </is>
      </c>
      <c r="E192" s="68" t="inlineStr">
        <is>
          <t>6 物业施工费</t>
        </is>
      </c>
      <c r="F192" s="68" t="inlineStr">
        <is>
          <t>6.1 总承包工程</t>
        </is>
      </c>
      <c r="G192" s="68" t="inlineStr">
        <is>
          <t>6.1.1 内部装修工程</t>
        </is>
      </c>
      <c r="H192" s="68" t="inlineStr">
        <is>
          <t>大堂墙面基层和装饰层（不含卫生间及楼梯）</t>
        </is>
      </c>
      <c r="I192" s="69" t="inlineStr">
        <is>
          <t>1000021688</t>
        </is>
      </c>
      <c r="J192" s="69" t="inlineStr">
        <is>
          <t>木纹墙面砖（琛雄 ）</t>
        </is>
      </c>
      <c r="K192" s="70" t="n"/>
      <c r="L192" s="70" t="n"/>
      <c r="M192" s="71" t="inlineStr">
        <is>
          <t>m2</t>
        </is>
      </c>
      <c r="N192" s="72" t="n">
        <v>197.35</v>
      </c>
      <c r="O192" s="72">
        <f>ROUND(N192*(1+$F$10),2)</f>
        <v/>
      </c>
      <c r="P192" s="73">
        <f>ROUND(K192*N192,2)</f>
        <v/>
      </c>
      <c r="Q192" s="74">
        <f>ROUND(L192*N192,2)</f>
        <v/>
      </c>
      <c r="R192" s="75" t="n"/>
      <c r="S192" s="76" t="n"/>
      <c r="T192" s="77">
        <f>K192-L192</f>
        <v/>
      </c>
      <c r="U192" s="77">
        <f>P192-Q192</f>
        <v/>
      </c>
      <c r="V192" s="77">
        <f>ABS(U192)</f>
        <v/>
      </c>
      <c r="W192" s="78">
        <f>T192/L192</f>
        <v/>
      </c>
      <c r="X192" s="79">
        <f>ABS(W192)</f>
        <v/>
      </c>
      <c r="AG192" s="80" t="inlineStr">
        <is>
          <t>基本墙面积</t>
        </is>
      </c>
    </row>
    <row r="193" ht="11.4" customHeight="1">
      <c r="A193" s="67" t="inlineStr">
        <is>
          <t>57</t>
        </is>
      </c>
      <c r="B193" s="67" t="inlineStr">
        <is>
          <t>1055</t>
        </is>
      </c>
      <c r="C193" s="67" t="inlineStr">
        <is>
          <t>1611</t>
        </is>
      </c>
      <c r="D193" s="68" t="inlineStr">
        <is>
          <t>01</t>
        </is>
      </c>
      <c r="E193" s="68" t="inlineStr">
        <is>
          <t>6 物业施工费</t>
        </is>
      </c>
      <c r="F193" s="68" t="inlineStr">
        <is>
          <t>6.1 总承包工程</t>
        </is>
      </c>
      <c r="G193" s="68" t="inlineStr">
        <is>
          <t>6.1.1 内部装修工程</t>
        </is>
      </c>
      <c r="H193" s="68" t="inlineStr">
        <is>
          <t>大堂墙面基层和装饰层（不含卫生间及楼梯）</t>
        </is>
      </c>
      <c r="I193" s="69" t="inlineStr">
        <is>
          <t>1000021475</t>
        </is>
      </c>
      <c r="J193" s="69" t="inlineStr">
        <is>
          <t>木纹墙面砖（共荣 ）</t>
        </is>
      </c>
      <c r="K193" s="70" t="n"/>
      <c r="L193" s="70" t="n"/>
      <c r="M193" s="71" t="inlineStr">
        <is>
          <t>m2</t>
        </is>
      </c>
      <c r="N193" s="72" t="n">
        <v>189.53</v>
      </c>
      <c r="O193" s="72">
        <f>ROUND(N193*(1+$F$10),2)</f>
        <v/>
      </c>
      <c r="P193" s="73">
        <f>ROUND(K193*N193,2)</f>
        <v/>
      </c>
      <c r="Q193" s="74">
        <f>ROUND(L193*N193,2)</f>
        <v/>
      </c>
      <c r="R193" s="75" t="n"/>
      <c r="S193" s="76" t="n"/>
      <c r="T193" s="77">
        <f>K193-L193</f>
        <v/>
      </c>
      <c r="U193" s="77">
        <f>P193-Q193</f>
        <v/>
      </c>
      <c r="V193" s="77">
        <f>ABS(U193)</f>
        <v/>
      </c>
      <c r="W193" s="78">
        <f>T193/L193</f>
        <v/>
      </c>
      <c r="X193" s="79">
        <f>ABS(W193)</f>
        <v/>
      </c>
      <c r="AG193" s="80" t="inlineStr">
        <is>
          <t>基本墙面积</t>
        </is>
      </c>
    </row>
    <row r="194" ht="11.4" customHeight="1">
      <c r="A194" s="67" t="inlineStr">
        <is>
          <t>57</t>
        </is>
      </c>
      <c r="B194" s="67" t="inlineStr">
        <is>
          <t>1055</t>
        </is>
      </c>
      <c r="C194" s="67" t="inlineStr">
        <is>
          <t>1611</t>
        </is>
      </c>
      <c r="D194" s="68" t="inlineStr">
        <is>
          <t>01</t>
        </is>
      </c>
      <c r="E194" s="68" t="inlineStr">
        <is>
          <t>6 物业施工费</t>
        </is>
      </c>
      <c r="F194" s="68" t="inlineStr">
        <is>
          <t>6.1 总承包工程</t>
        </is>
      </c>
      <c r="G194" s="68" t="inlineStr">
        <is>
          <t>6.1.1 内部装修工程</t>
        </is>
      </c>
      <c r="H194" s="68" t="inlineStr">
        <is>
          <t>大堂墙面基层和装饰层（不含卫生间及楼梯）</t>
        </is>
      </c>
      <c r="I194" s="69" t="inlineStr">
        <is>
          <t>1000021689</t>
        </is>
      </c>
      <c r="J194" s="69" t="inlineStr">
        <is>
          <t>木纹墙面砖（冠军 ）</t>
        </is>
      </c>
      <c r="K194" s="70" t="n"/>
      <c r="L194" s="70" t="n"/>
      <c r="M194" s="71" t="inlineStr">
        <is>
          <t>m2</t>
        </is>
      </c>
      <c r="N194" s="72" t="n">
        <v>200.98</v>
      </c>
      <c r="O194" s="72">
        <f>ROUND(N194*(1+$F$10),2)</f>
        <v/>
      </c>
      <c r="P194" s="73">
        <f>ROUND(K194*N194,2)</f>
        <v/>
      </c>
      <c r="Q194" s="74">
        <f>ROUND(L194*N194,2)</f>
        <v/>
      </c>
      <c r="R194" s="75" t="n"/>
      <c r="S194" s="76" t="n"/>
      <c r="T194" s="77">
        <f>K194-L194</f>
        <v/>
      </c>
      <c r="U194" s="77">
        <f>P194-Q194</f>
        <v/>
      </c>
      <c r="V194" s="77">
        <f>ABS(U194)</f>
        <v/>
      </c>
      <c r="W194" s="78">
        <f>T194/L194</f>
        <v/>
      </c>
      <c r="X194" s="79">
        <f>ABS(W194)</f>
        <v/>
      </c>
      <c r="AG194" s="80" t="inlineStr">
        <is>
          <t>基本墙面积</t>
        </is>
      </c>
    </row>
    <row r="195" ht="11.4" customHeight="1">
      <c r="A195" s="67" t="inlineStr">
        <is>
          <t>57</t>
        </is>
      </c>
      <c r="B195" s="67" t="inlineStr">
        <is>
          <t>1055</t>
        </is>
      </c>
      <c r="C195" s="67" t="inlineStr">
        <is>
          <t>1611</t>
        </is>
      </c>
      <c r="D195" s="68" t="inlineStr">
        <is>
          <t>01</t>
        </is>
      </c>
      <c r="E195" s="68" t="inlineStr">
        <is>
          <t>6 物业施工费</t>
        </is>
      </c>
      <c r="F195" s="68" t="inlineStr">
        <is>
          <t>6.1 总承包工程</t>
        </is>
      </c>
      <c r="G195" s="68" t="inlineStr">
        <is>
          <t>6.1.1 内部装修工程</t>
        </is>
      </c>
      <c r="H195" s="68" t="inlineStr">
        <is>
          <t>大堂墙面基层和装饰层（不含卫生间及楼梯）</t>
        </is>
      </c>
      <c r="I195" s="69" t="inlineStr">
        <is>
          <t>1000021476</t>
        </is>
      </c>
      <c r="J195" s="69" t="inlineStr">
        <is>
          <t>仿水磨石墙面砖（琛雄）</t>
        </is>
      </c>
      <c r="K195" s="70" t="n"/>
      <c r="L195" s="70" t="n"/>
      <c r="M195" s="71" t="inlineStr">
        <is>
          <t>m2</t>
        </is>
      </c>
      <c r="N195" s="72" t="n">
        <v>187.67</v>
      </c>
      <c r="O195" s="72">
        <f>ROUND(N195*(1+$F$10),2)</f>
        <v/>
      </c>
      <c r="P195" s="73">
        <f>ROUND(K195*N195,2)</f>
        <v/>
      </c>
      <c r="Q195" s="74">
        <f>ROUND(L195*N195,2)</f>
        <v/>
      </c>
      <c r="R195" s="75" t="n"/>
      <c r="S195" s="76" t="n"/>
      <c r="T195" s="77">
        <f>K195-L195</f>
        <v/>
      </c>
      <c r="U195" s="77">
        <f>P195-Q195</f>
        <v/>
      </c>
      <c r="V195" s="77">
        <f>ABS(U195)</f>
        <v/>
      </c>
      <c r="W195" s="78">
        <f>T195/L195</f>
        <v/>
      </c>
      <c r="X195" s="79">
        <f>ABS(W195)</f>
        <v/>
      </c>
      <c r="AG195" s="80" t="inlineStr">
        <is>
          <t>基本墙面积</t>
        </is>
      </c>
    </row>
    <row r="196" ht="11.4" customHeight="1">
      <c r="A196" s="67" t="inlineStr">
        <is>
          <t>57</t>
        </is>
      </c>
      <c r="B196" s="67" t="inlineStr">
        <is>
          <t>1055</t>
        </is>
      </c>
      <c r="C196" s="67" t="inlineStr">
        <is>
          <t>1611</t>
        </is>
      </c>
      <c r="D196" s="68" t="inlineStr">
        <is>
          <t>01</t>
        </is>
      </c>
      <c r="E196" s="68" t="inlineStr">
        <is>
          <t>6 物业施工费</t>
        </is>
      </c>
      <c r="F196" s="68" t="inlineStr">
        <is>
          <t>6.1 总承包工程</t>
        </is>
      </c>
      <c r="G196" s="68" t="inlineStr">
        <is>
          <t>6.1.1 内部装修工程</t>
        </is>
      </c>
      <c r="H196" s="68" t="inlineStr">
        <is>
          <t>大堂墙面基层和装饰层（不含卫生间及楼梯）</t>
        </is>
      </c>
      <c r="I196" s="69" t="inlineStr">
        <is>
          <t>1000021690</t>
        </is>
      </c>
      <c r="J196" s="69" t="inlineStr">
        <is>
          <t>仿水磨石墙面砖（共荣）</t>
        </is>
      </c>
      <c r="K196" s="70" t="n"/>
      <c r="L196" s="70" t="n"/>
      <c r="M196" s="71" t="inlineStr">
        <is>
          <t>m2</t>
        </is>
      </c>
      <c r="N196" s="72" t="n">
        <v>187.67</v>
      </c>
      <c r="O196" s="72">
        <f>ROUND(N196*(1+$F$10),2)</f>
        <v/>
      </c>
      <c r="P196" s="73">
        <f>ROUND(K196*N196,2)</f>
        <v/>
      </c>
      <c r="Q196" s="74">
        <f>ROUND(L196*N196,2)</f>
        <v/>
      </c>
      <c r="R196" s="75" t="n"/>
      <c r="S196" s="76" t="n"/>
      <c r="T196" s="77">
        <f>K196-L196</f>
        <v/>
      </c>
      <c r="U196" s="77">
        <f>P196-Q196</f>
        <v/>
      </c>
      <c r="V196" s="77">
        <f>ABS(U196)</f>
        <v/>
      </c>
      <c r="W196" s="78">
        <f>T196/L196</f>
        <v/>
      </c>
      <c r="X196" s="79">
        <f>ABS(W196)</f>
        <v/>
      </c>
      <c r="AG196" s="80" t="inlineStr">
        <is>
          <t>基本墙面积</t>
        </is>
      </c>
    </row>
    <row r="197" ht="11.4" customHeight="1">
      <c r="A197" s="67" t="inlineStr">
        <is>
          <t>57</t>
        </is>
      </c>
      <c r="B197" s="67" t="inlineStr">
        <is>
          <t>1055</t>
        </is>
      </c>
      <c r="C197" s="67" t="inlineStr">
        <is>
          <t>1611</t>
        </is>
      </c>
      <c r="D197" s="68" t="inlineStr">
        <is>
          <t>01</t>
        </is>
      </c>
      <c r="E197" s="68" t="inlineStr">
        <is>
          <t>6 物业施工费</t>
        </is>
      </c>
      <c r="F197" s="68" t="inlineStr">
        <is>
          <t>6.1 总承包工程</t>
        </is>
      </c>
      <c r="G197" s="68" t="inlineStr">
        <is>
          <t>6.1.1 内部装修工程</t>
        </is>
      </c>
      <c r="H197" s="68" t="inlineStr">
        <is>
          <t>大堂墙面基层和装饰层（不含卫生间及楼梯）</t>
        </is>
      </c>
      <c r="I197" s="69" t="inlineStr">
        <is>
          <t>1000021691</t>
        </is>
      </c>
      <c r="J197" s="69" t="inlineStr">
        <is>
          <t>仿水磨石墙面砖（冠军）</t>
        </is>
      </c>
      <c r="K197" s="70" t="n">
        <v>33.2</v>
      </c>
      <c r="L197" s="70" t="n">
        <v>33.39</v>
      </c>
      <c r="M197" s="71" t="inlineStr">
        <is>
          <t>m2</t>
        </is>
      </c>
      <c r="N197" s="72" t="n">
        <v>187.67</v>
      </c>
      <c r="O197" s="72">
        <f>ROUND(N197*(1+$F$10),2)</f>
        <v/>
      </c>
      <c r="P197" s="73">
        <f>ROUND(K197*N197,2)</f>
        <v/>
      </c>
      <c r="Q197" s="74">
        <f>ROUND(L197*N197,2)</f>
        <v/>
      </c>
      <c r="R197" s="75" t="n"/>
      <c r="S197" s="76" t="n"/>
      <c r="T197" s="77">
        <f>K197-L197</f>
        <v/>
      </c>
      <c r="U197" s="77">
        <f>P197-Q197</f>
        <v/>
      </c>
      <c r="V197" s="77">
        <f>ABS(U197)</f>
        <v/>
      </c>
      <c r="W197" s="78">
        <f>T197/L197</f>
        <v/>
      </c>
      <c r="X197" s="79">
        <f>ABS(W197)</f>
        <v/>
      </c>
      <c r="AG197" s="80" t="inlineStr">
        <is>
          <t>基本墙面积</t>
        </is>
      </c>
    </row>
    <row r="198" ht="11.4" customHeight="1">
      <c r="A198" s="67" t="inlineStr">
        <is>
          <t>57</t>
        </is>
      </c>
      <c r="B198" s="67" t="inlineStr">
        <is>
          <t>1055</t>
        </is>
      </c>
      <c r="C198" s="67" t="inlineStr">
        <is>
          <t>1611</t>
        </is>
      </c>
      <c r="D198" s="68" t="inlineStr">
        <is>
          <t>01</t>
        </is>
      </c>
      <c r="E198" s="68" t="inlineStr">
        <is>
          <t>6 物业施工费</t>
        </is>
      </c>
      <c r="F198" s="68" t="inlineStr">
        <is>
          <t>6.1 总承包工程</t>
        </is>
      </c>
      <c r="G198" s="68" t="inlineStr">
        <is>
          <t>6.1.1 内部装修工程</t>
        </is>
      </c>
      <c r="H198" s="68" t="inlineStr">
        <is>
          <t>大堂墙面基层和装饰层（不含卫生间及楼梯）</t>
        </is>
      </c>
      <c r="I198" s="69" t="inlineStr">
        <is>
          <t>1000021477</t>
        </is>
      </c>
      <c r="J198" s="69" t="inlineStr">
        <is>
          <t>200*200mm墙面粉白砖（琛雄）</t>
        </is>
      </c>
      <c r="K198" s="70" t="n"/>
      <c r="L198" s="70" t="n"/>
      <c r="M198" s="71" t="inlineStr">
        <is>
          <t>m2</t>
        </is>
      </c>
      <c r="N198" s="72" t="n">
        <v>127.13</v>
      </c>
      <c r="O198" s="72">
        <f>ROUND(N198*(1+$F$10),2)</f>
        <v/>
      </c>
      <c r="P198" s="73">
        <f>ROUND(K198*N198,2)</f>
        <v/>
      </c>
      <c r="Q198" s="74">
        <f>ROUND(L198*N198,2)</f>
        <v/>
      </c>
      <c r="R198" s="75" t="n"/>
      <c r="S198" s="76" t="n"/>
      <c r="T198" s="77">
        <f>K198-L198</f>
        <v/>
      </c>
      <c r="U198" s="77">
        <f>P198-Q198</f>
        <v/>
      </c>
      <c r="V198" s="77">
        <f>ABS(U198)</f>
        <v/>
      </c>
      <c r="W198" s="78">
        <f>T198/L198</f>
        <v/>
      </c>
      <c r="X198" s="79">
        <f>ABS(W198)</f>
        <v/>
      </c>
      <c r="AG198" s="80" t="inlineStr">
        <is>
          <t>基本墙面积</t>
        </is>
      </c>
    </row>
    <row r="199" ht="11.4" customHeight="1">
      <c r="A199" s="67" t="inlineStr">
        <is>
          <t>57</t>
        </is>
      </c>
      <c r="B199" s="67" t="inlineStr">
        <is>
          <t>1055</t>
        </is>
      </c>
      <c r="C199" s="67" t="inlineStr">
        <is>
          <t>1611</t>
        </is>
      </c>
      <c r="D199" s="68" t="inlineStr">
        <is>
          <t>01</t>
        </is>
      </c>
      <c r="E199" s="68" t="inlineStr">
        <is>
          <t>6 物业施工费</t>
        </is>
      </c>
      <c r="F199" s="68" t="inlineStr">
        <is>
          <t>6.1 总承包工程</t>
        </is>
      </c>
      <c r="G199" s="68" t="inlineStr">
        <is>
          <t>6.1.1 内部装修工程</t>
        </is>
      </c>
      <c r="H199" s="68" t="inlineStr">
        <is>
          <t>大堂墙面基层和装饰层（不含卫生间及楼梯）</t>
        </is>
      </c>
      <c r="I199" s="69" t="inlineStr">
        <is>
          <t>1000021692</t>
        </is>
      </c>
      <c r="J199" s="69" t="inlineStr">
        <is>
          <t>200*200mm墙面粉白砖（共荣）</t>
        </is>
      </c>
      <c r="K199" s="70" t="n"/>
      <c r="L199" s="70" t="n"/>
      <c r="M199" s="71" t="inlineStr">
        <is>
          <t>m2</t>
        </is>
      </c>
      <c r="N199" s="72" t="n">
        <v>115.53</v>
      </c>
      <c r="O199" s="72">
        <f>ROUND(N199*(1+$F$10),2)</f>
        <v/>
      </c>
      <c r="P199" s="73">
        <f>ROUND(K199*N199,2)</f>
        <v/>
      </c>
      <c r="Q199" s="74">
        <f>ROUND(L199*N199,2)</f>
        <v/>
      </c>
      <c r="R199" s="75" t="n"/>
      <c r="S199" s="76" t="n"/>
      <c r="T199" s="77">
        <f>K199-L199</f>
        <v/>
      </c>
      <c r="U199" s="77">
        <f>P199-Q199</f>
        <v/>
      </c>
      <c r="V199" s="77">
        <f>ABS(U199)</f>
        <v/>
      </c>
      <c r="W199" s="78">
        <f>T199/L199</f>
        <v/>
      </c>
      <c r="X199" s="79">
        <f>ABS(W199)</f>
        <v/>
      </c>
      <c r="AG199" s="80" t="inlineStr">
        <is>
          <t>基本墙面积</t>
        </is>
      </c>
    </row>
    <row r="200" ht="11.4" customHeight="1">
      <c r="A200" s="67" t="inlineStr">
        <is>
          <t>57</t>
        </is>
      </c>
      <c r="B200" s="67" t="inlineStr">
        <is>
          <t>1055</t>
        </is>
      </c>
      <c r="C200" s="67" t="inlineStr">
        <is>
          <t>1611</t>
        </is>
      </c>
      <c r="D200" s="68" t="inlineStr">
        <is>
          <t>01</t>
        </is>
      </c>
      <c r="E200" s="68" t="inlineStr">
        <is>
          <t>6 物业施工费</t>
        </is>
      </c>
      <c r="F200" s="68" t="inlineStr">
        <is>
          <t>6.1 总承包工程</t>
        </is>
      </c>
      <c r="G200" s="68" t="inlineStr">
        <is>
          <t>6.1.1 内部装修工程</t>
        </is>
      </c>
      <c r="H200" s="68" t="inlineStr">
        <is>
          <t>大堂墙面基层和装饰层（不含卫生间及楼梯）</t>
        </is>
      </c>
      <c r="I200" s="69" t="inlineStr">
        <is>
          <t>1000021693</t>
        </is>
      </c>
      <c r="J200" s="69" t="inlineStr">
        <is>
          <t>200*200mm墙面粉白砖（冠军）</t>
        </is>
      </c>
      <c r="K200" s="70" t="n"/>
      <c r="L200" s="70" t="n"/>
      <c r="M200" s="71" t="inlineStr">
        <is>
          <t>m2</t>
        </is>
      </c>
      <c r="N200" s="72" t="n">
        <v>131.37</v>
      </c>
      <c r="O200" s="72">
        <f>ROUND(N200*(1+$F$10),2)</f>
        <v/>
      </c>
      <c r="P200" s="73">
        <f>ROUND(K200*N200,2)</f>
        <v/>
      </c>
      <c r="Q200" s="74">
        <f>ROUND(L200*N200,2)</f>
        <v/>
      </c>
      <c r="R200" s="75" t="n"/>
      <c r="S200" s="76" t="n"/>
      <c r="T200" s="77">
        <f>K200-L200</f>
        <v/>
      </c>
      <c r="U200" s="77">
        <f>P200-Q200</f>
        <v/>
      </c>
      <c r="V200" s="77">
        <f>ABS(U200)</f>
        <v/>
      </c>
      <c r="W200" s="78">
        <f>T200/L200</f>
        <v/>
      </c>
      <c r="X200" s="79">
        <f>ABS(W200)</f>
        <v/>
      </c>
      <c r="AG200" s="80" t="inlineStr">
        <is>
          <t>基本墙面积</t>
        </is>
      </c>
    </row>
    <row r="201" ht="11.4" customHeight="1">
      <c r="A201" s="67" t="inlineStr">
        <is>
          <t>57</t>
        </is>
      </c>
      <c r="B201" s="67" t="inlineStr">
        <is>
          <t>1055</t>
        </is>
      </c>
      <c r="C201" s="67" t="inlineStr">
        <is>
          <t>1611</t>
        </is>
      </c>
      <c r="D201" s="68" t="inlineStr">
        <is>
          <t>01</t>
        </is>
      </c>
      <c r="E201" s="68" t="inlineStr">
        <is>
          <t>6 物业施工费</t>
        </is>
      </c>
      <c r="F201" s="68" t="inlineStr">
        <is>
          <t>6.1 总承包工程</t>
        </is>
      </c>
      <c r="G201" s="68" t="inlineStr">
        <is>
          <t>6.1.1 内部装修工程</t>
        </is>
      </c>
      <c r="H201" s="68" t="inlineStr">
        <is>
          <t>大堂墙面基层和装饰层（不含卫生间及楼梯）</t>
        </is>
      </c>
      <c r="I201" s="69" t="inlineStr">
        <is>
          <t>1000021694</t>
        </is>
      </c>
      <c r="J201" s="69" t="inlineStr">
        <is>
          <t>150*150mm墙面粉白砖（琛雄,Geometry）</t>
        </is>
      </c>
      <c r="K201" s="70" t="n"/>
      <c r="L201" s="70" t="n"/>
      <c r="M201" s="71" t="inlineStr">
        <is>
          <t>m2</t>
        </is>
      </c>
      <c r="N201" s="72" t="n">
        <v>139.83</v>
      </c>
      <c r="O201" s="72">
        <f>ROUND(N201*(1+$F$10),2)</f>
        <v/>
      </c>
      <c r="P201" s="73">
        <f>ROUND(K201*N201,2)</f>
        <v/>
      </c>
      <c r="Q201" s="74">
        <f>ROUND(L201*N201,2)</f>
        <v/>
      </c>
      <c r="R201" s="75" t="n"/>
      <c r="S201" s="76" t="n"/>
      <c r="T201" s="77">
        <f>K201-L201</f>
        <v/>
      </c>
      <c r="U201" s="77">
        <f>P201-Q201</f>
        <v/>
      </c>
      <c r="V201" s="77">
        <f>ABS(U201)</f>
        <v/>
      </c>
      <c r="W201" s="78">
        <f>T201/L201</f>
        <v/>
      </c>
      <c r="X201" s="79">
        <f>ABS(W201)</f>
        <v/>
      </c>
      <c r="AG201" s="80" t="inlineStr">
        <is>
          <t>基本墙面积</t>
        </is>
      </c>
    </row>
    <row r="202" ht="11.4" customHeight="1">
      <c r="A202" s="67" t="inlineStr">
        <is>
          <t>57</t>
        </is>
      </c>
      <c r="B202" s="67" t="inlineStr">
        <is>
          <t>1055</t>
        </is>
      </c>
      <c r="C202" s="67" t="inlineStr">
        <is>
          <t>1611</t>
        </is>
      </c>
      <c r="D202" s="68" t="inlineStr">
        <is>
          <t>01</t>
        </is>
      </c>
      <c r="E202" s="68" t="inlineStr">
        <is>
          <t>6 物业施工费</t>
        </is>
      </c>
      <c r="F202" s="68" t="inlineStr">
        <is>
          <t>6.1 总承包工程</t>
        </is>
      </c>
      <c r="G202" s="68" t="inlineStr">
        <is>
          <t>6.1.1 内部装修工程</t>
        </is>
      </c>
      <c r="H202" s="68" t="inlineStr">
        <is>
          <t>大堂墙面基层和装饰层（不含卫生间及楼梯）</t>
        </is>
      </c>
      <c r="I202" s="69" t="inlineStr">
        <is>
          <t>1000021696</t>
        </is>
      </c>
      <c r="J202" s="69" t="inlineStr">
        <is>
          <t>150*150mm墙面粉白砖（共荣,Geometry）</t>
        </is>
      </c>
      <c r="K202" s="70" t="n"/>
      <c r="L202" s="70" t="n"/>
      <c r="M202" s="71" t="inlineStr">
        <is>
          <t>m2</t>
        </is>
      </c>
      <c r="N202" s="72" t="n">
        <v>129.44</v>
      </c>
      <c r="O202" s="72">
        <f>ROUND(N202*(1+$F$10),2)</f>
        <v/>
      </c>
      <c r="P202" s="73">
        <f>ROUND(K202*N202,2)</f>
        <v/>
      </c>
      <c r="Q202" s="74">
        <f>ROUND(L202*N202,2)</f>
        <v/>
      </c>
      <c r="R202" s="75" t="n"/>
      <c r="S202" s="76" t="n"/>
      <c r="T202" s="77">
        <f>K202-L202</f>
        <v/>
      </c>
      <c r="U202" s="77">
        <f>P202-Q202</f>
        <v/>
      </c>
      <c r="V202" s="77">
        <f>ABS(U202)</f>
        <v/>
      </c>
      <c r="W202" s="78">
        <f>T202/L202</f>
        <v/>
      </c>
      <c r="X202" s="79">
        <f>ABS(W202)</f>
        <v/>
      </c>
      <c r="AG202" s="80" t="inlineStr">
        <is>
          <t>基本墙面积</t>
        </is>
      </c>
    </row>
    <row r="203" ht="11.4" customHeight="1">
      <c r="A203" s="67" t="inlineStr">
        <is>
          <t>57</t>
        </is>
      </c>
      <c r="B203" s="67" t="inlineStr">
        <is>
          <t>1055</t>
        </is>
      </c>
      <c r="C203" s="67" t="inlineStr">
        <is>
          <t>1611</t>
        </is>
      </c>
      <c r="D203" s="68" t="inlineStr">
        <is>
          <t>01</t>
        </is>
      </c>
      <c r="E203" s="68" t="inlineStr">
        <is>
          <t>6 物业施工费</t>
        </is>
      </c>
      <c r="F203" s="68" t="inlineStr">
        <is>
          <t>6.1 总承包工程</t>
        </is>
      </c>
      <c r="G203" s="68" t="inlineStr">
        <is>
          <t>6.1.1 内部装修工程</t>
        </is>
      </c>
      <c r="H203" s="68" t="inlineStr">
        <is>
          <t>大堂墙面基层和装饰层（不含卫生间及楼梯）</t>
        </is>
      </c>
      <c r="I203" s="69" t="inlineStr">
        <is>
          <t>1000021695</t>
        </is>
      </c>
      <c r="J203" s="69" t="inlineStr">
        <is>
          <t>150*150mm墙面粉白砖（冠军,Geometry）</t>
        </is>
      </c>
      <c r="K203" s="70" t="n">
        <v>36.39</v>
      </c>
      <c r="L203" s="70" t="n">
        <v>36.6</v>
      </c>
      <c r="M203" s="71" t="inlineStr">
        <is>
          <t>m2</t>
        </is>
      </c>
      <c r="N203" s="72" t="n">
        <v>139.83</v>
      </c>
      <c r="O203" s="72">
        <f>ROUND(N203*(1+$F$10),2)</f>
        <v/>
      </c>
      <c r="P203" s="73">
        <f>ROUND(K203*N203,2)</f>
        <v/>
      </c>
      <c r="Q203" s="74">
        <f>ROUND(L203*N203,2)</f>
        <v/>
      </c>
      <c r="R203" s="75" t="n"/>
      <c r="S203" s="76" t="n"/>
      <c r="T203" s="77">
        <f>K203-L203</f>
        <v/>
      </c>
      <c r="U203" s="77">
        <f>P203-Q203</f>
        <v/>
      </c>
      <c r="V203" s="77">
        <f>ABS(U203)</f>
        <v/>
      </c>
      <c r="W203" s="78">
        <f>T203/L203</f>
        <v/>
      </c>
      <c r="X203" s="79">
        <f>ABS(W203)</f>
        <v/>
      </c>
      <c r="AG203" s="80" t="inlineStr">
        <is>
          <t>基本墙面积</t>
        </is>
      </c>
    </row>
    <row r="204" ht="11.4" customHeight="1">
      <c r="A204" s="67" t="inlineStr">
        <is>
          <t>57</t>
        </is>
      </c>
      <c r="B204" s="67" t="inlineStr">
        <is>
          <t>1055</t>
        </is>
      </c>
      <c r="C204" s="67" t="inlineStr">
        <is>
          <t>1611</t>
        </is>
      </c>
      <c r="D204" s="68" t="inlineStr">
        <is>
          <t>01</t>
        </is>
      </c>
      <c r="E204" s="68" t="inlineStr">
        <is>
          <t>6 物业施工费</t>
        </is>
      </c>
      <c r="F204" s="68" t="inlineStr">
        <is>
          <t>6.1 总承包工程</t>
        </is>
      </c>
      <c r="G204" s="68" t="inlineStr">
        <is>
          <t>6.1.1 内部装修工程</t>
        </is>
      </c>
      <c r="H204" s="68" t="inlineStr">
        <is>
          <t>大堂墙面基层和装饰层（不含卫生间及楼梯）</t>
        </is>
      </c>
      <c r="I204" s="69" t="inlineStr">
        <is>
          <t>1000021478</t>
        </is>
      </c>
      <c r="J204" s="69" t="inlineStr">
        <is>
          <t>墙面贴面砖（琛雄）</t>
        </is>
      </c>
      <c r="K204" s="70" t="n"/>
      <c r="L204" s="70" t="n"/>
      <c r="M204" s="71" t="inlineStr">
        <is>
          <t>m2</t>
        </is>
      </c>
      <c r="N204" s="72" t="n">
        <v>167.98</v>
      </c>
      <c r="O204" s="72">
        <f>ROUND(N204*(1+$F$10),2)</f>
        <v/>
      </c>
      <c r="P204" s="73">
        <f>ROUND(K204*N204,2)</f>
        <v/>
      </c>
      <c r="Q204" s="74">
        <f>ROUND(L204*N204,2)</f>
        <v/>
      </c>
      <c r="R204" s="75" t="n"/>
      <c r="S204" s="76" t="n"/>
      <c r="T204" s="77">
        <f>K204-L204</f>
        <v/>
      </c>
      <c r="U204" s="77">
        <f>P204-Q204</f>
        <v/>
      </c>
      <c r="V204" s="77">
        <f>ABS(U204)</f>
        <v/>
      </c>
      <c r="W204" s="78">
        <f>T204/L204</f>
        <v/>
      </c>
      <c r="X204" s="79">
        <f>ABS(W204)</f>
        <v/>
      </c>
      <c r="AG204" s="80" t="inlineStr">
        <is>
          <t>基本墙面积</t>
        </is>
      </c>
    </row>
    <row r="205" ht="11.4" customHeight="1">
      <c r="A205" s="67" t="inlineStr">
        <is>
          <t>57</t>
        </is>
      </c>
      <c r="B205" s="67" t="inlineStr">
        <is>
          <t>1055</t>
        </is>
      </c>
      <c r="C205" s="67" t="inlineStr">
        <is>
          <t>1611</t>
        </is>
      </c>
      <c r="D205" s="68" t="inlineStr">
        <is>
          <t>01</t>
        </is>
      </c>
      <c r="E205" s="68" t="inlineStr">
        <is>
          <t>6 物业施工费</t>
        </is>
      </c>
      <c r="F205" s="68" t="inlineStr">
        <is>
          <t>6.1 总承包工程</t>
        </is>
      </c>
      <c r="G205" s="68" t="inlineStr">
        <is>
          <t>6.1.1 内部装修工程</t>
        </is>
      </c>
      <c r="H205" s="68" t="inlineStr">
        <is>
          <t>大堂墙面基层和装饰层（不含卫生间及楼梯）</t>
        </is>
      </c>
      <c r="I205" s="69" t="inlineStr">
        <is>
          <t>1000021645</t>
        </is>
      </c>
      <c r="J205" s="69" t="inlineStr">
        <is>
          <t>墙面贴面砖（共荣）</t>
        </is>
      </c>
      <c r="K205" s="70" t="n"/>
      <c r="L205" s="70" t="n"/>
      <c r="M205" s="71" t="inlineStr">
        <is>
          <t>m2</t>
        </is>
      </c>
      <c r="N205" s="72" t="n">
        <v>147.41</v>
      </c>
      <c r="O205" s="72">
        <f>ROUND(N205*(1+$F$10),2)</f>
        <v/>
      </c>
      <c r="P205" s="73">
        <f>ROUND(K205*N205,2)</f>
        <v/>
      </c>
      <c r="Q205" s="74">
        <f>ROUND(L205*N205,2)</f>
        <v/>
      </c>
      <c r="R205" s="75" t="n"/>
      <c r="S205" s="76" t="n"/>
      <c r="T205" s="77">
        <f>K205-L205</f>
        <v/>
      </c>
      <c r="U205" s="77">
        <f>P205-Q205</f>
        <v/>
      </c>
      <c r="V205" s="77">
        <f>ABS(U205)</f>
        <v/>
      </c>
      <c r="W205" s="78">
        <f>T205/L205</f>
        <v/>
      </c>
      <c r="X205" s="79">
        <f>ABS(W205)</f>
        <v/>
      </c>
      <c r="AG205" s="80" t="inlineStr">
        <is>
          <t>基本墙面积</t>
        </is>
      </c>
    </row>
    <row r="206" ht="11.4" customHeight="1">
      <c r="A206" s="67" t="inlineStr">
        <is>
          <t>57</t>
        </is>
      </c>
      <c r="B206" s="67" t="inlineStr">
        <is>
          <t>1055</t>
        </is>
      </c>
      <c r="C206" s="67" t="inlineStr">
        <is>
          <t>1611</t>
        </is>
      </c>
      <c r="D206" s="68" t="inlineStr">
        <is>
          <t>01</t>
        </is>
      </c>
      <c r="E206" s="68" t="inlineStr">
        <is>
          <t>6 物业施工费</t>
        </is>
      </c>
      <c r="F206" s="68" t="inlineStr">
        <is>
          <t>6.1 总承包工程</t>
        </is>
      </c>
      <c r="G206" s="68" t="inlineStr">
        <is>
          <t>6.1.1 内部装修工程</t>
        </is>
      </c>
      <c r="H206" s="68" t="inlineStr">
        <is>
          <t>大堂墙面基层和装饰层（不含卫生间及楼梯）</t>
        </is>
      </c>
      <c r="I206" s="69" t="inlineStr">
        <is>
          <t>1000021626</t>
        </is>
      </c>
      <c r="J206" s="69" t="inlineStr">
        <is>
          <t>墙面贴面砖（冠军）</t>
        </is>
      </c>
      <c r="K206" s="83" t="n">
        <v>16.82</v>
      </c>
      <c r="L206" s="70" t="n">
        <v>14.09</v>
      </c>
      <c r="M206" s="71" t="inlineStr">
        <is>
          <t>m2</t>
        </is>
      </c>
      <c r="N206" s="72" t="n">
        <v>169.19</v>
      </c>
      <c r="O206" s="72">
        <f>ROUND(N206*(1+$F$10),2)</f>
        <v/>
      </c>
      <c r="P206" s="73">
        <f>ROUND(K206*N206,2)</f>
        <v/>
      </c>
      <c r="Q206" s="74">
        <f>ROUND(L206*N206,2)</f>
        <v/>
      </c>
      <c r="R206" s="75" t="n"/>
      <c r="S206" s="76" t="n"/>
      <c r="T206" s="77">
        <f>K206-L206</f>
        <v/>
      </c>
      <c r="U206" s="77">
        <f>P206-Q206</f>
        <v/>
      </c>
      <c r="V206" s="77">
        <f>ABS(U206)</f>
        <v/>
      </c>
      <c r="W206" s="78">
        <f>T206/L206</f>
        <v/>
      </c>
      <c r="X206" s="79">
        <f>ABS(W206)</f>
        <v/>
      </c>
      <c r="AG206" s="80" t="inlineStr">
        <is>
          <t>基本墙面积</t>
        </is>
      </c>
    </row>
    <row r="207" ht="11.4" customHeight="1">
      <c r="A207" s="67" t="inlineStr">
        <is>
          <t>57</t>
        </is>
      </c>
      <c r="B207" s="67" t="inlineStr">
        <is>
          <t>1055</t>
        </is>
      </c>
      <c r="C207" s="67" t="inlineStr">
        <is>
          <t>1611</t>
        </is>
      </c>
      <c r="D207" s="68" t="inlineStr">
        <is>
          <t>01</t>
        </is>
      </c>
      <c r="E207" s="68" t="inlineStr">
        <is>
          <t>6 物业施工费</t>
        </is>
      </c>
      <c r="F207" s="68" t="inlineStr">
        <is>
          <t>6.1 总承包工程</t>
        </is>
      </c>
      <c r="G207" s="68" t="inlineStr">
        <is>
          <t>6.1.1 内部装修工程</t>
        </is>
      </c>
      <c r="H207" s="68" t="inlineStr">
        <is>
          <t>大堂墙面基层和装饰层（不含卫生间及楼梯）</t>
        </is>
      </c>
      <c r="I207" s="69" t="inlineStr">
        <is>
          <t>1000051727</t>
        </is>
      </c>
      <c r="J207" s="69" t="inlineStr">
        <is>
          <t>墙面灰色水泥砖（琛雄）</t>
        </is>
      </c>
      <c r="K207" s="70" t="n"/>
      <c r="L207" s="70" t="n"/>
      <c r="M207" s="71" t="inlineStr">
        <is>
          <t>m2</t>
        </is>
      </c>
      <c r="N207" s="72" t="n">
        <v>194.93</v>
      </c>
      <c r="O207" s="72">
        <f>ROUND(N207*(1+$F$10),2)</f>
        <v/>
      </c>
      <c r="P207" s="73">
        <f>ROUND(K207*N207,2)</f>
        <v/>
      </c>
      <c r="Q207" s="74">
        <f>ROUND(L207*N207,2)</f>
        <v/>
      </c>
      <c r="R207" s="75" t="n"/>
      <c r="S207" s="76" t="n"/>
      <c r="T207" s="77">
        <f>K207-L207</f>
        <v/>
      </c>
      <c r="U207" s="77">
        <f>P207-Q207</f>
        <v/>
      </c>
      <c r="V207" s="77">
        <f>ABS(U207)</f>
        <v/>
      </c>
      <c r="W207" s="78">
        <f>T207/L207</f>
        <v/>
      </c>
      <c r="X207" s="79">
        <f>ABS(W207)</f>
        <v/>
      </c>
      <c r="AG207" s="80" t="inlineStr">
        <is>
          <t>基本墙面积</t>
        </is>
      </c>
    </row>
    <row r="208" ht="11.4" customHeight="1">
      <c r="A208" s="67" t="inlineStr">
        <is>
          <t>57</t>
        </is>
      </c>
      <c r="B208" s="67" t="inlineStr">
        <is>
          <t>1055</t>
        </is>
      </c>
      <c r="C208" s="67" t="inlineStr">
        <is>
          <t>1611</t>
        </is>
      </c>
      <c r="D208" s="68" t="inlineStr">
        <is>
          <t>01</t>
        </is>
      </c>
      <c r="E208" s="68" t="inlineStr">
        <is>
          <t>6 物业施工费</t>
        </is>
      </c>
      <c r="F208" s="68" t="inlineStr">
        <is>
          <t>6.1 总承包工程</t>
        </is>
      </c>
      <c r="G208" s="68" t="inlineStr">
        <is>
          <t>6.1.1 内部装修工程</t>
        </is>
      </c>
      <c r="H208" s="68" t="inlineStr">
        <is>
          <t>大堂墙面基层和装饰层（不含卫生间及楼梯）</t>
        </is>
      </c>
      <c r="I208" s="69" t="inlineStr">
        <is>
          <t>1000051728</t>
        </is>
      </c>
      <c r="J208" s="69" t="inlineStr">
        <is>
          <t>墙面灰色水泥砖（共荣）</t>
        </is>
      </c>
      <c r="K208" s="70" t="n"/>
      <c r="L208" s="70" t="n"/>
      <c r="M208" s="71" t="inlineStr">
        <is>
          <t>m2</t>
        </is>
      </c>
      <c r="N208" s="72" t="n">
        <v>177.99</v>
      </c>
      <c r="O208" s="72">
        <f>ROUND(N208*(1+$F$10),2)</f>
        <v/>
      </c>
      <c r="P208" s="73">
        <f>ROUND(K208*N208,2)</f>
        <v/>
      </c>
      <c r="Q208" s="74">
        <f>ROUND(L208*N208,2)</f>
        <v/>
      </c>
      <c r="R208" s="75" t="n"/>
      <c r="S208" s="76" t="n"/>
      <c r="T208" s="77">
        <f>K208-L208</f>
        <v/>
      </c>
      <c r="U208" s="77">
        <f>P208-Q208</f>
        <v/>
      </c>
      <c r="V208" s="77">
        <f>ABS(U208)</f>
        <v/>
      </c>
      <c r="W208" s="78">
        <f>T208/L208</f>
        <v/>
      </c>
      <c r="X208" s="79">
        <f>ABS(W208)</f>
        <v/>
      </c>
      <c r="AG208" s="80" t="inlineStr">
        <is>
          <t>基本墙面积</t>
        </is>
      </c>
    </row>
    <row r="209" ht="11.4" customHeight="1">
      <c r="A209" s="67" t="inlineStr">
        <is>
          <t>57</t>
        </is>
      </c>
      <c r="B209" s="67" t="inlineStr">
        <is>
          <t>1055</t>
        </is>
      </c>
      <c r="C209" s="67" t="inlineStr">
        <is>
          <t>1611</t>
        </is>
      </c>
      <c r="D209" s="68" t="inlineStr">
        <is>
          <t>01</t>
        </is>
      </c>
      <c r="E209" s="68" t="inlineStr">
        <is>
          <t>6 物业施工费</t>
        </is>
      </c>
      <c r="F209" s="68" t="inlineStr">
        <is>
          <t>6.1 总承包工程</t>
        </is>
      </c>
      <c r="G209" s="68" t="inlineStr">
        <is>
          <t>6.1.1 内部装修工程</t>
        </is>
      </c>
      <c r="H209" s="68" t="inlineStr">
        <is>
          <t>大堂墙面基层和装饰层（不含卫生间及楼梯）</t>
        </is>
      </c>
      <c r="I209" s="69" t="inlineStr">
        <is>
          <t>1000051729</t>
        </is>
      </c>
      <c r="J209" s="69" t="inlineStr">
        <is>
          <t>墙面灰色水泥砖（冠军）</t>
        </is>
      </c>
      <c r="K209" s="70" t="n"/>
      <c r="L209" s="70" t="n"/>
      <c r="M209" s="71" t="inlineStr">
        <is>
          <t>m2</t>
        </is>
      </c>
      <c r="N209" s="72" t="n">
        <v>196.14</v>
      </c>
      <c r="O209" s="72">
        <f>ROUND(N209*(1+$F$10),2)</f>
        <v/>
      </c>
      <c r="P209" s="73">
        <f>ROUND(K209*N209,2)</f>
        <v/>
      </c>
      <c r="Q209" s="74">
        <f>ROUND(L209*N209,2)</f>
        <v/>
      </c>
      <c r="R209" s="75" t="n"/>
      <c r="S209" s="76" t="n"/>
      <c r="T209" s="77">
        <f>K209-L209</f>
        <v/>
      </c>
      <c r="U209" s="77">
        <f>P209-Q209</f>
        <v/>
      </c>
      <c r="V209" s="77">
        <f>ABS(U209)</f>
        <v/>
      </c>
      <c r="W209" s="78">
        <f>T209/L209</f>
        <v/>
      </c>
      <c r="X209" s="79">
        <f>ABS(W209)</f>
        <v/>
      </c>
      <c r="AG209" s="80" t="inlineStr">
        <is>
          <t>基本墙面积</t>
        </is>
      </c>
    </row>
    <row r="210" ht="11.4" customHeight="1">
      <c r="A210" s="67" t="inlineStr">
        <is>
          <t>57</t>
        </is>
      </c>
      <c r="B210" s="67" t="inlineStr">
        <is>
          <t>1055</t>
        </is>
      </c>
      <c r="C210" s="67" t="inlineStr">
        <is>
          <t>1611</t>
        </is>
      </c>
      <c r="D210" s="68" t="inlineStr">
        <is>
          <t>01</t>
        </is>
      </c>
      <c r="E210" s="68" t="inlineStr">
        <is>
          <t>6 物业施工费</t>
        </is>
      </c>
      <c r="F210" s="68" t="inlineStr">
        <is>
          <t>6.1 总承包工程</t>
        </is>
      </c>
      <c r="G210" s="68" t="inlineStr">
        <is>
          <t>6.1.1 内部装修工程</t>
        </is>
      </c>
      <c r="H210" s="68" t="inlineStr">
        <is>
          <t>大堂墙面基层和装饰层（不含卫生间及楼梯）</t>
        </is>
      </c>
      <c r="I210" s="69" t="inlineStr">
        <is>
          <t>1000021716</t>
        </is>
      </c>
      <c r="J210" s="69" t="inlineStr">
        <is>
          <t>墙面灰砖（琛雄，Luna)</t>
        </is>
      </c>
      <c r="K210" s="70" t="n"/>
      <c r="L210" s="70" t="n"/>
      <c r="M210" s="71" t="inlineStr">
        <is>
          <t>m2</t>
        </is>
      </c>
      <c r="N210" s="72" t="n">
        <v>194.93</v>
      </c>
      <c r="O210" s="72">
        <f>ROUND(N210*(1+$F$10),2)</f>
        <v/>
      </c>
      <c r="P210" s="73">
        <f>ROUND(K210*N210,2)</f>
        <v/>
      </c>
      <c r="Q210" s="74">
        <f>ROUND(L210*N210,2)</f>
        <v/>
      </c>
      <c r="R210" s="75" t="n"/>
      <c r="S210" s="76" t="n"/>
      <c r="T210" s="77">
        <f>K210-L210</f>
        <v/>
      </c>
      <c r="U210" s="77">
        <f>P210-Q210</f>
        <v/>
      </c>
      <c r="V210" s="77">
        <f>ABS(U210)</f>
        <v/>
      </c>
      <c r="W210" s="78">
        <f>T210/L210</f>
        <v/>
      </c>
      <c r="X210" s="79">
        <f>ABS(W210)</f>
        <v/>
      </c>
      <c r="AG210" s="80" t="inlineStr">
        <is>
          <t>基本墙面积</t>
        </is>
      </c>
    </row>
    <row r="211" ht="11.4" customHeight="1">
      <c r="A211" s="67" t="inlineStr">
        <is>
          <t>57</t>
        </is>
      </c>
      <c r="B211" s="67" t="inlineStr">
        <is>
          <t>1055</t>
        </is>
      </c>
      <c r="C211" s="67" t="inlineStr">
        <is>
          <t>1611</t>
        </is>
      </c>
      <c r="D211" s="68" t="inlineStr">
        <is>
          <t>01</t>
        </is>
      </c>
      <c r="E211" s="68" t="inlineStr">
        <is>
          <t>6 物业施工费</t>
        </is>
      </c>
      <c r="F211" s="68" t="inlineStr">
        <is>
          <t>6.1 总承包工程</t>
        </is>
      </c>
      <c r="G211" s="68" t="inlineStr">
        <is>
          <t>6.1.1 内部装修工程</t>
        </is>
      </c>
      <c r="H211" s="68" t="inlineStr">
        <is>
          <t>大堂墙面基层和装饰层（不含卫生间及楼梯）</t>
        </is>
      </c>
      <c r="I211" s="69" t="inlineStr">
        <is>
          <t>1000041814</t>
        </is>
      </c>
      <c r="J211" s="69" t="inlineStr">
        <is>
          <t>墙面灰砖（共荣，Luna)</t>
        </is>
      </c>
      <c r="K211" s="70" t="n"/>
      <c r="L211" s="70" t="n"/>
      <c r="M211" s="71" t="inlineStr">
        <is>
          <t>m2</t>
        </is>
      </c>
      <c r="N211" s="72" t="n">
        <v>180.41</v>
      </c>
      <c r="O211" s="72">
        <f>ROUND(N211*(1+$F$10),2)</f>
        <v/>
      </c>
      <c r="P211" s="73">
        <f>ROUND(K211*N211,2)</f>
        <v/>
      </c>
      <c r="Q211" s="74">
        <f>ROUND(L211*N211,2)</f>
        <v/>
      </c>
      <c r="R211" s="75" t="n"/>
      <c r="S211" s="76" t="n"/>
      <c r="T211" s="77">
        <f>K211-L211</f>
        <v/>
      </c>
      <c r="U211" s="77">
        <f>P211-Q211</f>
        <v/>
      </c>
      <c r="V211" s="77">
        <f>ABS(U211)</f>
        <v/>
      </c>
      <c r="W211" s="78">
        <f>T211/L211</f>
        <v/>
      </c>
      <c r="X211" s="79">
        <f>ABS(W211)</f>
        <v/>
      </c>
      <c r="AG211" s="80" t="inlineStr">
        <is>
          <t>基本墙面积</t>
        </is>
      </c>
    </row>
    <row r="212" ht="11.4" customHeight="1">
      <c r="A212" s="67" t="inlineStr">
        <is>
          <t>57</t>
        </is>
      </c>
      <c r="B212" s="67" t="inlineStr">
        <is>
          <t>1055</t>
        </is>
      </c>
      <c r="C212" s="67" t="inlineStr">
        <is>
          <t>1611</t>
        </is>
      </c>
      <c r="D212" s="68" t="inlineStr">
        <is>
          <t>01</t>
        </is>
      </c>
      <c r="E212" s="68" t="inlineStr">
        <is>
          <t>6 物业施工费</t>
        </is>
      </c>
      <c r="F212" s="68" t="inlineStr">
        <is>
          <t>6.1 总承包工程</t>
        </is>
      </c>
      <c r="G212" s="68" t="inlineStr">
        <is>
          <t>6.1.1 内部装修工程</t>
        </is>
      </c>
      <c r="H212" s="68" t="inlineStr">
        <is>
          <t>大堂墙面基层和装饰层（不含卫生间及楼梯）</t>
        </is>
      </c>
      <c r="I212" s="69" t="inlineStr">
        <is>
          <t>1000041820</t>
        </is>
      </c>
      <c r="J212" s="69" t="inlineStr">
        <is>
          <t>墙面灰砖（冠军，Luna)</t>
        </is>
      </c>
      <c r="K212" s="70" t="n"/>
      <c r="L212" s="70" t="n"/>
      <c r="M212" s="71" t="inlineStr">
        <is>
          <t>m2</t>
        </is>
      </c>
      <c r="N212" s="72" t="n">
        <v>194.93</v>
      </c>
      <c r="O212" s="72">
        <f>ROUND(N212*(1+$F$10),2)</f>
        <v/>
      </c>
      <c r="P212" s="73">
        <f>ROUND(K212*N212,2)</f>
        <v/>
      </c>
      <c r="Q212" s="74">
        <f>ROUND(L212*N212,2)</f>
        <v/>
      </c>
      <c r="R212" s="75" t="n"/>
      <c r="S212" s="76" t="n"/>
      <c r="T212" s="77">
        <f>K212-L212</f>
        <v/>
      </c>
      <c r="U212" s="77">
        <f>P212-Q212</f>
        <v/>
      </c>
      <c r="V212" s="77">
        <f>ABS(U212)</f>
        <v/>
      </c>
      <c r="W212" s="78">
        <f>T212/L212</f>
        <v/>
      </c>
      <c r="X212" s="79">
        <f>ABS(W212)</f>
        <v/>
      </c>
      <c r="AG212" s="80" t="inlineStr">
        <is>
          <t>基本墙面积</t>
        </is>
      </c>
    </row>
    <row r="213" ht="11.4" customHeight="1">
      <c r="A213" s="67" t="inlineStr">
        <is>
          <t>57</t>
        </is>
      </c>
      <c r="B213" s="67" t="inlineStr">
        <is>
          <t>1055</t>
        </is>
      </c>
      <c r="C213" s="67" t="inlineStr">
        <is>
          <t>1611</t>
        </is>
      </c>
      <c r="D213" s="68" t="inlineStr">
        <is>
          <t>01</t>
        </is>
      </c>
      <c r="E213" s="68" t="inlineStr">
        <is>
          <t>6 物业施工费</t>
        </is>
      </c>
      <c r="F213" s="68" t="inlineStr">
        <is>
          <t>6.1 总承包工程</t>
        </is>
      </c>
      <c r="G213" s="68" t="inlineStr">
        <is>
          <t>6.1.1 内部装修工程</t>
        </is>
      </c>
      <c r="H213" s="68" t="inlineStr">
        <is>
          <t>大堂墙面基层和装饰层（不含卫生间及楼梯）</t>
        </is>
      </c>
      <c r="I213" s="69" t="inlineStr">
        <is>
          <t>1000021717</t>
        </is>
      </c>
      <c r="J213" s="69" t="inlineStr">
        <is>
          <t>墙面黑砖（琛雄，Luna)</t>
        </is>
      </c>
      <c r="K213" s="70" t="n"/>
      <c r="L213" s="70" t="n"/>
      <c r="M213" s="71" t="inlineStr">
        <is>
          <t>m2</t>
        </is>
      </c>
      <c r="N213" s="72" t="n">
        <v>237.28</v>
      </c>
      <c r="O213" s="72">
        <f>ROUND(N213*(1+$F$10),2)</f>
        <v/>
      </c>
      <c r="P213" s="73">
        <f>ROUND(K213*N213,2)</f>
        <v/>
      </c>
      <c r="Q213" s="74">
        <f>ROUND(L213*N213,2)</f>
        <v/>
      </c>
      <c r="R213" s="75" t="n"/>
      <c r="S213" s="76" t="n"/>
      <c r="T213" s="77">
        <f>K213-L213</f>
        <v/>
      </c>
      <c r="U213" s="77">
        <f>P213-Q213</f>
        <v/>
      </c>
      <c r="V213" s="77">
        <f>ABS(U213)</f>
        <v/>
      </c>
      <c r="W213" s="78">
        <f>T213/L213</f>
        <v/>
      </c>
      <c r="X213" s="79">
        <f>ABS(W213)</f>
        <v/>
      </c>
      <c r="AG213" s="80" t="inlineStr">
        <is>
          <t>基本墙面积</t>
        </is>
      </c>
    </row>
    <row r="214" ht="11.4" customHeight="1">
      <c r="A214" s="67" t="inlineStr">
        <is>
          <t>57</t>
        </is>
      </c>
      <c r="B214" s="67" t="inlineStr">
        <is>
          <t>1055</t>
        </is>
      </c>
      <c r="C214" s="67" t="inlineStr">
        <is>
          <t>1611</t>
        </is>
      </c>
      <c r="D214" s="68" t="inlineStr">
        <is>
          <t>01</t>
        </is>
      </c>
      <c r="E214" s="68" t="inlineStr">
        <is>
          <t>6 物业施工费</t>
        </is>
      </c>
      <c r="F214" s="68" t="inlineStr">
        <is>
          <t>6.1 总承包工程</t>
        </is>
      </c>
      <c r="G214" s="68" t="inlineStr">
        <is>
          <t>6.1.1 内部装修工程</t>
        </is>
      </c>
      <c r="H214" s="68" t="inlineStr">
        <is>
          <t>大堂墙面基层和装饰层（不含卫生间及楼梯）</t>
        </is>
      </c>
      <c r="I214" s="69" t="inlineStr">
        <is>
          <t>1000041813</t>
        </is>
      </c>
      <c r="J214" s="69" t="inlineStr">
        <is>
          <t>墙面黑砖（共荣，Luna)</t>
        </is>
      </c>
      <c r="K214" s="70" t="n"/>
      <c r="L214" s="70" t="n"/>
      <c r="M214" s="71" t="inlineStr">
        <is>
          <t>m2</t>
        </is>
      </c>
      <c r="N214" s="72" t="n">
        <v>208.24</v>
      </c>
      <c r="O214" s="72">
        <f>ROUND(N214*(1+$F$10),2)</f>
        <v/>
      </c>
      <c r="P214" s="73">
        <f>ROUND(K214*N214,2)</f>
        <v/>
      </c>
      <c r="Q214" s="74">
        <f>ROUND(L214*N214,2)</f>
        <v/>
      </c>
      <c r="R214" s="75" t="n"/>
      <c r="S214" s="76" t="n"/>
      <c r="T214" s="77">
        <f>K214-L214</f>
        <v/>
      </c>
      <c r="U214" s="77">
        <f>P214-Q214</f>
        <v/>
      </c>
      <c r="V214" s="77">
        <f>ABS(U214)</f>
        <v/>
      </c>
      <c r="W214" s="78">
        <f>T214/L214</f>
        <v/>
      </c>
      <c r="X214" s="79">
        <f>ABS(W214)</f>
        <v/>
      </c>
      <c r="AG214" s="80" t="inlineStr">
        <is>
          <t>基本墙面积</t>
        </is>
      </c>
    </row>
    <row r="215" ht="11.4" customHeight="1">
      <c r="A215" s="67" t="inlineStr">
        <is>
          <t>57</t>
        </is>
      </c>
      <c r="B215" s="67" t="inlineStr">
        <is>
          <t>1055</t>
        </is>
      </c>
      <c r="C215" s="67" t="inlineStr">
        <is>
          <t>1611</t>
        </is>
      </c>
      <c r="D215" s="68" t="inlineStr">
        <is>
          <t>01</t>
        </is>
      </c>
      <c r="E215" s="68" t="inlineStr">
        <is>
          <t>6 物业施工费</t>
        </is>
      </c>
      <c r="F215" s="68" t="inlineStr">
        <is>
          <t>6.1 总承包工程</t>
        </is>
      </c>
      <c r="G215" s="68" t="inlineStr">
        <is>
          <t>6.1.1 内部装修工程</t>
        </is>
      </c>
      <c r="H215" s="68" t="inlineStr">
        <is>
          <t>大堂墙面基层和装饰层（不含卫生间及楼梯）</t>
        </is>
      </c>
      <c r="I215" s="69" t="inlineStr">
        <is>
          <t>1000041819</t>
        </is>
      </c>
      <c r="J215" s="69" t="inlineStr">
        <is>
          <t>墙面黑砖（冠军，Luna)</t>
        </is>
      </c>
      <c r="K215" s="70" t="n"/>
      <c r="L215" s="70" t="n"/>
      <c r="M215" s="71" t="inlineStr">
        <is>
          <t>m2</t>
        </is>
      </c>
      <c r="N215" s="72" t="n">
        <v>237.28</v>
      </c>
      <c r="O215" s="72">
        <f>ROUND(N215*(1+$F$10),2)</f>
        <v/>
      </c>
      <c r="P215" s="73">
        <f>ROUND(K215*N215,2)</f>
        <v/>
      </c>
      <c r="Q215" s="74">
        <f>ROUND(L215*N215,2)</f>
        <v/>
      </c>
      <c r="R215" s="75" t="n"/>
      <c r="S215" s="76" t="n"/>
      <c r="T215" s="77">
        <f>K215-L215</f>
        <v/>
      </c>
      <c r="U215" s="77">
        <f>P215-Q215</f>
        <v/>
      </c>
      <c r="V215" s="77">
        <f>ABS(U215)</f>
        <v/>
      </c>
      <c r="W215" s="78">
        <f>T215/L215</f>
        <v/>
      </c>
      <c r="X215" s="79">
        <f>ABS(W215)</f>
        <v/>
      </c>
      <c r="AG215" s="80" t="inlineStr">
        <is>
          <t>基本墙面积</t>
        </is>
      </c>
    </row>
    <row r="216" ht="11.4" customHeight="1">
      <c r="A216" s="67" t="inlineStr">
        <is>
          <t>57</t>
        </is>
      </c>
      <c r="B216" s="67" t="inlineStr">
        <is>
          <t>1055</t>
        </is>
      </c>
      <c r="C216" s="67" t="inlineStr">
        <is>
          <t>1611</t>
        </is>
      </c>
      <c r="D216" s="68" t="inlineStr">
        <is>
          <t>01</t>
        </is>
      </c>
      <c r="E216" s="68" t="inlineStr">
        <is>
          <t>6 物业施工费</t>
        </is>
      </c>
      <c r="F216" s="68" t="inlineStr">
        <is>
          <t>6.1 总承包工程</t>
        </is>
      </c>
      <c r="G216" s="68" t="inlineStr">
        <is>
          <t>6.1.1 内部装修工程</t>
        </is>
      </c>
      <c r="H216" s="68" t="inlineStr">
        <is>
          <t>大堂墙面基层和装饰层（不含卫生间及楼梯）</t>
        </is>
      </c>
      <c r="I216" s="69" t="inlineStr">
        <is>
          <t>1000021481</t>
        </is>
      </c>
      <c r="J216" s="69" t="inlineStr">
        <is>
          <t>100*300mm黑色哑光面砖（琛雄）</t>
        </is>
      </c>
      <c r="K216" s="70" t="n"/>
      <c r="L216" s="70" t="n"/>
      <c r="M216" s="71" t="inlineStr">
        <is>
          <t>m2</t>
        </is>
      </c>
      <c r="N216" s="72" t="n">
        <v>179.53</v>
      </c>
      <c r="O216" s="72">
        <f>ROUND(N216*(1+$F$10),2)</f>
        <v/>
      </c>
      <c r="P216" s="73">
        <f>ROUND(K216*N216,2)</f>
        <v/>
      </c>
      <c r="Q216" s="74">
        <f>ROUND(L216*N216,2)</f>
        <v/>
      </c>
      <c r="R216" s="75" t="n"/>
      <c r="S216" s="76" t="n"/>
      <c r="T216" s="77">
        <f>K216-L216</f>
        <v/>
      </c>
      <c r="U216" s="77">
        <f>P216-Q216</f>
        <v/>
      </c>
      <c r="V216" s="77">
        <f>ABS(U216)</f>
        <v/>
      </c>
      <c r="W216" s="78">
        <f>T216/L216</f>
        <v/>
      </c>
      <c r="X216" s="79">
        <f>ABS(W216)</f>
        <v/>
      </c>
      <c r="AG216" s="80" t="inlineStr">
        <is>
          <t>基本墙面积</t>
        </is>
      </c>
    </row>
    <row r="217" ht="11.4" customHeight="1">
      <c r="A217" s="67" t="inlineStr">
        <is>
          <t>57</t>
        </is>
      </c>
      <c r="B217" s="67" t="inlineStr">
        <is>
          <t>1055</t>
        </is>
      </c>
      <c r="C217" s="67" t="inlineStr">
        <is>
          <t>1611</t>
        </is>
      </c>
      <c r="D217" s="68" t="inlineStr">
        <is>
          <t>01</t>
        </is>
      </c>
      <c r="E217" s="68" t="inlineStr">
        <is>
          <t>6 物业施工费</t>
        </is>
      </c>
      <c r="F217" s="68" t="inlineStr">
        <is>
          <t>6.1 总承包工程</t>
        </is>
      </c>
      <c r="G217" s="68" t="inlineStr">
        <is>
          <t>6.1.1 内部装修工程</t>
        </is>
      </c>
      <c r="H217" s="68" t="inlineStr">
        <is>
          <t>大堂墙面基层和装饰层（不含卫生间及楼梯）</t>
        </is>
      </c>
      <c r="I217" s="69" t="inlineStr">
        <is>
          <t>1000021672</t>
        </is>
      </c>
      <c r="J217" s="69" t="inlineStr">
        <is>
          <t>100*300mm黑色哑光面砖（共荣）</t>
        </is>
      </c>
      <c r="K217" s="70" t="n"/>
      <c r="L217" s="70" t="n"/>
      <c r="M217" s="71" t="inlineStr">
        <is>
          <t>m2</t>
        </is>
      </c>
      <c r="N217" s="72" t="n">
        <v>168.64</v>
      </c>
      <c r="O217" s="72">
        <f>ROUND(N217*(1+$F$10),2)</f>
        <v/>
      </c>
      <c r="P217" s="73">
        <f>ROUND(K217*N217,2)</f>
        <v/>
      </c>
      <c r="Q217" s="74">
        <f>ROUND(L217*N217,2)</f>
        <v/>
      </c>
      <c r="R217" s="75" t="n"/>
      <c r="S217" s="76" t="n"/>
      <c r="T217" s="77">
        <f>K217-L217</f>
        <v/>
      </c>
      <c r="U217" s="77">
        <f>P217-Q217</f>
        <v/>
      </c>
      <c r="V217" s="77">
        <f>ABS(U217)</f>
        <v/>
      </c>
      <c r="W217" s="78">
        <f>T217/L217</f>
        <v/>
      </c>
      <c r="X217" s="79">
        <f>ABS(W217)</f>
        <v/>
      </c>
      <c r="AG217" s="80" t="inlineStr">
        <is>
          <t>基本墙面积</t>
        </is>
      </c>
    </row>
    <row r="218" ht="11.4" customHeight="1">
      <c r="A218" s="67" t="inlineStr">
        <is>
          <t>57</t>
        </is>
      </c>
      <c r="B218" s="67" t="inlineStr">
        <is>
          <t>1055</t>
        </is>
      </c>
      <c r="C218" s="67" t="inlineStr">
        <is>
          <t>1611</t>
        </is>
      </c>
      <c r="D218" s="68" t="inlineStr">
        <is>
          <t>01</t>
        </is>
      </c>
      <c r="E218" s="68" t="inlineStr">
        <is>
          <t>6 物业施工费</t>
        </is>
      </c>
      <c r="F218" s="68" t="inlineStr">
        <is>
          <t>6.1 总承包工程</t>
        </is>
      </c>
      <c r="G218" s="68" t="inlineStr">
        <is>
          <t>6.1.1 内部装修工程</t>
        </is>
      </c>
      <c r="H218" s="68" t="inlineStr">
        <is>
          <t>大堂墙面基层和装饰层（不含卫生间及楼梯）</t>
        </is>
      </c>
      <c r="I218" s="69" t="inlineStr">
        <is>
          <t>1000021698</t>
        </is>
      </c>
      <c r="J218" s="69" t="inlineStr">
        <is>
          <t>100*300mm黑色哑光面砖（冠军）</t>
        </is>
      </c>
      <c r="K218" s="70" t="n"/>
      <c r="L218" s="70" t="n"/>
      <c r="M218" s="71" t="inlineStr">
        <is>
          <t>m2</t>
        </is>
      </c>
      <c r="N218" s="72" t="n">
        <v>179.53</v>
      </c>
      <c r="O218" s="72">
        <f>ROUND(N218*(1+$F$10),2)</f>
        <v/>
      </c>
      <c r="P218" s="73">
        <f>ROUND(K218*N218,2)</f>
        <v/>
      </c>
      <c r="Q218" s="74">
        <f>ROUND(L218*N218,2)</f>
        <v/>
      </c>
      <c r="R218" s="75" t="n"/>
      <c r="S218" s="76" t="n"/>
      <c r="T218" s="77">
        <f>K218-L218</f>
        <v/>
      </c>
      <c r="U218" s="77">
        <f>P218-Q218</f>
        <v/>
      </c>
      <c r="V218" s="77">
        <f>ABS(U218)</f>
        <v/>
      </c>
      <c r="W218" s="78">
        <f>T218/L218</f>
        <v/>
      </c>
      <c r="X218" s="79">
        <f>ABS(W218)</f>
        <v/>
      </c>
      <c r="AG218" s="80" t="inlineStr">
        <is>
          <t>基本墙面积</t>
        </is>
      </c>
    </row>
    <row r="219" ht="11.4" customHeight="1">
      <c r="A219" s="67" t="inlineStr">
        <is>
          <t>57</t>
        </is>
      </c>
      <c r="B219" s="67" t="inlineStr">
        <is>
          <t>1055</t>
        </is>
      </c>
      <c r="C219" s="67" t="inlineStr">
        <is>
          <t>1611</t>
        </is>
      </c>
      <c r="D219" s="68" t="inlineStr">
        <is>
          <t>01</t>
        </is>
      </c>
      <c r="E219" s="68" t="inlineStr">
        <is>
          <t>6 物业施工费</t>
        </is>
      </c>
      <c r="F219" s="68" t="inlineStr">
        <is>
          <t>6.1 总承包工程</t>
        </is>
      </c>
      <c r="G219" s="68" t="inlineStr">
        <is>
          <t>6.1.1 内部装修工程</t>
        </is>
      </c>
      <c r="H219" s="68" t="inlineStr">
        <is>
          <t>大堂墙面基层和装饰层（不含卫生间及楼梯）</t>
        </is>
      </c>
      <c r="I219" s="69" t="inlineStr">
        <is>
          <t>1000041811</t>
        </is>
      </c>
      <c r="J219" s="69" t="inlineStr">
        <is>
          <t>100*300mm深灰色哑光面砖（琛雄，Geometry）</t>
        </is>
      </c>
      <c r="K219" s="70" t="n"/>
      <c r="L219" s="70" t="n"/>
      <c r="M219" s="71" t="inlineStr">
        <is>
          <t>m2</t>
        </is>
      </c>
      <c r="N219" s="72" t="n">
        <v>169.85</v>
      </c>
      <c r="O219" s="72">
        <f>ROUND(N219*(1+$F$10),2)</f>
        <v/>
      </c>
      <c r="P219" s="73">
        <f>ROUND(K219*N219,2)</f>
        <v/>
      </c>
      <c r="Q219" s="74">
        <f>ROUND(L219*N219,2)</f>
        <v/>
      </c>
      <c r="R219" s="75" t="n"/>
      <c r="S219" s="76" t="n"/>
      <c r="T219" s="77">
        <f>K219-L219</f>
        <v/>
      </c>
      <c r="U219" s="77">
        <f>P219-Q219</f>
        <v/>
      </c>
      <c r="V219" s="77">
        <f>ABS(U219)</f>
        <v/>
      </c>
      <c r="W219" s="78">
        <f>T219/L219</f>
        <v/>
      </c>
      <c r="X219" s="79">
        <f>ABS(W219)</f>
        <v/>
      </c>
      <c r="AG219" s="80" t="inlineStr">
        <is>
          <t>基本墙面积</t>
        </is>
      </c>
    </row>
    <row r="220" ht="11.4" customHeight="1">
      <c r="A220" s="67" t="inlineStr">
        <is>
          <t>57</t>
        </is>
      </c>
      <c r="B220" s="67" t="inlineStr">
        <is>
          <t>1055</t>
        </is>
      </c>
      <c r="C220" s="67" t="inlineStr">
        <is>
          <t>1611</t>
        </is>
      </c>
      <c r="D220" s="68" t="inlineStr">
        <is>
          <t>01</t>
        </is>
      </c>
      <c r="E220" s="68" t="inlineStr">
        <is>
          <t>6 物业施工费</t>
        </is>
      </c>
      <c r="F220" s="68" t="inlineStr">
        <is>
          <t>6.1 总承包工程</t>
        </is>
      </c>
      <c r="G220" s="68" t="inlineStr">
        <is>
          <t>6.1.1 内部装修工程</t>
        </is>
      </c>
      <c r="H220" s="68" t="inlineStr">
        <is>
          <t>大堂墙面基层和装饰层（不含卫生间及楼梯）</t>
        </is>
      </c>
      <c r="I220" s="69" t="inlineStr">
        <is>
          <t>1000041817</t>
        </is>
      </c>
      <c r="J220" s="69" t="inlineStr">
        <is>
          <t>100*300mm深灰色哑光面砖（共荣，Geometry）</t>
        </is>
      </c>
      <c r="K220" s="70" t="n"/>
      <c r="L220" s="70" t="n"/>
      <c r="M220" s="71" t="inlineStr">
        <is>
          <t>m2</t>
        </is>
      </c>
      <c r="N220" s="72" t="n">
        <v>165.01</v>
      </c>
      <c r="O220" s="72">
        <f>ROUND(N220*(1+$F$10),2)</f>
        <v/>
      </c>
      <c r="P220" s="73">
        <f>ROUND(K220*N220,2)</f>
        <v/>
      </c>
      <c r="Q220" s="74">
        <f>ROUND(L220*N220,2)</f>
        <v/>
      </c>
      <c r="R220" s="75" t="n"/>
      <c r="S220" s="76" t="n"/>
      <c r="T220" s="77">
        <f>K220-L220</f>
        <v/>
      </c>
      <c r="U220" s="77">
        <f>P220-Q220</f>
        <v/>
      </c>
      <c r="V220" s="77">
        <f>ABS(U220)</f>
        <v/>
      </c>
      <c r="W220" s="78">
        <f>T220/L220</f>
        <v/>
      </c>
      <c r="X220" s="79">
        <f>ABS(W220)</f>
        <v/>
      </c>
      <c r="AG220" s="80" t="inlineStr">
        <is>
          <t>基本墙面积</t>
        </is>
      </c>
    </row>
    <row r="221" ht="11.4" customHeight="1">
      <c r="A221" s="67" t="inlineStr">
        <is>
          <t>57</t>
        </is>
      </c>
      <c r="B221" s="67" t="inlineStr">
        <is>
          <t>1055</t>
        </is>
      </c>
      <c r="C221" s="67" t="inlineStr">
        <is>
          <t>1611</t>
        </is>
      </c>
      <c r="D221" s="68" t="inlineStr">
        <is>
          <t>01</t>
        </is>
      </c>
      <c r="E221" s="68" t="inlineStr">
        <is>
          <t>6 物业施工费</t>
        </is>
      </c>
      <c r="F221" s="68" t="inlineStr">
        <is>
          <t>6.1 总承包工程</t>
        </is>
      </c>
      <c r="G221" s="68" t="inlineStr">
        <is>
          <t>6.1.1 内部装修工程</t>
        </is>
      </c>
      <c r="H221" s="68" t="inlineStr">
        <is>
          <t>大堂墙面基层和装饰层（不含卫生间及楼梯）</t>
        </is>
      </c>
      <c r="I221" s="69" t="inlineStr">
        <is>
          <t>1000041823</t>
        </is>
      </c>
      <c r="J221" s="69" t="inlineStr">
        <is>
          <t>100*300mm深灰色哑光面砖（冠军，Geometry）</t>
        </is>
      </c>
      <c r="K221" s="83" t="n">
        <v>6.39</v>
      </c>
      <c r="L221" s="70" t="n">
        <v>23.63</v>
      </c>
      <c r="M221" s="71" t="inlineStr">
        <is>
          <t>m2</t>
        </is>
      </c>
      <c r="N221" s="72" t="n">
        <v>169.85</v>
      </c>
      <c r="O221" s="72">
        <f>ROUND(N221*(1+$F$10),2)</f>
        <v/>
      </c>
      <c r="P221" s="73">
        <f>ROUND(K221*N221,2)</f>
        <v/>
      </c>
      <c r="Q221" s="74">
        <f>ROUND(L221*N221,2)</f>
        <v/>
      </c>
      <c r="R221" s="75" t="n"/>
      <c r="S221" s="76" t="n"/>
      <c r="T221" s="77">
        <f>K221-L221</f>
        <v/>
      </c>
      <c r="U221" s="77">
        <f>P221-Q221</f>
        <v/>
      </c>
      <c r="V221" s="77">
        <f>ABS(U221)</f>
        <v/>
      </c>
      <c r="W221" s="78">
        <f>T221/L221</f>
        <v/>
      </c>
      <c r="X221" s="79">
        <f>ABS(W221)</f>
        <v/>
      </c>
      <c r="AG221" s="80" t="inlineStr">
        <is>
          <t>基本墙面积</t>
        </is>
      </c>
    </row>
    <row r="222" ht="11.4" customHeight="1">
      <c r="A222" s="67" t="inlineStr">
        <is>
          <t>57</t>
        </is>
      </c>
      <c r="B222" s="67" t="inlineStr">
        <is>
          <t>1055</t>
        </is>
      </c>
      <c r="C222" s="67" t="inlineStr">
        <is>
          <t>1611</t>
        </is>
      </c>
      <c r="D222" s="68" t="inlineStr">
        <is>
          <t>01</t>
        </is>
      </c>
      <c r="E222" s="68" t="inlineStr">
        <is>
          <t>6 物业施工费</t>
        </is>
      </c>
      <c r="F222" s="68" t="inlineStr">
        <is>
          <t>6.1 总承包工程</t>
        </is>
      </c>
      <c r="G222" s="68" t="inlineStr">
        <is>
          <t>6.1.1 内部装修工程</t>
        </is>
      </c>
      <c r="H222" s="68" t="inlineStr">
        <is>
          <t>大堂墙面基层和装饰层（不含卫生间及楼梯）</t>
        </is>
      </c>
      <c r="I222" s="69" t="inlineStr">
        <is>
          <t>1000021479</t>
        </is>
      </c>
      <c r="J222" s="69" t="inlineStr">
        <is>
          <t>小青砖（琛雄）</t>
        </is>
      </c>
      <c r="K222" s="70" t="n"/>
      <c r="L222" s="70" t="n"/>
      <c r="M222" s="71" t="inlineStr">
        <is>
          <t>m2</t>
        </is>
      </c>
      <c r="N222" s="72" t="n">
        <v>206.06</v>
      </c>
      <c r="O222" s="72">
        <f>ROUND(N222*(1+$F$10),2)</f>
        <v/>
      </c>
      <c r="P222" s="73">
        <f>ROUND(K222*N222,2)</f>
        <v/>
      </c>
      <c r="Q222" s="74">
        <f>ROUND(L222*N222,2)</f>
        <v/>
      </c>
      <c r="R222" s="75" t="n"/>
      <c r="S222" s="76" t="n"/>
      <c r="T222" s="77">
        <f>K222-L222</f>
        <v/>
      </c>
      <c r="U222" s="77">
        <f>P222-Q222</f>
        <v/>
      </c>
      <c r="V222" s="77">
        <f>ABS(U222)</f>
        <v/>
      </c>
      <c r="W222" s="78">
        <f>T222/L222</f>
        <v/>
      </c>
      <c r="X222" s="79">
        <f>ABS(W222)</f>
        <v/>
      </c>
      <c r="AG222" s="80" t="inlineStr">
        <is>
          <t>基本墙面积</t>
        </is>
      </c>
    </row>
    <row r="223" ht="11.4" customHeight="1">
      <c r="A223" s="67" t="inlineStr">
        <is>
          <t>57</t>
        </is>
      </c>
      <c r="B223" s="67" t="inlineStr">
        <is>
          <t>1055</t>
        </is>
      </c>
      <c r="C223" s="67" t="inlineStr">
        <is>
          <t>1611</t>
        </is>
      </c>
      <c r="D223" s="68" t="inlineStr">
        <is>
          <t>01</t>
        </is>
      </c>
      <c r="E223" s="68" t="inlineStr">
        <is>
          <t>6 物业施工费</t>
        </is>
      </c>
      <c r="F223" s="68" t="inlineStr">
        <is>
          <t>6.1 总承包工程</t>
        </is>
      </c>
      <c r="G223" s="68" t="inlineStr">
        <is>
          <t>6.1.1 内部装修工程</t>
        </is>
      </c>
      <c r="H223" s="68" t="inlineStr">
        <is>
          <t>大堂墙面基层和装饰层（不含卫生间及楼梯）</t>
        </is>
      </c>
      <c r="I223" s="69" t="inlineStr">
        <is>
          <t>1000021480</t>
        </is>
      </c>
      <c r="J223" s="69" t="inlineStr">
        <is>
          <t>小青砖（共荣）</t>
        </is>
      </c>
      <c r="K223" s="70" t="n"/>
      <c r="L223" s="70" t="n"/>
      <c r="M223" s="71" t="inlineStr">
        <is>
          <t>m2</t>
        </is>
      </c>
      <c r="N223" s="72" t="n">
        <v>193.96</v>
      </c>
      <c r="O223" s="72">
        <f>ROUND(N223*(1+$F$10),2)</f>
        <v/>
      </c>
      <c r="P223" s="73">
        <f>ROUND(K223*N223,2)</f>
        <v/>
      </c>
      <c r="Q223" s="74">
        <f>ROUND(L223*N223,2)</f>
        <v/>
      </c>
      <c r="R223" s="75" t="n"/>
      <c r="S223" s="76" t="n"/>
      <c r="T223" s="77">
        <f>K223-L223</f>
        <v/>
      </c>
      <c r="U223" s="77">
        <f>P223-Q223</f>
        <v/>
      </c>
      <c r="V223" s="77">
        <f>ABS(U223)</f>
        <v/>
      </c>
      <c r="W223" s="78">
        <f>T223/L223</f>
        <v/>
      </c>
      <c r="X223" s="79">
        <f>ABS(W223)</f>
        <v/>
      </c>
      <c r="AG223" s="80" t="inlineStr">
        <is>
          <t>基本墙面积</t>
        </is>
      </c>
    </row>
    <row r="224" ht="11.4" customHeight="1">
      <c r="A224" s="67" t="inlineStr">
        <is>
          <t>57</t>
        </is>
      </c>
      <c r="B224" s="67" t="inlineStr">
        <is>
          <t>1055</t>
        </is>
      </c>
      <c r="C224" s="67" t="inlineStr">
        <is>
          <t>1611</t>
        </is>
      </c>
      <c r="D224" s="68" t="inlineStr">
        <is>
          <t>01</t>
        </is>
      </c>
      <c r="E224" s="68" t="inlineStr">
        <is>
          <t>6 物业施工费</t>
        </is>
      </c>
      <c r="F224" s="68" t="inlineStr">
        <is>
          <t>6.1 总承包工程</t>
        </is>
      </c>
      <c r="G224" s="68" t="inlineStr">
        <is>
          <t>6.1.1 内部装修工程</t>
        </is>
      </c>
      <c r="H224" s="68" t="inlineStr">
        <is>
          <t>大堂墙面基层和装饰层（不含卫生间及楼梯）</t>
        </is>
      </c>
      <c r="I224" s="69" t="inlineStr">
        <is>
          <t>1000021697</t>
        </is>
      </c>
      <c r="J224" s="69" t="inlineStr">
        <is>
          <t>小青砖（冠军）</t>
        </is>
      </c>
      <c r="K224" s="70" t="n"/>
      <c r="L224" s="70" t="n"/>
      <c r="M224" s="71" t="inlineStr">
        <is>
          <t>m2</t>
        </is>
      </c>
      <c r="N224" s="72" t="n">
        <v>215.74</v>
      </c>
      <c r="O224" s="72">
        <f>ROUND(N224*(1+$F$10),2)</f>
        <v/>
      </c>
      <c r="P224" s="73">
        <f>ROUND(K224*N224,2)</f>
        <v/>
      </c>
      <c r="Q224" s="74">
        <f>ROUND(L224*N224,2)</f>
        <v/>
      </c>
      <c r="R224" s="75" t="n"/>
      <c r="S224" s="76" t="n"/>
      <c r="T224" s="77">
        <f>K224-L224</f>
        <v/>
      </c>
      <c r="U224" s="77">
        <f>P224-Q224</f>
        <v/>
      </c>
      <c r="V224" s="77">
        <f>ABS(U224)</f>
        <v/>
      </c>
      <c r="W224" s="78">
        <f>T224/L224</f>
        <v/>
      </c>
      <c r="X224" s="79">
        <f>ABS(W224)</f>
        <v/>
      </c>
      <c r="AG224" s="80" t="inlineStr">
        <is>
          <t>基本墙面积</t>
        </is>
      </c>
    </row>
    <row r="225" ht="11.4" customHeight="1">
      <c r="A225" s="67" t="inlineStr">
        <is>
          <t>57</t>
        </is>
      </c>
      <c r="B225" s="67" t="inlineStr">
        <is>
          <t>1055</t>
        </is>
      </c>
      <c r="C225" s="67" t="inlineStr">
        <is>
          <t>1611</t>
        </is>
      </c>
      <c r="D225" s="68" t="inlineStr">
        <is>
          <t>01</t>
        </is>
      </c>
      <c r="E225" s="68" t="inlineStr">
        <is>
          <t>6 物业施工费</t>
        </is>
      </c>
      <c r="F225" s="68" t="inlineStr">
        <is>
          <t>6.1 总承包工程</t>
        </is>
      </c>
      <c r="G225" s="68" t="inlineStr">
        <is>
          <t>6.1.1 内部装修工程</t>
        </is>
      </c>
      <c r="H225" s="68" t="inlineStr">
        <is>
          <t>大堂墙面基层和装饰层（不含卫生间及楼梯）</t>
        </is>
      </c>
      <c r="I225" s="69" t="inlineStr">
        <is>
          <t>1000021632</t>
        </is>
      </c>
      <c r="J225" s="69" t="inlineStr">
        <is>
          <t>防火板红色六角螺丝（Ray,墙面装饰）</t>
        </is>
      </c>
      <c r="K225" s="70" t="n"/>
      <c r="L225" s="70" t="n"/>
      <c r="M225" s="71" t="inlineStr">
        <is>
          <t>项</t>
        </is>
      </c>
      <c r="N225" s="72" t="n">
        <v>1376</v>
      </c>
      <c r="O225" s="72">
        <f>ROUND(N225*(1+$F$10),2)</f>
        <v/>
      </c>
      <c r="P225" s="73">
        <f>ROUND(K225*N225,2)</f>
        <v/>
      </c>
      <c r="Q225" s="74">
        <f>ROUND(L225*N225,2)</f>
        <v/>
      </c>
      <c r="R225" s="75" t="n"/>
      <c r="S225" s="76" t="n"/>
      <c r="T225" s="77">
        <f>K225-L225</f>
        <v/>
      </c>
      <c r="U225" s="77">
        <f>P225-Q225</f>
        <v/>
      </c>
      <c r="V225" s="77">
        <f>ABS(U225)</f>
        <v/>
      </c>
      <c r="W225" s="78">
        <f>T225/L225</f>
        <v/>
      </c>
      <c r="X225" s="79">
        <f>ABS(W225)</f>
        <v/>
      </c>
      <c r="AH225" s="80" t="inlineStr">
        <is>
          <t>委托书</t>
        </is>
      </c>
    </row>
    <row r="226" ht="11.4" customHeight="1">
      <c r="A226" s="67" t="inlineStr">
        <is>
          <t>57</t>
        </is>
      </c>
      <c r="B226" s="67" t="inlineStr">
        <is>
          <t>1055</t>
        </is>
      </c>
      <c r="C226" s="67" t="inlineStr">
        <is>
          <t>1611</t>
        </is>
      </c>
      <c r="D226" s="68" t="inlineStr">
        <is>
          <t>01</t>
        </is>
      </c>
      <c r="E226" s="68" t="inlineStr">
        <is>
          <t>6 物业施工费</t>
        </is>
      </c>
      <c r="F226" s="68" t="inlineStr">
        <is>
          <t>6.1 总承包工程</t>
        </is>
      </c>
      <c r="G226" s="68" t="inlineStr">
        <is>
          <t>6.1.1 内部装修工程</t>
        </is>
      </c>
      <c r="H226" s="68" t="inlineStr">
        <is>
          <t>大堂墙面基层和装饰层（不含卫生间及楼梯）</t>
        </is>
      </c>
      <c r="I226" s="69" t="inlineStr">
        <is>
          <t>1000021482</t>
        </is>
      </c>
      <c r="J226" s="69" t="inlineStr">
        <is>
          <t>人造石贴面（不含基层）</t>
        </is>
      </c>
      <c r="K226" s="70" t="n"/>
      <c r="L226" s="70" t="n"/>
      <c r="M226" s="71" t="inlineStr">
        <is>
          <t>m2</t>
        </is>
      </c>
      <c r="N226" s="72" t="n">
        <v>1134.73</v>
      </c>
      <c r="O226" s="72">
        <f>ROUND(N226*(1+$F$10),2)</f>
        <v/>
      </c>
      <c r="P226" s="73">
        <f>ROUND(K226*N226,2)</f>
        <v/>
      </c>
      <c r="Q226" s="74">
        <f>ROUND(L226*N226,2)</f>
        <v/>
      </c>
      <c r="R226" s="75" t="n"/>
      <c r="S226" s="76" t="n"/>
      <c r="T226" s="77">
        <f>K226-L226</f>
        <v/>
      </c>
      <c r="U226" s="77">
        <f>P226-Q226</f>
        <v/>
      </c>
      <c r="V226" s="77">
        <f>ABS(U226)</f>
        <v/>
      </c>
      <c r="W226" s="78">
        <f>T226/L226</f>
        <v/>
      </c>
      <c r="X226" s="79">
        <f>ABS(W226)</f>
        <v/>
      </c>
      <c r="AG226" s="80" t="inlineStr">
        <is>
          <t>基本墙面积</t>
        </is>
      </c>
    </row>
    <row r="227" ht="11.4" customHeight="1">
      <c r="A227" s="67" t="inlineStr">
        <is>
          <t>57</t>
        </is>
      </c>
      <c r="B227" s="67" t="inlineStr">
        <is>
          <t>1055</t>
        </is>
      </c>
      <c r="C227" s="67" t="inlineStr">
        <is>
          <t>1611</t>
        </is>
      </c>
      <c r="D227" s="68" t="inlineStr">
        <is>
          <t>01</t>
        </is>
      </c>
      <c r="E227" s="68" t="inlineStr">
        <is>
          <t>6 物业施工费</t>
        </is>
      </c>
      <c r="F227" s="68" t="inlineStr">
        <is>
          <t>6.1 总承包工程</t>
        </is>
      </c>
      <c r="G227" s="68" t="inlineStr">
        <is>
          <t>6.1.1 内部装修工程</t>
        </is>
      </c>
      <c r="H227" s="68" t="inlineStr">
        <is>
          <t>大堂墙面基层和装饰层（不含卫生间及楼梯）</t>
        </is>
      </c>
      <c r="I227" s="69" t="inlineStr">
        <is>
          <t>1000021483</t>
        </is>
      </c>
      <c r="J227" s="69" t="inlineStr">
        <is>
          <t>室内深色乳胶漆（含批搪，可擦洗）</t>
        </is>
      </c>
      <c r="K227" s="70" t="n"/>
      <c r="L227" s="70" t="n"/>
      <c r="M227" s="71" t="inlineStr">
        <is>
          <t>m2</t>
        </is>
      </c>
      <c r="N227" s="72" t="n">
        <v>62.19</v>
      </c>
      <c r="O227" s="72">
        <f>ROUND(N227*(1+$F$10),2)</f>
        <v/>
      </c>
      <c r="P227" s="73">
        <f>ROUND(K227*N227,2)</f>
        <v/>
      </c>
      <c r="Q227" s="74">
        <f>ROUND(L227*N227,2)</f>
        <v/>
      </c>
      <c r="R227" s="75" t="n"/>
      <c r="S227" s="76" t="n"/>
      <c r="T227" s="77">
        <f>K227-L227</f>
        <v/>
      </c>
      <c r="U227" s="77">
        <f>P227-Q227</f>
        <v/>
      </c>
      <c r="V227" s="77">
        <f>ABS(U227)</f>
        <v/>
      </c>
      <c r="W227" s="78">
        <f>T227/L227</f>
        <v/>
      </c>
      <c r="X227" s="79">
        <f>ABS(W227)</f>
        <v/>
      </c>
      <c r="AG227" s="80" t="inlineStr">
        <is>
          <t>基本墙面积</t>
        </is>
      </c>
    </row>
    <row r="228" ht="11.4" customHeight="1">
      <c r="A228" s="67" t="inlineStr">
        <is>
          <t>57</t>
        </is>
      </c>
      <c r="B228" s="67" t="inlineStr">
        <is>
          <t>1055</t>
        </is>
      </c>
      <c r="C228" s="67" t="inlineStr">
        <is>
          <t>1611</t>
        </is>
      </c>
      <c r="D228" s="68" t="inlineStr">
        <is>
          <t>01</t>
        </is>
      </c>
      <c r="E228" s="68" t="inlineStr">
        <is>
          <t>6 物业施工费</t>
        </is>
      </c>
      <c r="F228" s="68" t="inlineStr">
        <is>
          <t>6.1 总承包工程</t>
        </is>
      </c>
      <c r="G228" s="68" t="inlineStr">
        <is>
          <t>6.1.1 内部装修工程</t>
        </is>
      </c>
      <c r="H228" s="68" t="inlineStr">
        <is>
          <t>大堂墙面基层和装饰层（不含卫生间及楼梯）</t>
        </is>
      </c>
      <c r="I228" s="69" t="inlineStr">
        <is>
          <t>1000021779</t>
        </is>
      </c>
      <c r="J228" s="84" t="inlineStr">
        <is>
          <t>装饰画墙面基层</t>
        </is>
      </c>
      <c r="K228" s="70" t="n"/>
      <c r="L228" s="70" t="n"/>
      <c r="M228" s="71" t="inlineStr">
        <is>
          <t>m2</t>
        </is>
      </c>
      <c r="N228" s="72" t="n">
        <v>205.04</v>
      </c>
      <c r="O228" s="72">
        <f>ROUND(N228*(1+$F$10),2)</f>
        <v/>
      </c>
      <c r="P228" s="73">
        <f>ROUND(K228*N228,2)</f>
        <v/>
      </c>
      <c r="Q228" s="74">
        <f>ROUND(L228*N228,2)</f>
        <v/>
      </c>
      <c r="R228" s="75" t="n"/>
      <c r="S228" s="76" t="n"/>
      <c r="T228" s="77">
        <f>K228-L228</f>
        <v/>
      </c>
      <c r="U228" s="77">
        <f>P228-Q228</f>
        <v/>
      </c>
      <c r="V228" s="77">
        <f>ABS(U228)</f>
        <v/>
      </c>
      <c r="W228" s="78">
        <f>T228/L228</f>
        <v/>
      </c>
      <c r="X228" s="79">
        <f>ABS(W228)</f>
        <v/>
      </c>
      <c r="AG228" s="80" t="inlineStr">
        <is>
          <t>基本墙面积</t>
        </is>
      </c>
    </row>
    <row r="229" ht="11.4" customHeight="1">
      <c r="A229" s="67" t="inlineStr">
        <is>
          <t>66</t>
        </is>
      </c>
      <c r="B229" s="67" t="inlineStr">
        <is>
          <t>1064</t>
        </is>
      </c>
      <c r="C229" s="67" t="inlineStr">
        <is>
          <t>1644</t>
        </is>
      </c>
      <c r="D229" s="68" t="inlineStr">
        <is>
          <t>01</t>
        </is>
      </c>
      <c r="E229" s="68" t="inlineStr">
        <is>
          <t>6 物业施工费</t>
        </is>
      </c>
      <c r="F229" s="68" t="inlineStr">
        <is>
          <t>6.1 总承包工程</t>
        </is>
      </c>
      <c r="G229" s="68" t="inlineStr">
        <is>
          <t>6.1.1 内部装修工程</t>
        </is>
      </c>
      <c r="H229" s="68" t="inlineStr">
        <is>
          <t>大堂墙面，墙画</t>
        </is>
      </c>
      <c r="I229" s="69" t="inlineStr">
        <is>
          <t>1000021627</t>
        </is>
      </c>
      <c r="J229" s="69" t="inlineStr">
        <is>
          <t>墙画（仅主材-1年期）</t>
        </is>
      </c>
      <c r="K229" s="70" t="n"/>
      <c r="L229" s="70" t="n"/>
      <c r="M229" s="71" t="inlineStr">
        <is>
          <t>m2</t>
        </is>
      </c>
      <c r="N229" s="72" t="n"/>
      <c r="O229" s="72">
        <f>ROUND(N229*(1+$F$10),2)</f>
        <v/>
      </c>
      <c r="P229" s="73">
        <f>ROUND(K229*N229,2)</f>
        <v/>
      </c>
      <c r="Q229" s="74">
        <f>ROUND(L229*N229,2)</f>
        <v/>
      </c>
      <c r="R229" s="75" t="n"/>
      <c r="S229" s="76" t="n"/>
      <c r="T229" s="77">
        <f>K229-L229</f>
        <v/>
      </c>
      <c r="U229" s="77">
        <f>P229-Q229</f>
        <v/>
      </c>
      <c r="V229" s="77">
        <f>ABS(U229)</f>
        <v/>
      </c>
      <c r="W229" s="78">
        <f>T229/L229</f>
        <v/>
      </c>
      <c r="X229" s="79">
        <f>ABS(W229)</f>
        <v/>
      </c>
      <c r="AG229" s="80" t="inlineStr">
        <is>
          <t>基本墙面积</t>
        </is>
      </c>
    </row>
    <row r="230" ht="11.4" customHeight="1">
      <c r="A230" s="67" t="inlineStr">
        <is>
          <t>66</t>
        </is>
      </c>
      <c r="B230" s="67" t="inlineStr">
        <is>
          <t>1064</t>
        </is>
      </c>
      <c r="C230" s="67" t="inlineStr">
        <is>
          <t>1644</t>
        </is>
      </c>
      <c r="D230" s="68" t="inlineStr">
        <is>
          <t>01</t>
        </is>
      </c>
      <c r="E230" s="68" t="inlineStr">
        <is>
          <t>6 物业施工费</t>
        </is>
      </c>
      <c r="F230" s="68" t="inlineStr">
        <is>
          <t>6.1 总承包工程</t>
        </is>
      </c>
      <c r="G230" s="68" t="inlineStr">
        <is>
          <t>6.1.1 内部装修工程</t>
        </is>
      </c>
      <c r="H230" s="68" t="inlineStr">
        <is>
          <t>大堂墙面，墙画</t>
        </is>
      </c>
      <c r="I230" s="69" t="inlineStr">
        <is>
          <t>1000021484</t>
        </is>
      </c>
      <c r="J230" s="69" t="inlineStr">
        <is>
          <t>墙画（仅主材-3年期）</t>
        </is>
      </c>
      <c r="K230" s="70" t="n"/>
      <c r="L230" s="70" t="n"/>
      <c r="M230" s="71" t="inlineStr">
        <is>
          <t>m2</t>
        </is>
      </c>
      <c r="N230" s="72" t="n"/>
      <c r="O230" s="72">
        <f>ROUND(N230*(1+$F$10),2)</f>
        <v/>
      </c>
      <c r="P230" s="73">
        <f>ROUND(K230*N230,2)</f>
        <v/>
      </c>
      <c r="Q230" s="74">
        <f>ROUND(L230*N230,2)</f>
        <v/>
      </c>
      <c r="R230" s="75" t="n"/>
      <c r="S230" s="76" t="n"/>
      <c r="T230" s="77">
        <f>K230-L230</f>
        <v/>
      </c>
      <c r="U230" s="77">
        <f>P230-Q230</f>
        <v/>
      </c>
      <c r="V230" s="77">
        <f>ABS(U230)</f>
        <v/>
      </c>
      <c r="W230" s="78">
        <f>T230/L230</f>
        <v/>
      </c>
      <c r="X230" s="79">
        <f>ABS(W230)</f>
        <v/>
      </c>
      <c r="AG230" s="80" t="inlineStr">
        <is>
          <t>基本墙面积</t>
        </is>
      </c>
    </row>
    <row r="231" ht="11.4" customHeight="1">
      <c r="A231" s="67" t="inlineStr">
        <is>
          <t>66</t>
        </is>
      </c>
      <c r="B231" s="67" t="inlineStr">
        <is>
          <t>1064</t>
        </is>
      </c>
      <c r="C231" s="67" t="inlineStr">
        <is>
          <t>1644</t>
        </is>
      </c>
      <c r="D231" s="68" t="inlineStr">
        <is>
          <t>01</t>
        </is>
      </c>
      <c r="E231" s="68" t="inlineStr">
        <is>
          <t>6 物业施工费</t>
        </is>
      </c>
      <c r="F231" s="68" t="inlineStr">
        <is>
          <t>6.1 总承包工程</t>
        </is>
      </c>
      <c r="G231" s="68" t="inlineStr">
        <is>
          <t>6.1.1 内部装修工程</t>
        </is>
      </c>
      <c r="H231" s="68" t="inlineStr">
        <is>
          <t>大堂墙面，墙画</t>
        </is>
      </c>
      <c r="I231" s="69" t="inlineStr">
        <is>
          <t>1000021628</t>
        </is>
      </c>
      <c r="J231" s="69" t="inlineStr">
        <is>
          <t>墙画（仅主材-5年期）</t>
        </is>
      </c>
      <c r="K231" s="70" t="n"/>
      <c r="L231" s="70" t="n"/>
      <c r="M231" s="71" t="inlineStr">
        <is>
          <t>m2</t>
        </is>
      </c>
      <c r="N231" s="72" t="n"/>
      <c r="O231" s="72">
        <f>ROUND(N231*(1+$F$10),2)</f>
        <v/>
      </c>
      <c r="P231" s="73">
        <f>ROUND(K231*N231,2)</f>
        <v/>
      </c>
      <c r="Q231" s="74">
        <f>ROUND(L231*N231,2)</f>
        <v/>
      </c>
      <c r="R231" s="75" t="n"/>
      <c r="S231" s="76" t="n"/>
      <c r="T231" s="77">
        <f>K231-L231</f>
        <v/>
      </c>
      <c r="U231" s="77">
        <f>P231-Q231</f>
        <v/>
      </c>
      <c r="V231" s="77">
        <f>ABS(U231)</f>
        <v/>
      </c>
      <c r="W231" s="78">
        <f>T231/L231</f>
        <v/>
      </c>
      <c r="X231" s="79">
        <f>ABS(W231)</f>
        <v/>
      </c>
      <c r="AG231" s="80" t="inlineStr">
        <is>
          <t>基本墙面积</t>
        </is>
      </c>
    </row>
    <row r="232" ht="11.4" customHeight="1">
      <c r="A232" s="67" t="inlineStr">
        <is>
          <t>66</t>
        </is>
      </c>
      <c r="B232" s="67" t="inlineStr">
        <is>
          <t>1064</t>
        </is>
      </c>
      <c r="C232" s="67" t="inlineStr">
        <is>
          <t>1644</t>
        </is>
      </c>
      <c r="D232" s="68" t="inlineStr">
        <is>
          <t>01</t>
        </is>
      </c>
      <c r="E232" s="68" t="inlineStr">
        <is>
          <t>6 物业施工费</t>
        </is>
      </c>
      <c r="F232" s="68" t="inlineStr">
        <is>
          <t>6.1 总承包工程</t>
        </is>
      </c>
      <c r="G232" s="68" t="inlineStr">
        <is>
          <t>6.1.1 内部装修工程</t>
        </is>
      </c>
      <c r="H232" s="68" t="inlineStr">
        <is>
          <t>大堂墙面，墙画</t>
        </is>
      </c>
      <c r="I232" s="69" t="inlineStr">
        <is>
          <t>1000021780</t>
        </is>
      </c>
      <c r="J232" s="69" t="inlineStr">
        <is>
          <t>墙画安装</t>
        </is>
      </c>
      <c r="K232" s="70" t="n"/>
      <c r="L232" s="70" t="n"/>
      <c r="M232" s="71" t="inlineStr">
        <is>
          <t>m2</t>
        </is>
      </c>
      <c r="N232" s="72" t="n">
        <v>58</v>
      </c>
      <c r="O232" s="72">
        <f>ROUND(N232*(1+$F$10),2)</f>
        <v/>
      </c>
      <c r="P232" s="73">
        <f>ROUND(K232*N232,2)</f>
        <v/>
      </c>
      <c r="Q232" s="74">
        <f>ROUND(L232*N232,2)</f>
        <v/>
      </c>
      <c r="R232" s="75" t="n"/>
      <c r="S232" s="76" t="n"/>
      <c r="T232" s="77">
        <f>K232-L232</f>
        <v/>
      </c>
      <c r="U232" s="77">
        <f>P232-Q232</f>
        <v/>
      </c>
      <c r="V232" s="77">
        <f>ABS(U232)</f>
        <v/>
      </c>
      <c r="W232" s="78">
        <f>T232/L232</f>
        <v/>
      </c>
      <c r="X232" s="79">
        <f>ABS(W232)</f>
        <v/>
      </c>
      <c r="AG232" s="80" t="inlineStr">
        <is>
          <t>基本墙面积</t>
        </is>
      </c>
    </row>
    <row r="233" ht="11.4" customHeight="1">
      <c r="A233" s="67" t="inlineStr">
        <is>
          <t>66</t>
        </is>
      </c>
      <c r="B233" s="67" t="inlineStr">
        <is>
          <t>1064</t>
        </is>
      </c>
      <c r="C233" s="67" t="inlineStr">
        <is>
          <t>1644</t>
        </is>
      </c>
      <c r="D233" s="68" t="inlineStr">
        <is>
          <t>01</t>
        </is>
      </c>
      <c r="E233" s="68" t="inlineStr">
        <is>
          <t>6 物业施工费</t>
        </is>
      </c>
      <c r="F233" s="68" t="inlineStr">
        <is>
          <t>6.1 总承包工程</t>
        </is>
      </c>
      <c r="G233" s="68" t="inlineStr">
        <is>
          <t>6.1.1 内部装修工程</t>
        </is>
      </c>
      <c r="H233" s="68" t="inlineStr">
        <is>
          <t>大堂墙面，墙画</t>
        </is>
      </c>
      <c r="I233" s="69" t="inlineStr">
        <is>
          <t>1000021606</t>
        </is>
      </c>
      <c r="J233" s="69" t="inlineStr">
        <is>
          <t>热压膜（主材）</t>
        </is>
      </c>
      <c r="K233" s="70" t="n"/>
      <c r="L233" s="70" t="n"/>
      <c r="M233" s="71" t="inlineStr">
        <is>
          <t>m2</t>
        </is>
      </c>
      <c r="N233" s="72" t="n"/>
      <c r="O233" s="72">
        <f>ROUND(N233*(1+$F$10),2)</f>
        <v/>
      </c>
      <c r="P233" s="73">
        <f>ROUND(K233*N233,2)</f>
        <v/>
      </c>
      <c r="Q233" s="74">
        <f>ROUND(L233*N233,2)</f>
        <v/>
      </c>
      <c r="R233" s="75" t="n"/>
      <c r="S233" s="76" t="n"/>
      <c r="T233" s="77">
        <f>K233-L233</f>
        <v/>
      </c>
      <c r="U233" s="77">
        <f>P233-Q233</f>
        <v/>
      </c>
      <c r="V233" s="77">
        <f>ABS(U233)</f>
        <v/>
      </c>
      <c r="W233" s="78">
        <f>T233/L233</f>
        <v/>
      </c>
      <c r="X233" s="79">
        <f>ABS(W233)</f>
        <v/>
      </c>
      <c r="AG233" s="80" t="inlineStr">
        <is>
          <t>基本墙面积</t>
        </is>
      </c>
    </row>
    <row r="234" ht="11.4" customHeight="1">
      <c r="A234" s="67" t="inlineStr">
        <is>
          <t>66</t>
        </is>
      </c>
      <c r="B234" s="67" t="inlineStr">
        <is>
          <t>1064</t>
        </is>
      </c>
      <c r="C234" s="67" t="inlineStr">
        <is>
          <t>1644</t>
        </is>
      </c>
      <c r="D234" s="68" t="inlineStr">
        <is>
          <t>01</t>
        </is>
      </c>
      <c r="E234" s="68" t="inlineStr">
        <is>
          <t>6 物业施工费</t>
        </is>
      </c>
      <c r="F234" s="68" t="inlineStr">
        <is>
          <t>6.1 总承包工程</t>
        </is>
      </c>
      <c r="G234" s="68" t="inlineStr">
        <is>
          <t>6.1.1 内部装修工程</t>
        </is>
      </c>
      <c r="H234" s="68" t="inlineStr">
        <is>
          <t>大堂墙面，墙画</t>
        </is>
      </c>
      <c r="I234" s="69" t="inlineStr">
        <is>
          <t>1000022164</t>
        </is>
      </c>
      <c r="J234" s="69" t="inlineStr">
        <is>
          <t>热压膜（安装）</t>
        </is>
      </c>
      <c r="K234" s="70" t="n"/>
      <c r="L234" s="70" t="n"/>
      <c r="M234" s="71" t="inlineStr">
        <is>
          <t>m2</t>
        </is>
      </c>
      <c r="N234" s="72" t="n">
        <v>78.06999999999999</v>
      </c>
      <c r="O234" s="72">
        <f>ROUND(N234*(1+$F$10),2)</f>
        <v/>
      </c>
      <c r="P234" s="73">
        <f>ROUND(K234*N234,2)</f>
        <v/>
      </c>
      <c r="Q234" s="74">
        <f>ROUND(L234*N234,2)</f>
        <v/>
      </c>
      <c r="R234" s="75" t="n"/>
      <c r="S234" s="76" t="n"/>
      <c r="T234" s="77">
        <f>K234-L234</f>
        <v/>
      </c>
      <c r="U234" s="77">
        <f>P234-Q234</f>
        <v/>
      </c>
      <c r="V234" s="77">
        <f>ABS(U234)</f>
        <v/>
      </c>
      <c r="W234" s="78">
        <f>T234/L234</f>
        <v/>
      </c>
      <c r="X234" s="79">
        <f>ABS(W234)</f>
        <v/>
      </c>
      <c r="AG234" s="80" t="inlineStr">
        <is>
          <t>基本墙面积</t>
        </is>
      </c>
    </row>
    <row r="235" ht="11.4" customHeight="1">
      <c r="A235" s="67" t="inlineStr">
        <is>
          <t>66</t>
        </is>
      </c>
      <c r="B235" s="67" t="inlineStr">
        <is>
          <t>1064</t>
        </is>
      </c>
      <c r="C235" s="67" t="inlineStr">
        <is>
          <t>1644</t>
        </is>
      </c>
      <c r="D235" s="68" t="inlineStr">
        <is>
          <t>01</t>
        </is>
      </c>
      <c r="E235" s="68" t="inlineStr">
        <is>
          <t>6 物业施工费</t>
        </is>
      </c>
      <c r="F235" s="68" t="inlineStr">
        <is>
          <t>6.1 总承包工程</t>
        </is>
      </c>
      <c r="G235" s="68" t="inlineStr">
        <is>
          <t>6.1.1 内部装修工程</t>
        </is>
      </c>
      <c r="H235" s="68" t="inlineStr">
        <is>
          <t>大堂墙面，墙画</t>
        </is>
      </c>
      <c r="I235" s="69" t="inlineStr">
        <is>
          <t>1000021648</t>
        </is>
      </c>
      <c r="J235" s="69" t="inlineStr">
        <is>
          <t>餐厅定制3M墙画（Ray,主材及安装）</t>
        </is>
      </c>
      <c r="K235" s="70" t="n"/>
      <c r="L235" s="70" t="n"/>
      <c r="M235" s="71" t="inlineStr">
        <is>
          <t>m2</t>
        </is>
      </c>
      <c r="N235" s="72" t="n">
        <v>358.52</v>
      </c>
      <c r="O235" s="72">
        <f>ROUND(N235*(1+$F$10),2)</f>
        <v/>
      </c>
      <c r="P235" s="73">
        <f>ROUND(K235*N235,2)</f>
        <v/>
      </c>
      <c r="Q235" s="74">
        <f>ROUND(L235*N235,2)</f>
        <v/>
      </c>
      <c r="R235" s="75" t="n"/>
      <c r="S235" s="76" t="n"/>
      <c r="T235" s="77">
        <f>K235-L235</f>
        <v/>
      </c>
      <c r="U235" s="77">
        <f>P235-Q235</f>
        <v/>
      </c>
      <c r="V235" s="77">
        <f>ABS(U235)</f>
        <v/>
      </c>
      <c r="W235" s="78">
        <f>T235/L235</f>
        <v/>
      </c>
      <c r="X235" s="79">
        <f>ABS(W235)</f>
        <v/>
      </c>
      <c r="AG235" s="80" t="inlineStr">
        <is>
          <t>基本墙面积</t>
        </is>
      </c>
    </row>
    <row r="236" ht="11.4" customHeight="1">
      <c r="A236" s="67" t="inlineStr">
        <is>
          <t>58</t>
        </is>
      </c>
      <c r="B236" s="67" t="inlineStr">
        <is>
          <t>1056</t>
        </is>
      </c>
      <c r="C236" s="67" t="inlineStr">
        <is>
          <t>1611</t>
        </is>
      </c>
      <c r="D236" s="68" t="inlineStr">
        <is>
          <t>01</t>
        </is>
      </c>
      <c r="E236" s="68" t="inlineStr">
        <is>
          <t>6 物业施工费</t>
        </is>
      </c>
      <c r="F236" s="68" t="inlineStr">
        <is>
          <t>6.1 总承包工程</t>
        </is>
      </c>
      <c r="G236" s="68" t="inlineStr">
        <is>
          <t>6.1.1 内部装修工程</t>
        </is>
      </c>
      <c r="H236" s="68" t="inlineStr">
        <is>
          <t>大堂吊顶（不含卫生间）</t>
        </is>
      </c>
      <c r="I236" s="69" t="inlineStr">
        <is>
          <t>1000021485</t>
        </is>
      </c>
      <c r="J236" s="69" t="inlineStr">
        <is>
          <t>600x600烤漆T龙防潮隔音矿棉天花</t>
        </is>
      </c>
      <c r="K236" s="70" t="n"/>
      <c r="L236" s="70" t="n"/>
      <c r="M236" s="71" t="inlineStr">
        <is>
          <t>m2</t>
        </is>
      </c>
      <c r="N236" s="72" t="n">
        <v>127.36</v>
      </c>
      <c r="O236" s="72">
        <f>ROUND(N236*(1+$F$10),2)</f>
        <v/>
      </c>
      <c r="P236" s="73">
        <f>ROUND(K236*N236,2)</f>
        <v/>
      </c>
      <c r="Q236" s="74">
        <f>ROUND(L236*N236,2)</f>
        <v/>
      </c>
      <c r="R236" s="75" t="n"/>
      <c r="S236" s="76" t="n"/>
      <c r="T236" s="77">
        <f>K236-L236</f>
        <v/>
      </c>
      <c r="U236" s="77">
        <f>P236-Q236</f>
        <v/>
      </c>
      <c r="V236" s="77">
        <f>ABS(U236)</f>
        <v/>
      </c>
      <c r="W236" s="78">
        <f>T236/L236</f>
        <v/>
      </c>
      <c r="X236" s="79">
        <f>ABS(W236)</f>
        <v/>
      </c>
      <c r="AG236" s="80" t="inlineStr">
        <is>
          <t>天花板面积</t>
        </is>
      </c>
    </row>
    <row r="237" ht="11.4" customHeight="1">
      <c r="A237" s="67" t="inlineStr">
        <is>
          <t>58</t>
        </is>
      </c>
      <c r="B237" s="67" t="inlineStr">
        <is>
          <t>1056</t>
        </is>
      </c>
      <c r="C237" s="67" t="inlineStr">
        <is>
          <t>1611</t>
        </is>
      </c>
      <c r="D237" s="68" t="inlineStr">
        <is>
          <t>01</t>
        </is>
      </c>
      <c r="E237" s="68" t="inlineStr">
        <is>
          <t>6 物业施工费</t>
        </is>
      </c>
      <c r="F237" s="68" t="inlineStr">
        <is>
          <t>6.1 总承包工程</t>
        </is>
      </c>
      <c r="G237" s="68" t="inlineStr">
        <is>
          <t>6.1.1 内部装修工程</t>
        </is>
      </c>
      <c r="H237" s="68" t="inlineStr">
        <is>
          <t>大堂吊顶（不含卫生间）</t>
        </is>
      </c>
      <c r="I237" s="69" t="inlineStr">
        <is>
          <t>1000021486</t>
        </is>
      </c>
      <c r="J237" s="69" t="inlineStr">
        <is>
          <t>600*1200烤漆龙骨防潮矿棉板天花</t>
        </is>
      </c>
      <c r="K237" s="70" t="n"/>
      <c r="L237" s="70" t="n"/>
      <c r="M237" s="71" t="inlineStr">
        <is>
          <t>m2</t>
        </is>
      </c>
      <c r="N237" s="72" t="n">
        <v>138.36</v>
      </c>
      <c r="O237" s="72">
        <f>ROUND(N237*(1+$F$10),2)</f>
        <v/>
      </c>
      <c r="P237" s="73">
        <f>ROUND(K237*N237,2)</f>
        <v/>
      </c>
      <c r="Q237" s="74">
        <f>ROUND(L237*N237,2)</f>
        <v/>
      </c>
      <c r="R237" s="75" t="n"/>
      <c r="S237" s="76" t="n"/>
      <c r="T237" s="77">
        <f>K237-L237</f>
        <v/>
      </c>
      <c r="U237" s="77">
        <f>P237-Q237</f>
        <v/>
      </c>
      <c r="V237" s="77">
        <f>ABS(U237)</f>
        <v/>
      </c>
      <c r="W237" s="78">
        <f>T237/L237</f>
        <v/>
      </c>
      <c r="X237" s="79">
        <f>ABS(W237)</f>
        <v/>
      </c>
      <c r="AG237" s="80" t="inlineStr">
        <is>
          <t>天花板面积</t>
        </is>
      </c>
    </row>
    <row r="238" ht="11.4" customHeight="1">
      <c r="A238" s="67" t="inlineStr">
        <is>
          <t>58</t>
        </is>
      </c>
      <c r="B238" s="67" t="inlineStr">
        <is>
          <t>1056</t>
        </is>
      </c>
      <c r="C238" s="67" t="inlineStr">
        <is>
          <t>1611</t>
        </is>
      </c>
      <c r="D238" s="68" t="inlineStr">
        <is>
          <t>01</t>
        </is>
      </c>
      <c r="E238" s="68" t="inlineStr">
        <is>
          <t>6 物业施工费</t>
        </is>
      </c>
      <c r="F238" s="68" t="inlineStr">
        <is>
          <t>6.1 总承包工程</t>
        </is>
      </c>
      <c r="G238" s="68" t="inlineStr">
        <is>
          <t>6.1.1 内部装修工程</t>
        </is>
      </c>
      <c r="H238" s="68" t="inlineStr">
        <is>
          <t>大堂吊顶（不含卫生间）</t>
        </is>
      </c>
      <c r="I238" s="69" t="inlineStr">
        <is>
          <t>1000021487</t>
        </is>
      </c>
      <c r="J238" s="69" t="inlineStr">
        <is>
          <t>600*1200烤漆龙骨防潮防水矿棉板天花</t>
        </is>
      </c>
      <c r="K238" s="70" t="n"/>
      <c r="L238" s="70" t="n"/>
      <c r="M238" s="71" t="inlineStr">
        <is>
          <t>m2</t>
        </is>
      </c>
      <c r="N238" s="72" t="n">
        <v>138.36</v>
      </c>
      <c r="O238" s="72">
        <f>ROUND(N238*(1+$F$10),2)</f>
        <v/>
      </c>
      <c r="P238" s="73">
        <f>ROUND(K238*N238,2)</f>
        <v/>
      </c>
      <c r="Q238" s="74">
        <f>ROUND(L238*N238,2)</f>
        <v/>
      </c>
      <c r="R238" s="75" t="n"/>
      <c r="S238" s="76" t="n"/>
      <c r="T238" s="77">
        <f>K238-L238</f>
        <v/>
      </c>
      <c r="U238" s="77">
        <f>P238-Q238</f>
        <v/>
      </c>
      <c r="V238" s="77">
        <f>ABS(U238)</f>
        <v/>
      </c>
      <c r="W238" s="78">
        <f>T238/L238</f>
        <v/>
      </c>
      <c r="X238" s="79">
        <f>ABS(W238)</f>
        <v/>
      </c>
      <c r="AG238" s="80" t="inlineStr">
        <is>
          <t>天花板面积</t>
        </is>
      </c>
    </row>
    <row r="239" ht="11.4" customHeight="1">
      <c r="A239" s="67" t="inlineStr">
        <is>
          <t>58</t>
        </is>
      </c>
      <c r="B239" s="67" t="inlineStr">
        <is>
          <t>1056</t>
        </is>
      </c>
      <c r="C239" s="67" t="inlineStr">
        <is>
          <t>1611</t>
        </is>
      </c>
      <c r="D239" s="68" t="inlineStr">
        <is>
          <t>01</t>
        </is>
      </c>
      <c r="E239" s="68" t="inlineStr">
        <is>
          <t>6 物业施工费</t>
        </is>
      </c>
      <c r="F239" s="68" t="inlineStr">
        <is>
          <t>6.1 总承包工程</t>
        </is>
      </c>
      <c r="G239" s="68" t="inlineStr">
        <is>
          <t>6.1.1 内部装修工程</t>
        </is>
      </c>
      <c r="H239" s="68" t="inlineStr">
        <is>
          <t>大堂吊顶（不含卫生间）</t>
        </is>
      </c>
      <c r="I239" s="69" t="inlineStr">
        <is>
          <t>1000021488</t>
        </is>
      </c>
      <c r="J239" s="69" t="inlineStr">
        <is>
          <t>600*1200烤漆龙骨防潮灰色矿棉板天花</t>
        </is>
      </c>
      <c r="K239" s="70" t="n">
        <v>66.59999999999999</v>
      </c>
      <c r="L239" s="70" t="n">
        <v>67.12</v>
      </c>
      <c r="M239" s="71" t="inlineStr">
        <is>
          <t>m2</t>
        </is>
      </c>
      <c r="N239" s="72" t="n">
        <v>205.49</v>
      </c>
      <c r="O239" s="72">
        <f>ROUND(N239*(1+$F$10),2)</f>
        <v/>
      </c>
      <c r="P239" s="73">
        <f>ROUND(K239*N239,2)</f>
        <v/>
      </c>
      <c r="Q239" s="74">
        <f>ROUND(L239*N239,2)</f>
        <v/>
      </c>
      <c r="R239" s="75" t="n"/>
      <c r="S239" s="76" t="n"/>
      <c r="T239" s="77">
        <f>K239-L239</f>
        <v/>
      </c>
      <c r="U239" s="77">
        <f>P239-Q239</f>
        <v/>
      </c>
      <c r="V239" s="77">
        <f>ABS(U239)</f>
        <v/>
      </c>
      <c r="W239" s="78">
        <f>T239/L239</f>
        <v/>
      </c>
      <c r="X239" s="79">
        <f>ABS(W239)</f>
        <v/>
      </c>
      <c r="AG239" s="80" t="inlineStr">
        <is>
          <t>天花板面积</t>
        </is>
      </c>
    </row>
    <row r="240" ht="11.4" customHeight="1">
      <c r="A240" s="67" t="inlineStr">
        <is>
          <t>58</t>
        </is>
      </c>
      <c r="B240" s="67" t="inlineStr">
        <is>
          <t>1056</t>
        </is>
      </c>
      <c r="C240" s="67" t="inlineStr">
        <is>
          <t>1611</t>
        </is>
      </c>
      <c r="D240" s="68" t="inlineStr">
        <is>
          <t>01</t>
        </is>
      </c>
      <c r="E240" s="68" t="inlineStr">
        <is>
          <t>6 物业施工费</t>
        </is>
      </c>
      <c r="F240" s="68" t="inlineStr">
        <is>
          <t>6.1 总承包工程</t>
        </is>
      </c>
      <c r="G240" s="68" t="inlineStr">
        <is>
          <t>6.1.1 内部装修工程</t>
        </is>
      </c>
      <c r="H240" s="68" t="inlineStr">
        <is>
          <t>大堂吊顶（不含卫生间）</t>
        </is>
      </c>
      <c r="I240" s="69" t="inlineStr">
        <is>
          <t>1000051716</t>
        </is>
      </c>
      <c r="J240" s="69" t="inlineStr">
        <is>
          <t>600*1200烤漆龙骨灰色木丝吸音板天花</t>
        </is>
      </c>
      <c r="K240" s="70" t="n"/>
      <c r="L240" s="70" t="n"/>
      <c r="M240" s="71" t="inlineStr">
        <is>
          <t>m2</t>
        </is>
      </c>
      <c r="N240" s="72" t="n">
        <v>263.1</v>
      </c>
      <c r="O240" s="72">
        <f>ROUND(N240*(1+$F$10),2)</f>
        <v/>
      </c>
      <c r="P240" s="73">
        <f>ROUND(K240*N240,2)</f>
        <v/>
      </c>
      <c r="Q240" s="74">
        <f>ROUND(L240*N240,2)</f>
        <v/>
      </c>
      <c r="R240" s="75" t="n"/>
      <c r="S240" s="76" t="n"/>
      <c r="T240" s="77">
        <f>K240-L240</f>
        <v/>
      </c>
      <c r="U240" s="77">
        <f>P240-Q240</f>
        <v/>
      </c>
      <c r="V240" s="77">
        <f>ABS(U240)</f>
        <v/>
      </c>
      <c r="W240" s="78">
        <f>T240/L240</f>
        <v/>
      </c>
      <c r="X240" s="79">
        <f>ABS(W240)</f>
        <v/>
      </c>
      <c r="AG240" s="80" t="inlineStr">
        <is>
          <t>天花板面积</t>
        </is>
      </c>
    </row>
    <row r="241" ht="11.4" customHeight="1">
      <c r="A241" s="67" t="inlineStr">
        <is>
          <t>58</t>
        </is>
      </c>
      <c r="B241" s="67" t="inlineStr">
        <is>
          <t>1056</t>
        </is>
      </c>
      <c r="C241" s="67" t="inlineStr">
        <is>
          <t>1611</t>
        </is>
      </c>
      <c r="D241" s="68" t="inlineStr">
        <is>
          <t>01</t>
        </is>
      </c>
      <c r="E241" s="68" t="inlineStr">
        <is>
          <t>6 物业施工费</t>
        </is>
      </c>
      <c r="F241" s="68" t="inlineStr">
        <is>
          <t>6.1 总承包工程</t>
        </is>
      </c>
      <c r="G241" s="68" t="inlineStr">
        <is>
          <t>6.1.1 内部装修工程</t>
        </is>
      </c>
      <c r="H241" s="68" t="inlineStr">
        <is>
          <t>大堂吊顶（不含卫生间）</t>
        </is>
      </c>
      <c r="I241" s="69" t="inlineStr">
        <is>
          <t>1000040048</t>
        </is>
      </c>
      <c r="J241" s="69" t="inlineStr">
        <is>
          <t>装饰木质格栅</t>
        </is>
      </c>
      <c r="K241" s="70" t="n"/>
      <c r="L241" s="70" t="n"/>
      <c r="M241" s="71" t="inlineStr">
        <is>
          <t>m2</t>
        </is>
      </c>
      <c r="N241" s="72" t="n">
        <v>2280.18</v>
      </c>
      <c r="O241" s="72">
        <f>ROUND(N241*(1+$F$10),2)</f>
        <v/>
      </c>
      <c r="P241" s="73">
        <f>ROUND(K241*N241,2)</f>
        <v/>
      </c>
      <c r="Q241" s="74">
        <f>ROUND(L241*N241,2)</f>
        <v/>
      </c>
      <c r="R241" s="75" t="n"/>
      <c r="S241" s="76" t="n"/>
      <c r="T241" s="77">
        <f>K241-L241</f>
        <v/>
      </c>
      <c r="U241" s="77">
        <f>P241-Q241</f>
        <v/>
      </c>
      <c r="V241" s="77">
        <f>ABS(U241)</f>
        <v/>
      </c>
      <c r="W241" s="78">
        <f>T241/L241</f>
        <v/>
      </c>
      <c r="X241" s="79">
        <f>ABS(W241)</f>
        <v/>
      </c>
      <c r="AG241" s="80" t="inlineStr">
        <is>
          <t>天花板面积</t>
        </is>
      </c>
    </row>
    <row r="242" ht="11.4" customHeight="1">
      <c r="A242" s="67" t="inlineStr">
        <is>
          <t>58</t>
        </is>
      </c>
      <c r="B242" s="67" t="inlineStr">
        <is>
          <t>1056</t>
        </is>
      </c>
      <c r="C242" s="67" t="inlineStr">
        <is>
          <t>1611</t>
        </is>
      </c>
      <c r="D242" s="68" t="inlineStr">
        <is>
          <t>01</t>
        </is>
      </c>
      <c r="E242" s="68" t="inlineStr">
        <is>
          <t>6 物业施工费</t>
        </is>
      </c>
      <c r="F242" s="68" t="inlineStr">
        <is>
          <t>6.1 总承包工程</t>
        </is>
      </c>
      <c r="G242" s="68" t="inlineStr">
        <is>
          <t>6.1.1 内部装修工程</t>
        </is>
      </c>
      <c r="H242" s="68" t="inlineStr">
        <is>
          <t>大堂吊顶（不含卫生间）</t>
        </is>
      </c>
      <c r="I242" s="69" t="inlineStr">
        <is>
          <t>1000021490</t>
        </is>
      </c>
      <c r="J242" s="69" t="inlineStr">
        <is>
          <t>孔板天花（含收边，含所有龙骨等辅件）</t>
        </is>
      </c>
      <c r="K242" s="70" t="n"/>
      <c r="L242" s="70" t="n"/>
      <c r="M242" s="71" t="inlineStr">
        <is>
          <t>m2</t>
        </is>
      </c>
      <c r="N242" s="72" t="n">
        <v>508.7</v>
      </c>
      <c r="O242" s="72">
        <f>ROUND(N242*(1+$F$10),2)</f>
        <v/>
      </c>
      <c r="P242" s="73">
        <f>ROUND(K242*N242,2)</f>
        <v/>
      </c>
      <c r="Q242" s="74">
        <f>ROUND(L242*N242,2)</f>
        <v/>
      </c>
      <c r="R242" s="75" t="n"/>
      <c r="S242" s="76" t="n"/>
      <c r="T242" s="77">
        <f>K242-L242</f>
        <v/>
      </c>
      <c r="U242" s="77">
        <f>P242-Q242</f>
        <v/>
      </c>
      <c r="V242" s="77">
        <f>ABS(U242)</f>
        <v/>
      </c>
      <c r="W242" s="78">
        <f>T242/L242</f>
        <v/>
      </c>
      <c r="X242" s="79">
        <f>ABS(W242)</f>
        <v/>
      </c>
      <c r="AG242" s="80" t="inlineStr">
        <is>
          <t>天花板面积</t>
        </is>
      </c>
    </row>
    <row r="243" ht="11.4" customHeight="1">
      <c r="A243" s="67" t="inlineStr">
        <is>
          <t>58</t>
        </is>
      </c>
      <c r="B243" s="67" t="inlineStr">
        <is>
          <t>1056</t>
        </is>
      </c>
      <c r="C243" s="67" t="inlineStr">
        <is>
          <t>1611</t>
        </is>
      </c>
      <c r="D243" s="68" t="inlineStr">
        <is>
          <t>01</t>
        </is>
      </c>
      <c r="E243" s="68" t="inlineStr">
        <is>
          <t>6 物业施工费</t>
        </is>
      </c>
      <c r="F243" s="68" t="inlineStr">
        <is>
          <t>6.1 总承包工程</t>
        </is>
      </c>
      <c r="G243" s="68" t="inlineStr">
        <is>
          <t>6.1.1 内部装修工程</t>
        </is>
      </c>
      <c r="H243" s="68" t="inlineStr">
        <is>
          <t>大堂吊顶（不含卫生间）</t>
        </is>
      </c>
      <c r="I243" s="69" t="inlineStr">
        <is>
          <t>1000051745</t>
        </is>
      </c>
      <c r="J243" s="69" t="inlineStr">
        <is>
          <t>孔板天花（桂可道，含收边，含所有龙骨等辅件）</t>
        </is>
      </c>
      <c r="K243" s="70" t="n"/>
      <c r="L243" s="70" t="n"/>
      <c r="M243" s="71" t="inlineStr">
        <is>
          <t>m2</t>
        </is>
      </c>
      <c r="N243" s="72" t="n">
        <v>479.98</v>
      </c>
      <c r="O243" s="72">
        <f>ROUND(N243*(1+$F$10),2)</f>
        <v/>
      </c>
      <c r="P243" s="73">
        <f>ROUND(K243*N243,2)</f>
        <v/>
      </c>
      <c r="Q243" s="74">
        <f>ROUND(L243*N243,2)</f>
        <v/>
      </c>
      <c r="R243" s="75" t="n"/>
      <c r="S243" s="76" t="n"/>
      <c r="T243" s="77">
        <f>K243-L243</f>
        <v/>
      </c>
      <c r="U243" s="77">
        <f>P243-Q243</f>
        <v/>
      </c>
      <c r="V243" s="77">
        <f>ABS(U243)</f>
        <v/>
      </c>
      <c r="W243" s="78">
        <f>T243/L243</f>
        <v/>
      </c>
      <c r="X243" s="79">
        <f>ABS(W243)</f>
        <v/>
      </c>
      <c r="AG243" s="80" t="inlineStr">
        <is>
          <t>天花板面积</t>
        </is>
      </c>
    </row>
    <row r="244" ht="11.4" customHeight="1">
      <c r="A244" s="67" t="inlineStr">
        <is>
          <t>58</t>
        </is>
      </c>
      <c r="B244" s="67" t="inlineStr">
        <is>
          <t>1056</t>
        </is>
      </c>
      <c r="C244" s="67" t="inlineStr">
        <is>
          <t>1611</t>
        </is>
      </c>
      <c r="D244" s="68" t="inlineStr">
        <is>
          <t>01</t>
        </is>
      </c>
      <c r="E244" s="68" t="inlineStr">
        <is>
          <t>6 物业施工费</t>
        </is>
      </c>
      <c r="F244" s="68" t="inlineStr">
        <is>
          <t>6.1 总承包工程</t>
        </is>
      </c>
      <c r="G244" s="68" t="inlineStr">
        <is>
          <t>6.1.1 内部装修工程</t>
        </is>
      </c>
      <c r="H244" s="68" t="inlineStr">
        <is>
          <t>大堂吊顶（不含卫生间）</t>
        </is>
      </c>
      <c r="I244" s="69" t="inlineStr">
        <is>
          <t>1000021491</t>
        </is>
      </c>
      <c r="J244" s="84" t="inlineStr">
        <is>
          <t>碳灰色镜面板（含收边，含所有龙骨等辅件）</t>
        </is>
      </c>
      <c r="K244" s="70" t="n"/>
      <c r="L244" s="70" t="n"/>
      <c r="M244" s="71" t="inlineStr">
        <is>
          <t>m2</t>
        </is>
      </c>
      <c r="N244" s="72" t="n">
        <v>362.28</v>
      </c>
      <c r="O244" s="72">
        <f>ROUND(N244*(1+$F$10),2)</f>
        <v/>
      </c>
      <c r="P244" s="73">
        <f>ROUND(K244*N244,2)</f>
        <v/>
      </c>
      <c r="Q244" s="74">
        <f>ROUND(L244*N244,2)</f>
        <v/>
      </c>
      <c r="R244" s="75" t="n"/>
      <c r="S244" s="76" t="n"/>
      <c r="T244" s="77">
        <f>K244-L244</f>
        <v/>
      </c>
      <c r="U244" s="77">
        <f>P244-Q244</f>
        <v/>
      </c>
      <c r="V244" s="77">
        <f>ABS(U244)</f>
        <v/>
      </c>
      <c r="W244" s="78">
        <f>T244/L244</f>
        <v/>
      </c>
      <c r="X244" s="79">
        <f>ABS(W244)</f>
        <v/>
      </c>
      <c r="AG244" s="80" t="inlineStr">
        <is>
          <t>天花板面积+基本墙面积（特殊）</t>
        </is>
      </c>
    </row>
    <row r="245" ht="11.4" customHeight="1">
      <c r="A245" s="67" t="inlineStr">
        <is>
          <t>58</t>
        </is>
      </c>
      <c r="B245" s="67" t="inlineStr">
        <is>
          <t>1056</t>
        </is>
      </c>
      <c r="C245" s="67" t="inlineStr">
        <is>
          <t>1611</t>
        </is>
      </c>
      <c r="D245" s="68" t="inlineStr">
        <is>
          <t>01</t>
        </is>
      </c>
      <c r="E245" s="68" t="inlineStr">
        <is>
          <t>6 物业施工费</t>
        </is>
      </c>
      <c r="F245" s="68" t="inlineStr">
        <is>
          <t>6.1 总承包工程</t>
        </is>
      </c>
      <c r="G245" s="68" t="inlineStr">
        <is>
          <t>6.1.1 内部装修工程</t>
        </is>
      </c>
      <c r="H245" s="68" t="inlineStr">
        <is>
          <t>大堂吊顶（不含卫生间）</t>
        </is>
      </c>
      <c r="I245" s="69" t="inlineStr">
        <is>
          <t>1000022180</t>
        </is>
      </c>
      <c r="J245" s="69" t="inlineStr">
        <is>
          <t>不锈钢波纹艺术天花（Luna,含收边、龙骨等辅件）</t>
        </is>
      </c>
      <c r="K245" s="70" t="n"/>
      <c r="L245" s="70" t="n"/>
      <c r="M245" s="71" t="inlineStr">
        <is>
          <t>m2</t>
        </is>
      </c>
      <c r="N245" s="72" t="n">
        <v>1804.45</v>
      </c>
      <c r="O245" s="72">
        <f>ROUND(N245*(1+$F$10),2)</f>
        <v/>
      </c>
      <c r="P245" s="73">
        <f>ROUND(K245*N245,2)</f>
        <v/>
      </c>
      <c r="Q245" s="74">
        <f>ROUND(L245*N245,2)</f>
        <v/>
      </c>
      <c r="R245" s="75" t="n"/>
      <c r="S245" s="76" t="n"/>
      <c r="T245" s="77">
        <f>K245-L245</f>
        <v/>
      </c>
      <c r="U245" s="77">
        <f>P245-Q245</f>
        <v/>
      </c>
      <c r="V245" s="77">
        <f>ABS(U245)</f>
        <v/>
      </c>
      <c r="W245" s="78">
        <f>T245/L245</f>
        <v/>
      </c>
      <c r="X245" s="79">
        <f>ABS(W245)</f>
        <v/>
      </c>
      <c r="AG245" s="80" t="inlineStr">
        <is>
          <t>天花板面积</t>
        </is>
      </c>
    </row>
    <row r="246" ht="11.4" customHeight="1">
      <c r="A246" s="67" t="inlineStr">
        <is>
          <t>58</t>
        </is>
      </c>
      <c r="B246" s="67" t="inlineStr">
        <is>
          <t>1056</t>
        </is>
      </c>
      <c r="C246" s="67" t="inlineStr">
        <is>
          <t>1611</t>
        </is>
      </c>
      <c r="D246" s="68" t="inlineStr">
        <is>
          <t>01</t>
        </is>
      </c>
      <c r="E246" s="68" t="inlineStr">
        <is>
          <t>6 物业施工费</t>
        </is>
      </c>
      <c r="F246" s="68" t="inlineStr">
        <is>
          <t>6.1 总承包工程</t>
        </is>
      </c>
      <c r="G246" s="68" t="inlineStr">
        <is>
          <t>6.1.1 内部装修工程</t>
        </is>
      </c>
      <c r="H246" s="68" t="inlineStr">
        <is>
          <t>大堂吊顶（不含卫生间）</t>
        </is>
      </c>
      <c r="I246" s="69" t="inlineStr">
        <is>
          <t>1000021781</t>
        </is>
      </c>
      <c r="J246" s="69" t="inlineStr">
        <is>
          <t>轻钢龙骨石膏板叠级天花（含收口凹槽）</t>
        </is>
      </c>
      <c r="K246" s="70" t="n">
        <v>11.7</v>
      </c>
      <c r="L246" s="70" t="n">
        <v>11.55</v>
      </c>
      <c r="M246" s="71" t="inlineStr">
        <is>
          <t>m2</t>
        </is>
      </c>
      <c r="N246" s="72" t="n">
        <v>250.08</v>
      </c>
      <c r="O246" s="72">
        <f>ROUND(N246*(1+$F$10),2)</f>
        <v/>
      </c>
      <c r="P246" s="73">
        <f>ROUND(K246*N246,2)</f>
        <v/>
      </c>
      <c r="Q246" s="74">
        <f>ROUND(L246*N246,2)</f>
        <v/>
      </c>
      <c r="R246" s="75" t="n"/>
      <c r="S246" s="76" t="n"/>
      <c r="T246" s="77">
        <f>K246-L246</f>
        <v/>
      </c>
      <c r="U246" s="77">
        <f>P246-Q246</f>
        <v/>
      </c>
      <c r="V246" s="77">
        <f>ABS(U246)</f>
        <v/>
      </c>
      <c r="W246" s="78">
        <f>T246/L246</f>
        <v/>
      </c>
      <c r="X246" s="79">
        <f>ABS(W246)</f>
        <v/>
      </c>
      <c r="AG246" s="80" t="inlineStr">
        <is>
          <t>跌级天花板面积</t>
        </is>
      </c>
    </row>
    <row r="247" ht="11.4" customHeight="1">
      <c r="A247" s="67" t="inlineStr">
        <is>
          <t>58</t>
        </is>
      </c>
      <c r="B247" s="67" t="inlineStr">
        <is>
          <t>1056</t>
        </is>
      </c>
      <c r="C247" s="67" t="inlineStr">
        <is>
          <t>1611</t>
        </is>
      </c>
      <c r="D247" s="68" t="inlineStr">
        <is>
          <t>01</t>
        </is>
      </c>
      <c r="E247" s="68" t="inlineStr">
        <is>
          <t>6 物业施工费</t>
        </is>
      </c>
      <c r="F247" s="68" t="inlineStr">
        <is>
          <t>6.1 总承包工程</t>
        </is>
      </c>
      <c r="G247" s="68" t="inlineStr">
        <is>
          <t>6.1.1 内部装修工程</t>
        </is>
      </c>
      <c r="H247" s="68" t="inlineStr">
        <is>
          <t>大堂吊顶（不含卫生间）</t>
        </is>
      </c>
      <c r="I247" s="69" t="inlineStr">
        <is>
          <t>1000021782</t>
        </is>
      </c>
      <c r="J247" s="69" t="inlineStr">
        <is>
          <t>轻钢龙骨石膏板天花</t>
        </is>
      </c>
      <c r="K247" s="70" t="n">
        <v>4.42</v>
      </c>
      <c r="L247" s="70" t="n">
        <v>4.42</v>
      </c>
      <c r="M247" s="71" t="inlineStr">
        <is>
          <t>m2</t>
        </is>
      </c>
      <c r="N247" s="72" t="n">
        <v>139.73</v>
      </c>
      <c r="O247" s="72">
        <f>ROUND(N247*(1+$F$10),2)</f>
        <v/>
      </c>
      <c r="P247" s="73">
        <f>ROUND(K247*N247,2)</f>
        <v/>
      </c>
      <c r="Q247" s="74">
        <f>ROUND(L247*N247,2)</f>
        <v/>
      </c>
      <c r="R247" s="75" t="n"/>
      <c r="S247" s="76" t="n"/>
      <c r="T247" s="77">
        <f>K247-L247</f>
        <v/>
      </c>
      <c r="U247" s="77">
        <f>P247-Q247</f>
        <v/>
      </c>
      <c r="V247" s="77">
        <f>ABS(U247)</f>
        <v/>
      </c>
      <c r="W247" s="78">
        <f>T247/L247</f>
        <v/>
      </c>
      <c r="X247" s="79">
        <f>ABS(W247)</f>
        <v/>
      </c>
      <c r="AG247" s="80" t="inlineStr">
        <is>
          <t>平级天花板面积+基本墙（特殊，倍率，300以内不计算）</t>
        </is>
      </c>
    </row>
    <row r="248" ht="11.4" customHeight="1">
      <c r="A248" s="67" t="inlineStr">
        <is>
          <t>58</t>
        </is>
      </c>
      <c r="B248" s="67" t="inlineStr">
        <is>
          <t>1056</t>
        </is>
      </c>
      <c r="C248" s="67" t="inlineStr">
        <is>
          <t>1611</t>
        </is>
      </c>
      <c r="D248" s="68" t="inlineStr">
        <is>
          <t>01</t>
        </is>
      </c>
      <c r="E248" s="68" t="inlineStr">
        <is>
          <t>6 物业施工费</t>
        </is>
      </c>
      <c r="F248" s="68" t="inlineStr">
        <is>
          <t>6.1 总承包工程</t>
        </is>
      </c>
      <c r="G248" s="68" t="inlineStr">
        <is>
          <t>6.1.1 内部装修工程</t>
        </is>
      </c>
      <c r="H248" s="68" t="inlineStr">
        <is>
          <t>大堂吊顶（不含卫生间）</t>
        </is>
      </c>
      <c r="I248" s="69" t="inlineStr">
        <is>
          <t>1000021783</t>
        </is>
      </c>
      <c r="J248" s="69" t="inlineStr">
        <is>
          <t>防火板天花</t>
        </is>
      </c>
      <c r="K248" s="70" t="n"/>
      <c r="L248" s="70" t="n"/>
      <c r="M248" s="71" t="inlineStr">
        <is>
          <t>m2</t>
        </is>
      </c>
      <c r="N248" s="72" t="n">
        <v>480.14</v>
      </c>
      <c r="O248" s="72">
        <f>ROUND(N248*(1+$F$10),2)</f>
        <v/>
      </c>
      <c r="P248" s="73">
        <f>ROUND(K248*N248,2)</f>
        <v/>
      </c>
      <c r="Q248" s="74">
        <f>ROUND(L248*N248,2)</f>
        <v/>
      </c>
      <c r="R248" s="75" t="n"/>
      <c r="S248" s="76" t="n"/>
      <c r="T248" s="77">
        <f>K248-L248</f>
        <v/>
      </c>
      <c r="U248" s="77">
        <f>P248-Q248</f>
        <v/>
      </c>
      <c r="V248" s="77">
        <f>ABS(U248)</f>
        <v/>
      </c>
      <c r="W248" s="78">
        <f>T248/L248</f>
        <v/>
      </c>
      <c r="X248" s="79">
        <f>ABS(W248)</f>
        <v/>
      </c>
      <c r="AG248" s="80" t="inlineStr">
        <is>
          <t>天花板面积+基本墙面积</t>
        </is>
      </c>
    </row>
    <row r="249" ht="11.4" customHeight="1">
      <c r="A249" s="67" t="inlineStr">
        <is>
          <t>58</t>
        </is>
      </c>
      <c r="B249" s="67" t="inlineStr">
        <is>
          <t>1056</t>
        </is>
      </c>
      <c r="C249" s="67" t="inlineStr">
        <is>
          <t>1611</t>
        </is>
      </c>
      <c r="D249" s="68" t="inlineStr">
        <is>
          <t>01</t>
        </is>
      </c>
      <c r="E249" s="68" t="inlineStr">
        <is>
          <t>6 物业施工费</t>
        </is>
      </c>
      <c r="F249" s="68" t="inlineStr">
        <is>
          <t>6.1 总承包工程</t>
        </is>
      </c>
      <c r="G249" s="68" t="inlineStr">
        <is>
          <t>6.1.1 内部装修工程</t>
        </is>
      </c>
      <c r="H249" s="68" t="inlineStr">
        <is>
          <t>大堂吊顶（不含卫生间）</t>
        </is>
      </c>
      <c r="I249" s="69" t="inlineStr">
        <is>
          <t>1000021483</t>
        </is>
      </c>
      <c r="J249" s="69" t="inlineStr">
        <is>
          <t>室内深色乳胶漆（含批搪，可擦洗）</t>
        </is>
      </c>
      <c r="K249" s="70" t="n">
        <v>19.63</v>
      </c>
      <c r="L249" s="70" t="n">
        <v>19.43</v>
      </c>
      <c r="M249" s="71" t="inlineStr">
        <is>
          <t>m2</t>
        </is>
      </c>
      <c r="N249" s="72" t="n">
        <v>62.19</v>
      </c>
      <c r="O249" s="72">
        <f>ROUND(N249*(1+$F$10),2)</f>
        <v/>
      </c>
      <c r="P249" s="73">
        <f>ROUND(K249*N249,2)</f>
        <v/>
      </c>
      <c r="Q249" s="74">
        <f>ROUND(L249*N249,2)</f>
        <v/>
      </c>
      <c r="R249" s="75" t="n"/>
      <c r="S249" s="76" t="n"/>
      <c r="T249" s="77">
        <f>K249-L249</f>
        <v/>
      </c>
      <c r="U249" s="77">
        <f>P249-Q249</f>
        <v/>
      </c>
      <c r="V249" s="77">
        <f>ABS(U249)</f>
        <v/>
      </c>
      <c r="W249" s="78">
        <f>T249/L249</f>
        <v/>
      </c>
      <c r="X249" s="79">
        <f>ABS(W249)</f>
        <v/>
      </c>
      <c r="AG249" s="80" t="inlineStr">
        <is>
          <t>【主材.天花板.轻钢龙骨石膏板天花.面积】+1.3*【主材.天花板.轻钢龙骨石膏板叠级天花（含收口凹槽）.面积】</t>
        </is>
      </c>
    </row>
    <row r="250" ht="11.4" customHeight="1">
      <c r="A250" s="67" t="inlineStr">
        <is>
          <t>58</t>
        </is>
      </c>
      <c r="B250" s="67" t="inlineStr">
        <is>
          <t>1056</t>
        </is>
      </c>
      <c r="C250" s="67" t="inlineStr">
        <is>
          <t>1611</t>
        </is>
      </c>
      <c r="D250" s="68" t="inlineStr">
        <is>
          <t>01</t>
        </is>
      </c>
      <c r="E250" s="68" t="inlineStr">
        <is>
          <t>6 物业施工费</t>
        </is>
      </c>
      <c r="F250" s="68" t="inlineStr">
        <is>
          <t>6.1 总承包工程</t>
        </is>
      </c>
      <c r="G250" s="68" t="inlineStr">
        <is>
          <t>6.1.1 内部装修工程</t>
        </is>
      </c>
      <c r="H250" s="68" t="inlineStr">
        <is>
          <t>大堂吊顶（不含卫生间）</t>
        </is>
      </c>
      <c r="I250" s="69" t="inlineStr">
        <is>
          <t>1000021489</t>
        </is>
      </c>
      <c r="J250" s="84" t="inlineStr">
        <is>
          <t>天花黄色/棕色涂料（无腻子，喷刷）</t>
        </is>
      </c>
      <c r="K250" s="70" t="n"/>
      <c r="L250" s="70" t="n"/>
      <c r="M250" s="71" t="inlineStr">
        <is>
          <t>m2</t>
        </is>
      </c>
      <c r="N250" s="72" t="n">
        <v>54.37</v>
      </c>
      <c r="O250" s="72">
        <f>ROUND(N250*(1+$F$10),2)</f>
        <v/>
      </c>
      <c r="P250" s="73">
        <f>ROUND(K250*N250,2)</f>
        <v/>
      </c>
      <c r="Q250" s="74">
        <f>ROUND(L250*N250,2)</f>
        <v/>
      </c>
      <c r="R250" s="75" t="n"/>
      <c r="S250" s="76" t="n"/>
      <c r="T250" s="77">
        <f>K250-L250</f>
        <v/>
      </c>
      <c r="U250" s="77">
        <f>P250-Q250</f>
        <v/>
      </c>
      <c r="V250" s="77">
        <f>ABS(U250)</f>
        <v/>
      </c>
      <c r="W250" s="78">
        <f>T250/L250</f>
        <v/>
      </c>
      <c r="X250" s="79">
        <f>ABS(W250)</f>
        <v/>
      </c>
    </row>
    <row r="251" ht="11.4" customHeight="1">
      <c r="A251" s="67" t="inlineStr">
        <is>
          <t>58</t>
        </is>
      </c>
      <c r="B251" s="67" t="inlineStr">
        <is>
          <t>1056</t>
        </is>
      </c>
      <c r="C251" s="67" t="inlineStr">
        <is>
          <t>1611</t>
        </is>
      </c>
      <c r="D251" s="68" t="inlineStr">
        <is>
          <t>01</t>
        </is>
      </c>
      <c r="E251" s="68" t="inlineStr">
        <is>
          <t>6 物业施工费</t>
        </is>
      </c>
      <c r="F251" s="68" t="inlineStr">
        <is>
          <t>6.1 总承包工程</t>
        </is>
      </c>
      <c r="G251" s="68" t="inlineStr">
        <is>
          <t>6.1.1 内部装修工程</t>
        </is>
      </c>
      <c r="H251" s="68" t="inlineStr">
        <is>
          <t>大堂吊顶（不含卫生间）</t>
        </is>
      </c>
      <c r="I251" s="69" t="inlineStr">
        <is>
          <t>1000021784</t>
        </is>
      </c>
      <c r="J251" s="69" t="inlineStr">
        <is>
          <t>天花轨道灯灯槽（含乳胶漆饰面）</t>
        </is>
      </c>
      <c r="K251" s="70" t="n"/>
      <c r="L251" s="70" t="n"/>
      <c r="M251" s="71" t="inlineStr">
        <is>
          <t>米</t>
        </is>
      </c>
      <c r="N251" s="72" t="n">
        <v>146.58</v>
      </c>
      <c r="O251" s="72">
        <f>ROUND(N251*(1+$F$10),2)</f>
        <v/>
      </c>
      <c r="P251" s="73">
        <f>ROUND(K251*N251,2)</f>
        <v/>
      </c>
      <c r="Q251" s="74">
        <f>ROUND(L251*N251,2)</f>
        <v/>
      </c>
      <c r="R251" s="75" t="n"/>
      <c r="S251" s="76" t="n"/>
      <c r="T251" s="77">
        <f>K251-L251</f>
        <v/>
      </c>
      <c r="U251" s="77">
        <f>P251-Q251</f>
        <v/>
      </c>
      <c r="V251" s="77">
        <f>ABS(U251)</f>
        <v/>
      </c>
      <c r="W251" s="78">
        <f>T251/L251</f>
        <v/>
      </c>
      <c r="X251" s="79">
        <f>ABS(W251)</f>
        <v/>
      </c>
      <c r="AG251" s="80" t="inlineStr">
        <is>
          <t>自建族增加几何属性</t>
        </is>
      </c>
    </row>
    <row r="252" ht="11.4" customHeight="1">
      <c r="A252" s="67" t="inlineStr">
        <is>
          <t>58</t>
        </is>
      </c>
      <c r="B252" s="67" t="inlineStr">
        <is>
          <t>1056</t>
        </is>
      </c>
      <c r="C252" s="67" t="inlineStr">
        <is>
          <t>1611</t>
        </is>
      </c>
      <c r="D252" s="68" t="inlineStr">
        <is>
          <t>01</t>
        </is>
      </c>
      <c r="E252" s="68" t="inlineStr">
        <is>
          <t>6 物业施工费</t>
        </is>
      </c>
      <c r="F252" s="68" t="inlineStr">
        <is>
          <t>6.1 总承包工程</t>
        </is>
      </c>
      <c r="G252" s="68" t="inlineStr">
        <is>
          <t>6.1.1 内部装修工程</t>
        </is>
      </c>
      <c r="H252" s="68" t="inlineStr">
        <is>
          <t>大堂吊顶（不含卫生间）</t>
        </is>
      </c>
      <c r="I252" s="69" t="inlineStr">
        <is>
          <t>1000021785</t>
        </is>
      </c>
      <c r="J252" s="69" t="inlineStr">
        <is>
          <t>遮光板不锈钢收口</t>
        </is>
      </c>
      <c r="K252" s="83" t="n">
        <v>1.46</v>
      </c>
      <c r="L252" s="70" t="n">
        <v>3.77</v>
      </c>
      <c r="M252" s="71" t="inlineStr">
        <is>
          <t>米</t>
        </is>
      </c>
      <c r="N252" s="72" t="n">
        <v>87.81</v>
      </c>
      <c r="O252" s="72">
        <f>ROUND(N252*(1+$F$10),2)</f>
        <v/>
      </c>
      <c r="P252" s="73">
        <f>ROUND(K252*N252,2)</f>
        <v/>
      </c>
      <c r="Q252" s="74">
        <f>ROUND(L252*N252,2)</f>
        <v/>
      </c>
      <c r="R252" s="75" t="n"/>
      <c r="S252" s="76" t="n"/>
      <c r="T252" s="77">
        <f>K252-L252</f>
        <v/>
      </c>
      <c r="U252" s="77">
        <f>P252-Q252</f>
        <v/>
      </c>
      <c r="V252" s="77">
        <f>ABS(U252)</f>
        <v/>
      </c>
      <c r="W252" s="78">
        <f>T252/L252</f>
        <v/>
      </c>
      <c r="X252" s="79">
        <f>ABS(W252)</f>
        <v/>
      </c>
      <c r="AG252" s="80" t="inlineStr">
        <is>
          <t>系统族单边长度，类似防滑条</t>
        </is>
      </c>
    </row>
    <row r="253" ht="11.4" customHeight="1">
      <c r="A253" s="67" t="inlineStr">
        <is>
          <t>59</t>
        </is>
      </c>
      <c r="B253" s="67" t="inlineStr">
        <is>
          <t>1057</t>
        </is>
      </c>
      <c r="C253" s="67" t="inlineStr">
        <is>
          <t>1611</t>
        </is>
      </c>
      <c r="D253" s="68" t="inlineStr">
        <is>
          <t>01</t>
        </is>
      </c>
      <c r="E253" s="68" t="inlineStr">
        <is>
          <t>0 地产费用</t>
        </is>
      </c>
      <c r="F253" s="68" t="inlineStr">
        <is>
          <t>0.2 房产建筑</t>
        </is>
      </c>
      <c r="G253" s="68" t="inlineStr">
        <is>
          <t>DT外立面(总包自建)</t>
        </is>
      </c>
      <c r="H253" s="68" t="inlineStr">
        <is>
          <t>DT外立面(总包自建)</t>
        </is>
      </c>
      <c r="I253" s="69" t="inlineStr">
        <is>
          <t>1000021443</t>
        </is>
      </c>
      <c r="J253" s="69" t="inlineStr">
        <is>
          <t>DT-外墙漆</t>
        </is>
      </c>
      <c r="K253" s="70" t="n"/>
      <c r="L253" s="70" t="n"/>
      <c r="M253" s="71" t="inlineStr">
        <is>
          <t>m2</t>
        </is>
      </c>
      <c r="N253" s="72" t="n">
        <v>170.01</v>
      </c>
      <c r="O253" s="72">
        <f>ROUND(N253*(1+$F$10),2)</f>
        <v/>
      </c>
      <c r="P253" s="73">
        <f>ROUND(K253*N253,2)</f>
        <v/>
      </c>
      <c r="Q253" s="74">
        <f>ROUND(L253*N253,2)</f>
        <v/>
      </c>
      <c r="R253" s="75" t="n"/>
      <c r="S253" s="76" t="n"/>
      <c r="T253" s="77">
        <f>K253-L253</f>
        <v/>
      </c>
      <c r="U253" s="77">
        <f>P253-Q253</f>
        <v/>
      </c>
      <c r="V253" s="77">
        <f>ABS(U253)</f>
        <v/>
      </c>
      <c r="W253" s="78">
        <f>T253/L253</f>
        <v/>
      </c>
      <c r="X253" s="79">
        <f>ABS(W253)</f>
        <v/>
      </c>
      <c r="AG253" s="80" t="inlineStr">
        <is>
          <t>基本墙面积</t>
        </is>
      </c>
    </row>
    <row r="254" ht="11.4" customHeight="1">
      <c r="A254" s="67" t="inlineStr">
        <is>
          <t>59</t>
        </is>
      </c>
      <c r="B254" s="67" t="inlineStr">
        <is>
          <t>1057</t>
        </is>
      </c>
      <c r="C254" s="67" t="inlineStr">
        <is>
          <t>1611</t>
        </is>
      </c>
      <c r="D254" s="68" t="inlineStr">
        <is>
          <t>01</t>
        </is>
      </c>
      <c r="E254" s="68" t="inlineStr">
        <is>
          <t>0 地产费用</t>
        </is>
      </c>
      <c r="F254" s="68" t="inlineStr">
        <is>
          <t>0.2 房产建筑</t>
        </is>
      </c>
      <c r="G254" s="68" t="inlineStr">
        <is>
          <t>DT外立面(总包自建)</t>
        </is>
      </c>
      <c r="H254" s="68" t="inlineStr">
        <is>
          <t>DT外立面(总包自建)</t>
        </is>
      </c>
      <c r="I254" s="69" t="inlineStr">
        <is>
          <t>1000021444</t>
        </is>
      </c>
      <c r="J254" s="69" t="inlineStr">
        <is>
          <t>DT-售卖窗口推拉窗（主材，佳诺浩德）</t>
        </is>
      </c>
      <c r="K254" s="70" t="n"/>
      <c r="L254" s="70" t="n"/>
      <c r="M254" s="71" t="inlineStr">
        <is>
          <t>只</t>
        </is>
      </c>
      <c r="N254" s="72" t="n">
        <v>3717.71</v>
      </c>
      <c r="O254" s="72">
        <f>ROUND(N254*(1+$F$10),2)</f>
        <v/>
      </c>
      <c r="P254" s="73">
        <f>ROUND(K254*N254,2)</f>
        <v/>
      </c>
      <c r="Q254" s="74">
        <f>ROUND(L254*N254,2)</f>
        <v/>
      </c>
      <c r="R254" s="75" t="n"/>
      <c r="S254" s="76" t="n"/>
      <c r="T254" s="77">
        <f>K254-L254</f>
        <v/>
      </c>
      <c r="U254" s="77">
        <f>P254-Q254</f>
        <v/>
      </c>
      <c r="V254" s="77">
        <f>ABS(U254)</f>
        <v/>
      </c>
      <c r="W254" s="78">
        <f>T254/L254</f>
        <v/>
      </c>
      <c r="X254" s="79">
        <f>ABS(W254)</f>
        <v/>
      </c>
    </row>
    <row r="255" ht="11.4" customHeight="1">
      <c r="A255" s="67" t="inlineStr">
        <is>
          <t>59</t>
        </is>
      </c>
      <c r="B255" s="67" t="inlineStr">
        <is>
          <t>1057</t>
        </is>
      </c>
      <c r="C255" s="67" t="inlineStr">
        <is>
          <t>1611</t>
        </is>
      </c>
      <c r="D255" s="68" t="inlineStr">
        <is>
          <t>01</t>
        </is>
      </c>
      <c r="E255" s="68" t="inlineStr">
        <is>
          <t>0 地产费用</t>
        </is>
      </c>
      <c r="F255" s="68" t="inlineStr">
        <is>
          <t>0.2 房产建筑</t>
        </is>
      </c>
      <c r="G255" s="68" t="inlineStr">
        <is>
          <t>DT外立面(总包自建)</t>
        </is>
      </c>
      <c r="H255" s="68" t="inlineStr">
        <is>
          <t>DT外立面(总包自建)</t>
        </is>
      </c>
      <c r="I255" s="69" t="inlineStr">
        <is>
          <t>1000053608</t>
        </is>
      </c>
      <c r="J255" s="69" t="inlineStr">
        <is>
          <t>DT-售卖窗口推拉窗（主材，天晟）</t>
        </is>
      </c>
      <c r="K255" s="70" t="n"/>
      <c r="L255" s="70" t="n"/>
      <c r="M255" s="71" t="inlineStr">
        <is>
          <t>只</t>
        </is>
      </c>
      <c r="N255" s="72" t="n">
        <v>3717.71</v>
      </c>
      <c r="O255" s="72">
        <f>ROUND(N255*(1+$F$10),2)</f>
        <v/>
      </c>
      <c r="P255" s="73">
        <f>ROUND(K255*N255,2)</f>
        <v/>
      </c>
      <c r="Q255" s="74">
        <f>ROUND(L255*N255,2)</f>
        <v/>
      </c>
      <c r="R255" s="75" t="n"/>
      <c r="S255" s="76" t="n"/>
      <c r="T255" s="77">
        <f>K255-L255</f>
        <v/>
      </c>
      <c r="U255" s="77">
        <f>P255-Q255</f>
        <v/>
      </c>
      <c r="V255" s="77">
        <f>ABS(U255)</f>
        <v/>
      </c>
      <c r="W255" s="78">
        <f>T255/L255</f>
        <v/>
      </c>
      <c r="X255" s="79">
        <f>ABS(W255)</f>
        <v/>
      </c>
    </row>
    <row r="256" ht="11.4" customHeight="1">
      <c r="A256" s="67" t="inlineStr">
        <is>
          <t>59</t>
        </is>
      </c>
      <c r="B256" s="67" t="inlineStr">
        <is>
          <t>1057</t>
        </is>
      </c>
      <c r="C256" s="67" t="inlineStr">
        <is>
          <t>1611</t>
        </is>
      </c>
      <c r="D256" s="68" t="inlineStr">
        <is>
          <t>01</t>
        </is>
      </c>
      <c r="E256" s="68" t="inlineStr">
        <is>
          <t>0 地产费用</t>
        </is>
      </c>
      <c r="F256" s="68" t="inlineStr">
        <is>
          <t>0.2 房产建筑</t>
        </is>
      </c>
      <c r="G256" s="68" t="inlineStr">
        <is>
          <t>DT外立面(总包自建)</t>
        </is>
      </c>
      <c r="H256" s="68" t="inlineStr">
        <is>
          <t>DT外立面(总包自建)</t>
        </is>
      </c>
      <c r="I256" s="69" t="inlineStr">
        <is>
          <t>1000053611</t>
        </is>
      </c>
      <c r="J256" s="69" t="inlineStr">
        <is>
          <t>DT-售卖窗口推拉窗（主材，航凯）</t>
        </is>
      </c>
      <c r="K256" s="70" t="n"/>
      <c r="L256" s="70" t="n"/>
      <c r="M256" s="71" t="inlineStr">
        <is>
          <t>只</t>
        </is>
      </c>
      <c r="N256" s="72" t="n">
        <v>3717.71</v>
      </c>
      <c r="O256" s="72">
        <f>ROUND(N256*(1+$F$10),2)</f>
        <v/>
      </c>
      <c r="P256" s="73">
        <f>ROUND(K256*N256,2)</f>
        <v/>
      </c>
      <c r="Q256" s="74">
        <f>ROUND(L256*N256,2)</f>
        <v/>
      </c>
      <c r="R256" s="75" t="n"/>
      <c r="S256" s="76" t="n"/>
      <c r="T256" s="77">
        <f>K256-L256</f>
        <v/>
      </c>
      <c r="U256" s="77">
        <f>P256-Q256</f>
        <v/>
      </c>
      <c r="V256" s="77">
        <f>ABS(U256)</f>
        <v/>
      </c>
      <c r="W256" s="78">
        <f>T256/L256</f>
        <v/>
      </c>
      <c r="X256" s="79">
        <f>ABS(W256)</f>
        <v/>
      </c>
    </row>
    <row r="257" ht="11.4" customHeight="1">
      <c r="A257" s="67" t="inlineStr">
        <is>
          <t>59</t>
        </is>
      </c>
      <c r="B257" s="67" t="inlineStr">
        <is>
          <t>1057</t>
        </is>
      </c>
      <c r="C257" s="67" t="inlineStr">
        <is>
          <t>1611</t>
        </is>
      </c>
      <c r="D257" s="68" t="inlineStr">
        <is>
          <t>01</t>
        </is>
      </c>
      <c r="E257" s="68" t="inlineStr">
        <is>
          <t>0 地产费用</t>
        </is>
      </c>
      <c r="F257" s="68" t="inlineStr">
        <is>
          <t>0.2 房产建筑</t>
        </is>
      </c>
      <c r="G257" s="68" t="inlineStr">
        <is>
          <t>DT外立面(总包自建)</t>
        </is>
      </c>
      <c r="H257" s="68" t="inlineStr">
        <is>
          <t>DT外立面(总包自建)</t>
        </is>
      </c>
      <c r="I257" s="69" t="inlineStr">
        <is>
          <t>1000081636</t>
        </is>
      </c>
      <c r="J257" s="69" t="inlineStr">
        <is>
          <t>DT-售卖窗口推拉窗（主材，力保)</t>
        </is>
      </c>
      <c r="K257" s="70" t="n"/>
      <c r="L257" s="70" t="n"/>
      <c r="M257" s="71" t="inlineStr">
        <is>
          <t>只</t>
        </is>
      </c>
      <c r="N257" s="72" t="n">
        <v>3717.71</v>
      </c>
      <c r="O257" s="72">
        <f>ROUND(N257*(1+$F$10),2)</f>
        <v/>
      </c>
      <c r="P257" s="73">
        <f>ROUND(K257*N257,2)</f>
        <v/>
      </c>
      <c r="Q257" s="74">
        <f>ROUND(L257*N257,2)</f>
        <v/>
      </c>
      <c r="R257" s="75" t="n"/>
      <c r="S257" s="76" t="n"/>
      <c r="T257" s="77">
        <f>K257-L257</f>
        <v/>
      </c>
      <c r="U257" s="77">
        <f>P257-Q257</f>
        <v/>
      </c>
      <c r="V257" s="77">
        <f>ABS(U257)</f>
        <v/>
      </c>
      <c r="W257" s="78">
        <f>T257/L257</f>
        <v/>
      </c>
      <c r="X257" s="79">
        <f>ABS(W257)</f>
        <v/>
      </c>
    </row>
    <row r="258" ht="11.4" customHeight="1">
      <c r="A258" s="67" t="inlineStr">
        <is>
          <t>59</t>
        </is>
      </c>
      <c r="B258" s="67" t="inlineStr">
        <is>
          <t>1057</t>
        </is>
      </c>
      <c r="C258" s="67" t="inlineStr">
        <is>
          <t>1611</t>
        </is>
      </c>
      <c r="D258" s="68" t="inlineStr">
        <is>
          <t>01</t>
        </is>
      </c>
      <c r="E258" s="68" t="inlineStr">
        <is>
          <t>0 地产费用</t>
        </is>
      </c>
      <c r="F258" s="68" t="inlineStr">
        <is>
          <t>0.2 房产建筑</t>
        </is>
      </c>
      <c r="G258" s="68" t="inlineStr">
        <is>
          <t>DT外立面(总包自建)</t>
        </is>
      </c>
      <c r="H258" s="68" t="inlineStr">
        <is>
          <t>DT外立面(总包自建)</t>
        </is>
      </c>
      <c r="I258" s="69" t="inlineStr">
        <is>
          <t>1000021718</t>
        </is>
      </c>
      <c r="J258" s="69" t="inlineStr">
        <is>
          <t>DT-二层室外楼梯不锈钢扶手</t>
        </is>
      </c>
      <c r="K258" s="70" t="n"/>
      <c r="L258" s="70" t="n"/>
      <c r="M258" s="71" t="inlineStr">
        <is>
          <t>米</t>
        </is>
      </c>
      <c r="N258" s="72" t="n">
        <v>241.33</v>
      </c>
      <c r="O258" s="72">
        <f>ROUND(N258*(1+$F$10),2)</f>
        <v/>
      </c>
      <c r="P258" s="73">
        <f>ROUND(K258*N258,2)</f>
        <v/>
      </c>
      <c r="Q258" s="74">
        <f>ROUND(L258*N258,2)</f>
        <v/>
      </c>
      <c r="R258" s="75" t="n"/>
      <c r="S258" s="76" t="n"/>
      <c r="T258" s="77">
        <f>K258-L258</f>
        <v/>
      </c>
      <c r="U258" s="77">
        <f>P258-Q258</f>
        <v/>
      </c>
      <c r="V258" s="77">
        <f>ABS(U258)</f>
        <v/>
      </c>
      <c r="W258" s="78">
        <f>T258/L258</f>
        <v/>
      </c>
      <c r="X258" s="79">
        <f>ABS(W258)</f>
        <v/>
      </c>
      <c r="AH258" s="80" t="inlineStr">
        <is>
          <t>不建模</t>
        </is>
      </c>
    </row>
    <row r="259" ht="11.4" customHeight="1">
      <c r="A259" s="67" t="inlineStr">
        <is>
          <t>59</t>
        </is>
      </c>
      <c r="B259" s="67" t="inlineStr">
        <is>
          <t>1057</t>
        </is>
      </c>
      <c r="C259" s="67" t="inlineStr">
        <is>
          <t>1611</t>
        </is>
      </c>
      <c r="D259" s="68" t="inlineStr">
        <is>
          <t>01</t>
        </is>
      </c>
      <c r="E259" s="68" t="inlineStr">
        <is>
          <t>0 地产费用</t>
        </is>
      </c>
      <c r="F259" s="68" t="inlineStr">
        <is>
          <t>0.2 房产建筑</t>
        </is>
      </c>
      <c r="G259" s="68" t="inlineStr">
        <is>
          <t>DT外立面(总包自建)</t>
        </is>
      </c>
      <c r="H259" s="68" t="inlineStr">
        <is>
          <t>DT外立面(总包自建)</t>
        </is>
      </c>
      <c r="I259" s="69" t="inlineStr">
        <is>
          <t>1000021719</t>
        </is>
      </c>
      <c r="J259" s="69" t="inlineStr">
        <is>
          <t>刀旗加固（仅适用于刀旗高出建筑物的情况）</t>
        </is>
      </c>
      <c r="K259" s="70" t="n"/>
      <c r="L259" s="70" t="n"/>
      <c r="M259" s="71" t="inlineStr">
        <is>
          <t>项</t>
        </is>
      </c>
      <c r="N259" s="72" t="n">
        <v>4598.62</v>
      </c>
      <c r="O259" s="72">
        <f>ROUND(N259*(1+$F$10),2)</f>
        <v/>
      </c>
      <c r="P259" s="73">
        <f>ROUND(K259*N259,2)</f>
        <v/>
      </c>
      <c r="Q259" s="74">
        <f>ROUND(L259*N259,2)</f>
        <v/>
      </c>
      <c r="R259" s="75" t="n"/>
      <c r="S259" s="76" t="n"/>
      <c r="T259" s="77">
        <f>K259-L259</f>
        <v/>
      </c>
      <c r="U259" s="77">
        <f>P259-Q259</f>
        <v/>
      </c>
      <c r="V259" s="77">
        <f>ABS(U259)</f>
        <v/>
      </c>
      <c r="W259" s="78">
        <f>T259/L259</f>
        <v/>
      </c>
      <c r="X259" s="79">
        <f>ABS(W259)</f>
        <v/>
      </c>
      <c r="AH259" s="80" t="inlineStr">
        <is>
          <t>委托书</t>
        </is>
      </c>
    </row>
    <row r="260" ht="11.4" customHeight="1">
      <c r="A260" s="67" t="inlineStr">
        <is>
          <t>59</t>
        </is>
      </c>
      <c r="B260" s="67" t="inlineStr">
        <is>
          <t>1057</t>
        </is>
      </c>
      <c r="C260" s="67" t="inlineStr">
        <is>
          <t>1611</t>
        </is>
      </c>
      <c r="D260" s="68" t="inlineStr">
        <is>
          <t>01</t>
        </is>
      </c>
      <c r="E260" s="68" t="inlineStr">
        <is>
          <t>0 地产费用</t>
        </is>
      </c>
      <c r="F260" s="68" t="inlineStr">
        <is>
          <t>0.2 房产建筑</t>
        </is>
      </c>
      <c r="G260" s="68" t="inlineStr">
        <is>
          <t>户外棚架区、伞位区</t>
        </is>
      </c>
      <c r="H260" s="68" t="inlineStr">
        <is>
          <t>户外棚架区、伞位区</t>
        </is>
      </c>
      <c r="I260" s="69" t="inlineStr">
        <is>
          <t>1000021722</t>
        </is>
      </c>
      <c r="J260" s="69" t="inlineStr">
        <is>
          <t>DT-室外棚架钢结构及油漆</t>
        </is>
      </c>
      <c r="K260" s="70" t="n"/>
      <c r="L260" s="70" t="n"/>
      <c r="M260" s="71" t="inlineStr">
        <is>
          <t>吨</t>
        </is>
      </c>
      <c r="N260" s="72" t="n">
        <v>9866.1</v>
      </c>
      <c r="O260" s="72">
        <f>ROUND(N260*(1+$F$10),2)</f>
        <v/>
      </c>
      <c r="P260" s="73">
        <f>ROUND(K260*N260,2)</f>
        <v/>
      </c>
      <c r="Q260" s="74">
        <f>ROUND(L260*N260,2)</f>
        <v/>
      </c>
      <c r="R260" s="75" t="n"/>
      <c r="S260" s="76" t="n"/>
      <c r="T260" s="77">
        <f>K260-L260</f>
        <v/>
      </c>
      <c r="U260" s="77">
        <f>P260-Q260</f>
        <v/>
      </c>
      <c r="V260" s="77">
        <f>ABS(U260)</f>
        <v/>
      </c>
      <c r="W260" s="78">
        <f>T260/L260</f>
        <v/>
      </c>
      <c r="X260" s="79">
        <f>ABS(W260)</f>
        <v/>
      </c>
    </row>
    <row r="261" ht="11.4" customHeight="1">
      <c r="A261" s="67" t="inlineStr">
        <is>
          <t>59</t>
        </is>
      </c>
      <c r="B261" s="67" t="inlineStr">
        <is>
          <t>1057</t>
        </is>
      </c>
      <c r="C261" s="67" t="inlineStr">
        <is>
          <t>1611</t>
        </is>
      </c>
      <c r="D261" s="68" t="inlineStr">
        <is>
          <t>01</t>
        </is>
      </c>
      <c r="E261" s="68" t="inlineStr">
        <is>
          <t>0 地产费用</t>
        </is>
      </c>
      <c r="F261" s="68" t="inlineStr">
        <is>
          <t>0.2 房产建筑</t>
        </is>
      </c>
      <c r="G261" s="68" t="inlineStr">
        <is>
          <t>户外棚架区、伞位区</t>
        </is>
      </c>
      <c r="H261" s="68" t="inlineStr">
        <is>
          <t>户外棚架区、伞位区</t>
        </is>
      </c>
      <c r="I261" s="69" t="inlineStr">
        <is>
          <t>1000021723</t>
        </is>
      </c>
      <c r="J261" s="69" t="inlineStr">
        <is>
          <t>DT-室外花槽及防水</t>
        </is>
      </c>
      <c r="K261" s="70" t="n"/>
      <c r="L261" s="70" t="n"/>
      <c r="M261" s="71" t="inlineStr">
        <is>
          <t>米</t>
        </is>
      </c>
      <c r="N261" s="72" t="n">
        <v>2570.99</v>
      </c>
      <c r="O261" s="72">
        <f>ROUND(N261*(1+$F$10),2)</f>
        <v/>
      </c>
      <c r="P261" s="73">
        <f>ROUND(K261*N261,2)</f>
        <v/>
      </c>
      <c r="Q261" s="74">
        <f>ROUND(L261*N261,2)</f>
        <v/>
      </c>
      <c r="R261" s="75" t="n"/>
      <c r="S261" s="76" t="n"/>
      <c r="T261" s="77">
        <f>K261-L261</f>
        <v/>
      </c>
      <c r="U261" s="77">
        <f>P261-Q261</f>
        <v/>
      </c>
      <c r="V261" s="77">
        <f>ABS(U261)</f>
        <v/>
      </c>
      <c r="W261" s="78">
        <f>T261/L261</f>
        <v/>
      </c>
      <c r="X261" s="79">
        <f>ABS(W261)</f>
        <v/>
      </c>
    </row>
    <row r="262" ht="11.4" customHeight="1">
      <c r="A262" s="67" t="inlineStr">
        <is>
          <t>59</t>
        </is>
      </c>
      <c r="B262" s="67" t="inlineStr">
        <is>
          <t>1057</t>
        </is>
      </c>
      <c r="C262" s="67" t="inlineStr">
        <is>
          <t>1611</t>
        </is>
      </c>
      <c r="D262" s="68" t="inlineStr">
        <is>
          <t>01</t>
        </is>
      </c>
      <c r="E262" s="68" t="inlineStr">
        <is>
          <t>0 地产费用</t>
        </is>
      </c>
      <c r="F262" s="68" t="inlineStr">
        <is>
          <t>0.2 房产建筑</t>
        </is>
      </c>
      <c r="G262" s="68" t="inlineStr">
        <is>
          <t>户外棚架区、伞位区</t>
        </is>
      </c>
      <c r="H262" s="68" t="inlineStr">
        <is>
          <t>户外棚架区、伞位区</t>
        </is>
      </c>
      <c r="I262" s="69" t="inlineStr">
        <is>
          <t>1000021445</t>
        </is>
      </c>
      <c r="J262" s="69" t="inlineStr">
        <is>
          <t>DT-花槽塑铝板</t>
        </is>
      </c>
      <c r="K262" s="70" t="n"/>
      <c r="L262" s="70" t="n"/>
      <c r="M262" s="71" t="inlineStr">
        <is>
          <t>m2</t>
        </is>
      </c>
      <c r="N262" s="72" t="n">
        <v>465.14</v>
      </c>
      <c r="O262" s="72">
        <f>ROUND(N262*(1+$F$10),2)</f>
        <v/>
      </c>
      <c r="P262" s="73">
        <f>ROUND(K262*N262,2)</f>
        <v/>
      </c>
      <c r="Q262" s="74">
        <f>ROUND(L262*N262,2)</f>
        <v/>
      </c>
      <c r="R262" s="75" t="n"/>
      <c r="S262" s="76" t="n"/>
      <c r="T262" s="77">
        <f>K262-L262</f>
        <v/>
      </c>
      <c r="U262" s="77">
        <f>P262-Q262</f>
        <v/>
      </c>
      <c r="V262" s="77">
        <f>ABS(U262)</f>
        <v/>
      </c>
      <c r="W262" s="78">
        <f>T262/L262</f>
        <v/>
      </c>
      <c r="X262" s="79">
        <f>ABS(W262)</f>
        <v/>
      </c>
    </row>
    <row r="263" ht="11.4" customHeight="1">
      <c r="A263" s="67" t="inlineStr">
        <is>
          <t>59</t>
        </is>
      </c>
      <c r="B263" s="67" t="inlineStr">
        <is>
          <t>1057</t>
        </is>
      </c>
      <c r="C263" s="67" t="inlineStr">
        <is>
          <t>1611</t>
        </is>
      </c>
      <c r="D263" s="68" t="inlineStr">
        <is>
          <t>01</t>
        </is>
      </c>
      <c r="E263" s="68" t="inlineStr">
        <is>
          <t>0 地产费用</t>
        </is>
      </c>
      <c r="F263" s="68" t="inlineStr">
        <is>
          <t>0.2 房产建筑</t>
        </is>
      </c>
      <c r="G263" s="68" t="inlineStr">
        <is>
          <t>户外棚架区、伞位区</t>
        </is>
      </c>
      <c r="H263" s="68" t="inlineStr">
        <is>
          <t>户外棚架区、伞位区</t>
        </is>
      </c>
      <c r="I263" s="69" t="inlineStr">
        <is>
          <t>1000021724</t>
        </is>
      </c>
      <c r="J263" s="69" t="inlineStr">
        <is>
          <t>DT-花槽格栅及喷漆</t>
        </is>
      </c>
      <c r="K263" s="70" t="n"/>
      <c r="L263" s="70" t="n"/>
      <c r="M263" s="71" t="inlineStr">
        <is>
          <t>m2</t>
        </is>
      </c>
      <c r="N263" s="72" t="n">
        <v>979.4400000000001</v>
      </c>
      <c r="O263" s="72">
        <f>ROUND(N263*(1+$F$10),2)</f>
        <v/>
      </c>
      <c r="P263" s="73">
        <f>ROUND(K263*N263,2)</f>
        <v/>
      </c>
      <c r="Q263" s="74">
        <f>ROUND(L263*N263,2)</f>
        <v/>
      </c>
      <c r="R263" s="75" t="n"/>
      <c r="S263" s="76" t="n"/>
      <c r="T263" s="77">
        <f>K263-L263</f>
        <v/>
      </c>
      <c r="U263" s="77">
        <f>P263-Q263</f>
        <v/>
      </c>
      <c r="V263" s="77">
        <f>ABS(U263)</f>
        <v/>
      </c>
      <c r="W263" s="78">
        <f>T263/L263</f>
        <v/>
      </c>
      <c r="X263" s="79">
        <f>ABS(W263)</f>
        <v/>
      </c>
    </row>
    <row r="264" ht="11.4" customHeight="1">
      <c r="A264" s="67" t="inlineStr">
        <is>
          <t>59</t>
        </is>
      </c>
      <c r="B264" s="67" t="inlineStr">
        <is>
          <t>1057</t>
        </is>
      </c>
      <c r="C264" s="67" t="inlineStr">
        <is>
          <t>1611</t>
        </is>
      </c>
      <c r="D264" s="68" t="inlineStr">
        <is>
          <t>01</t>
        </is>
      </c>
      <c r="E264" s="68" t="inlineStr">
        <is>
          <t>6 物业施工费</t>
        </is>
      </c>
      <c r="F264" s="68" t="inlineStr">
        <is>
          <t>6.1 总承包工程</t>
        </is>
      </c>
      <c r="G264" s="68" t="inlineStr">
        <is>
          <t>6.1.1 内部装修工程</t>
        </is>
      </c>
      <c r="H264" s="68" t="inlineStr">
        <is>
          <t>外立面装修</t>
        </is>
      </c>
      <c r="I264" s="69" t="inlineStr">
        <is>
          <t>1000021787</t>
        </is>
      </c>
      <c r="J264" s="69" t="inlineStr">
        <is>
          <t>铝框12mm 钢化玻璃（单层）</t>
        </is>
      </c>
      <c r="K264" s="70" t="n"/>
      <c r="L264" s="70" t="n"/>
      <c r="M264" s="71" t="inlineStr">
        <is>
          <t>m2</t>
        </is>
      </c>
      <c r="N264" s="72" t="n">
        <v>465.88</v>
      </c>
      <c r="O264" s="72">
        <f>ROUND(N264*(1+$F$10),2)</f>
        <v/>
      </c>
      <c r="P264" s="73">
        <f>ROUND(K264*N264,2)</f>
        <v/>
      </c>
      <c r="Q264" s="74">
        <f>ROUND(L264*N264,2)</f>
        <v/>
      </c>
      <c r="R264" s="75" t="n"/>
      <c r="S264" s="76" t="n"/>
      <c r="T264" s="77">
        <f>K264-L264</f>
        <v/>
      </c>
      <c r="U264" s="77">
        <f>P264-Q264</f>
        <v/>
      </c>
      <c r="V264" s="77">
        <f>ABS(U264)</f>
        <v/>
      </c>
      <c r="W264" s="78">
        <f>T264/L264</f>
        <v/>
      </c>
      <c r="X264" s="79">
        <f>ABS(W264)</f>
        <v/>
      </c>
      <c r="AG264" s="80" t="inlineStr">
        <is>
          <t>幕墙面积</t>
        </is>
      </c>
    </row>
    <row r="265" ht="11.4" customHeight="1">
      <c r="A265" s="67" t="inlineStr">
        <is>
          <t>59</t>
        </is>
      </c>
      <c r="B265" s="67" t="inlineStr">
        <is>
          <t>1057</t>
        </is>
      </c>
      <c r="C265" s="67" t="inlineStr">
        <is>
          <t>1611</t>
        </is>
      </c>
      <c r="D265" s="68" t="inlineStr">
        <is>
          <t>01</t>
        </is>
      </c>
      <c r="E265" s="68" t="inlineStr">
        <is>
          <t>6 物业施工费</t>
        </is>
      </c>
      <c r="F265" s="68" t="inlineStr">
        <is>
          <t>6.1 总承包工程</t>
        </is>
      </c>
      <c r="G265" s="68" t="inlineStr">
        <is>
          <t>6.1.1 内部装修工程</t>
        </is>
      </c>
      <c r="H265" s="68" t="inlineStr">
        <is>
          <t>外立面装修</t>
        </is>
      </c>
      <c r="I265" s="69" t="inlineStr">
        <is>
          <t>1000021788</t>
        </is>
      </c>
      <c r="J265" s="69" t="inlineStr">
        <is>
          <t>铝框6+6mm 钢化玻璃（双层）</t>
        </is>
      </c>
      <c r="K265" s="70" t="n"/>
      <c r="L265" s="70" t="n"/>
      <c r="M265" s="71" t="inlineStr">
        <is>
          <t>m2</t>
        </is>
      </c>
      <c r="N265" s="72" t="n">
        <v>674.21</v>
      </c>
      <c r="O265" s="72">
        <f>ROUND(N265*(1+$F$10),2)</f>
        <v/>
      </c>
      <c r="P265" s="73">
        <f>ROUND(K265*N265,2)</f>
        <v/>
      </c>
      <c r="Q265" s="74">
        <f>ROUND(L265*N265,2)</f>
        <v/>
      </c>
      <c r="R265" s="75" t="n"/>
      <c r="S265" s="76" t="n"/>
      <c r="T265" s="77">
        <f>K265-L265</f>
        <v/>
      </c>
      <c r="U265" s="77">
        <f>P265-Q265</f>
        <v/>
      </c>
      <c r="V265" s="77">
        <f>ABS(U265)</f>
        <v/>
      </c>
      <c r="W265" s="78">
        <f>T265/L265</f>
        <v/>
      </c>
      <c r="X265" s="79">
        <f>ABS(W265)</f>
        <v/>
      </c>
      <c r="AG265" s="80" t="inlineStr">
        <is>
          <t>幕墙面积</t>
        </is>
      </c>
    </row>
    <row r="266" ht="11.4" customHeight="1">
      <c r="A266" s="67" t="inlineStr">
        <is>
          <t>59</t>
        </is>
      </c>
      <c r="B266" s="67" t="inlineStr">
        <is>
          <t>1057</t>
        </is>
      </c>
      <c r="C266" s="67" t="inlineStr">
        <is>
          <t>1611</t>
        </is>
      </c>
      <c r="D266" s="68" t="inlineStr">
        <is>
          <t>01</t>
        </is>
      </c>
      <c r="E266" s="68" t="inlineStr">
        <is>
          <t>6 物业施工费</t>
        </is>
      </c>
      <c r="F266" s="68" t="inlineStr">
        <is>
          <t>6.1 总承包工程</t>
        </is>
      </c>
      <c r="G266" s="68" t="inlineStr">
        <is>
          <t>6.1.1 内部装修工程</t>
        </is>
      </c>
      <c r="H266" s="68" t="inlineStr">
        <is>
          <t>外立面装修</t>
        </is>
      </c>
      <c r="I266" s="69" t="inlineStr">
        <is>
          <t>1000021789</t>
        </is>
      </c>
      <c r="J266" s="69" t="inlineStr">
        <is>
          <t>铝框15mm 钢化防火玻璃</t>
        </is>
      </c>
      <c r="K266" s="70" t="n"/>
      <c r="L266" s="70" t="n"/>
      <c r="M266" s="71" t="inlineStr">
        <is>
          <t>m2</t>
        </is>
      </c>
      <c r="N266" s="72" t="n">
        <v>592.51</v>
      </c>
      <c r="O266" s="72">
        <f>ROUND(N266*(1+$F$10),2)</f>
        <v/>
      </c>
      <c r="P266" s="73">
        <f>ROUND(K266*N266,2)</f>
        <v/>
      </c>
      <c r="Q266" s="74">
        <f>ROUND(L266*N266,2)</f>
        <v/>
      </c>
      <c r="R266" s="75" t="n"/>
      <c r="S266" s="76" t="n"/>
      <c r="T266" s="77">
        <f>K266-L266</f>
        <v/>
      </c>
      <c r="U266" s="77">
        <f>P266-Q266</f>
        <v/>
      </c>
      <c r="V266" s="77">
        <f>ABS(U266)</f>
        <v/>
      </c>
      <c r="W266" s="78">
        <f>T266/L266</f>
        <v/>
      </c>
      <c r="X266" s="79">
        <f>ABS(W266)</f>
        <v/>
      </c>
      <c r="AG266" s="80" t="inlineStr">
        <is>
          <t>幕墙面积</t>
        </is>
      </c>
    </row>
    <row r="267" ht="11.4" customHeight="1">
      <c r="A267" s="67" t="inlineStr">
        <is>
          <t>59</t>
        </is>
      </c>
      <c r="B267" s="67" t="inlineStr">
        <is>
          <t>1057</t>
        </is>
      </c>
      <c r="C267" s="67" t="inlineStr">
        <is>
          <t>1611</t>
        </is>
      </c>
      <c r="D267" s="68" t="inlineStr">
        <is>
          <t>01</t>
        </is>
      </c>
      <c r="E267" s="68" t="inlineStr">
        <is>
          <t>6 物业施工费</t>
        </is>
      </c>
      <c r="F267" s="68" t="inlineStr">
        <is>
          <t>6.1 总承包工程</t>
        </is>
      </c>
      <c r="G267" s="68" t="inlineStr">
        <is>
          <t>6.1.1 内部装修工程</t>
        </is>
      </c>
      <c r="H267" s="68" t="inlineStr">
        <is>
          <t>外立面装修</t>
        </is>
      </c>
      <c r="I267" s="69" t="inlineStr">
        <is>
          <t>1000021790</t>
        </is>
      </c>
      <c r="J267" s="69" t="inlineStr">
        <is>
          <t>铝框19mm 钢化防火玻璃</t>
        </is>
      </c>
      <c r="K267" s="70" t="n"/>
      <c r="L267" s="70" t="n"/>
      <c r="M267" s="71" t="inlineStr">
        <is>
          <t>m2</t>
        </is>
      </c>
      <c r="N267" s="72" t="n">
        <v>763.01</v>
      </c>
      <c r="O267" s="72">
        <f>ROUND(N267*(1+$F$10),2)</f>
        <v/>
      </c>
      <c r="P267" s="73">
        <f>ROUND(K267*N267,2)</f>
        <v/>
      </c>
      <c r="Q267" s="74">
        <f>ROUND(L267*N267,2)</f>
        <v/>
      </c>
      <c r="R267" s="75" t="n"/>
      <c r="S267" s="76" t="n"/>
      <c r="T267" s="77">
        <f>K267-L267</f>
        <v/>
      </c>
      <c r="U267" s="77">
        <f>P267-Q267</f>
        <v/>
      </c>
      <c r="V267" s="77">
        <f>ABS(U267)</f>
        <v/>
      </c>
      <c r="W267" s="78">
        <f>T267/L267</f>
        <v/>
      </c>
      <c r="X267" s="79">
        <f>ABS(W267)</f>
        <v/>
      </c>
      <c r="AG267" s="80" t="inlineStr">
        <is>
          <t>幕墙面积</t>
        </is>
      </c>
    </row>
    <row r="268" ht="11.4" customHeight="1">
      <c r="A268" s="67" t="inlineStr">
        <is>
          <t>59</t>
        </is>
      </c>
      <c r="B268" s="67" t="inlineStr">
        <is>
          <t>1057</t>
        </is>
      </c>
      <c r="C268" s="67" t="inlineStr">
        <is>
          <t>1611</t>
        </is>
      </c>
      <c r="D268" s="68" t="inlineStr">
        <is>
          <t>01</t>
        </is>
      </c>
      <c r="E268" s="68" t="inlineStr">
        <is>
          <t>6 物业施工费</t>
        </is>
      </c>
      <c r="F268" s="68" t="inlineStr">
        <is>
          <t>6.1 总承包工程</t>
        </is>
      </c>
      <c r="G268" s="68" t="inlineStr">
        <is>
          <t>6.1.1 内部装修工程</t>
        </is>
      </c>
      <c r="H268" s="68" t="inlineStr">
        <is>
          <t>外立面装修</t>
        </is>
      </c>
      <c r="I268" s="69" t="inlineStr">
        <is>
          <t>1000021791</t>
        </is>
      </c>
      <c r="J268" s="69" t="inlineStr">
        <is>
          <t>12mm 钢化玻璃（不含铝框）</t>
        </is>
      </c>
      <c r="K268" s="70" t="n"/>
      <c r="L268" s="70" t="n"/>
      <c r="M268" s="71" t="inlineStr">
        <is>
          <t>m2</t>
        </is>
      </c>
      <c r="N268" s="72" t="n">
        <v>229.85</v>
      </c>
      <c r="O268" s="72">
        <f>ROUND(N268*(1+$F$10),2)</f>
        <v/>
      </c>
      <c r="P268" s="73">
        <f>ROUND(K268*N268,2)</f>
        <v/>
      </c>
      <c r="Q268" s="74">
        <f>ROUND(L268*N268,2)</f>
        <v/>
      </c>
      <c r="R268" s="75" t="n"/>
      <c r="S268" s="76" t="n"/>
      <c r="T268" s="77">
        <f>K268-L268</f>
        <v/>
      </c>
      <c r="U268" s="77">
        <f>P268-Q268</f>
        <v/>
      </c>
      <c r="V268" s="77">
        <f>ABS(U268)</f>
        <v/>
      </c>
      <c r="W268" s="78">
        <f>T268/L268</f>
        <v/>
      </c>
      <c r="X268" s="79">
        <f>ABS(W268)</f>
        <v/>
      </c>
      <c r="AG268" s="80" t="inlineStr">
        <is>
          <t>幕墙面积</t>
        </is>
      </c>
    </row>
    <row r="269" ht="11.4" customHeight="1">
      <c r="A269" s="67" t="inlineStr">
        <is>
          <t>59</t>
        </is>
      </c>
      <c r="B269" s="67" t="inlineStr">
        <is>
          <t>1057</t>
        </is>
      </c>
      <c r="C269" s="67" t="inlineStr">
        <is>
          <t>1611</t>
        </is>
      </c>
      <c r="D269" s="68" t="inlineStr">
        <is>
          <t>01</t>
        </is>
      </c>
      <c r="E269" s="68" t="inlineStr">
        <is>
          <t>6 物业施工费</t>
        </is>
      </c>
      <c r="F269" s="68" t="inlineStr">
        <is>
          <t>6.1 总承包工程</t>
        </is>
      </c>
      <c r="G269" s="68" t="inlineStr">
        <is>
          <t>6.1.1 内部装修工程</t>
        </is>
      </c>
      <c r="H269" s="68" t="inlineStr">
        <is>
          <t>外立面装修</t>
        </is>
      </c>
      <c r="I269" s="69" t="inlineStr">
        <is>
          <t>1000022168</t>
        </is>
      </c>
      <c r="J269" s="69" t="inlineStr">
        <is>
          <t>窗框刷漆</t>
        </is>
      </c>
      <c r="K269" s="70" t="n"/>
      <c r="L269" s="70" t="n"/>
      <c r="M269" s="71" t="inlineStr">
        <is>
          <t>m2</t>
        </is>
      </c>
      <c r="N269" s="72" t="n">
        <v>36.96</v>
      </c>
      <c r="O269" s="72">
        <f>ROUND(N269*(1+$F$10),2)</f>
        <v/>
      </c>
      <c r="P269" s="73">
        <f>ROUND(K269*N269,2)</f>
        <v/>
      </c>
      <c r="Q269" s="74">
        <f>ROUND(L269*N269,2)</f>
        <v/>
      </c>
      <c r="R269" s="75" t="n"/>
      <c r="S269" s="76" t="n"/>
      <c r="T269" s="77">
        <f>K269-L269</f>
        <v/>
      </c>
      <c r="U269" s="77">
        <f>P269-Q269</f>
        <v/>
      </c>
      <c r="V269" s="77">
        <f>ABS(U269)</f>
        <v/>
      </c>
      <c r="W269" s="78">
        <f>T269/L269</f>
        <v/>
      </c>
      <c r="X269" s="79">
        <f>ABS(W269)</f>
        <v/>
      </c>
      <c r="AG269" s="80" t="inlineStr">
        <is>
          <t>基本墙面积</t>
        </is>
      </c>
    </row>
    <row r="270" ht="11.4" customHeight="1">
      <c r="A270" s="67" t="inlineStr">
        <is>
          <t>59</t>
        </is>
      </c>
      <c r="B270" s="67" t="inlineStr">
        <is>
          <t>1057</t>
        </is>
      </c>
      <c r="C270" s="67" t="inlineStr">
        <is>
          <t>1611</t>
        </is>
      </c>
      <c r="D270" s="68" t="inlineStr">
        <is>
          <t>01</t>
        </is>
      </c>
      <c r="E270" s="68" t="inlineStr">
        <is>
          <t>6 物业施工费</t>
        </is>
      </c>
      <c r="F270" s="68" t="inlineStr">
        <is>
          <t>6.1 总承包工程</t>
        </is>
      </c>
      <c r="G270" s="68" t="inlineStr">
        <is>
          <t>6.1.1 内部装修工程</t>
        </is>
      </c>
      <c r="H270" s="68" t="inlineStr">
        <is>
          <t>外立面装修</t>
        </is>
      </c>
      <c r="I270" s="69" t="inlineStr">
        <is>
          <t>1000021442</t>
        </is>
      </c>
      <c r="J270" s="69" t="inlineStr">
        <is>
          <t>消防排烟窗</t>
        </is>
      </c>
      <c r="K270" s="70" t="n"/>
      <c r="L270" s="70" t="n"/>
      <c r="M270" s="71" t="inlineStr">
        <is>
          <t>m2</t>
        </is>
      </c>
      <c r="N270" s="72" t="n">
        <v>958.97</v>
      </c>
      <c r="O270" s="72">
        <f>ROUND(N270*(1+$F$10),2)</f>
        <v/>
      </c>
      <c r="P270" s="73">
        <f>ROUND(K270*N270,2)</f>
        <v/>
      </c>
      <c r="Q270" s="74">
        <f>ROUND(L270*N270,2)</f>
        <v/>
      </c>
      <c r="R270" s="75" t="n"/>
      <c r="S270" s="76" t="n"/>
      <c r="T270" s="77">
        <f>K270-L270</f>
        <v/>
      </c>
      <c r="U270" s="77">
        <f>P270-Q270</f>
        <v/>
      </c>
      <c r="V270" s="77">
        <f>ABS(U270)</f>
        <v/>
      </c>
      <c r="W270" s="78">
        <f>T270/L270</f>
        <v/>
      </c>
      <c r="X270" s="79">
        <f>ABS(W270)</f>
        <v/>
      </c>
      <c r="AG270" s="80" t="inlineStr">
        <is>
          <t>玻璃嵌板面积</t>
        </is>
      </c>
    </row>
    <row r="271" ht="11.4" customHeight="1">
      <c r="A271" s="67" t="inlineStr">
        <is>
          <t>59</t>
        </is>
      </c>
      <c r="B271" s="67" t="inlineStr">
        <is>
          <t>1057</t>
        </is>
      </c>
      <c r="C271" s="67" t="inlineStr">
        <is>
          <t>1611</t>
        </is>
      </c>
      <c r="D271" s="68" t="inlineStr">
        <is>
          <t>01</t>
        </is>
      </c>
      <c r="E271" s="68" t="inlineStr">
        <is>
          <t>6 物业施工费</t>
        </is>
      </c>
      <c r="F271" s="68" t="inlineStr">
        <is>
          <t>6.1 总承包工程</t>
        </is>
      </c>
      <c r="G271" s="68" t="inlineStr">
        <is>
          <t>6.1.1 内部装修工程</t>
        </is>
      </c>
      <c r="H271" s="68" t="inlineStr">
        <is>
          <t>外立面装修</t>
        </is>
      </c>
      <c r="I271" s="69" t="inlineStr">
        <is>
          <t>1000021629</t>
        </is>
      </c>
      <c r="J271" s="69" t="inlineStr">
        <is>
          <t>人造石贴面</t>
        </is>
      </c>
      <c r="K271" s="70" t="n"/>
      <c r="L271" s="70" t="n"/>
      <c r="M271" s="71" t="inlineStr">
        <is>
          <t>m2</t>
        </is>
      </c>
      <c r="N271" s="72" t="n">
        <v>1134.73</v>
      </c>
      <c r="O271" s="72">
        <f>ROUND(N271*(1+$F$10),2)</f>
        <v/>
      </c>
      <c r="P271" s="73">
        <f>ROUND(K271*N271,2)</f>
        <v/>
      </c>
      <c r="Q271" s="74">
        <f>ROUND(L271*N271,2)</f>
        <v/>
      </c>
      <c r="R271" s="75" t="n"/>
      <c r="S271" s="76" t="n"/>
      <c r="T271" s="77">
        <f>K271-L271</f>
        <v/>
      </c>
      <c r="U271" s="77">
        <f>P271-Q271</f>
        <v/>
      </c>
      <c r="V271" s="77">
        <f>ABS(U271)</f>
        <v/>
      </c>
      <c r="W271" s="78">
        <f>T271/L271</f>
        <v/>
      </c>
      <c r="X271" s="79">
        <f>ABS(W271)</f>
        <v/>
      </c>
      <c r="AG271" s="80" t="inlineStr">
        <is>
          <t>天花+基本墙</t>
        </is>
      </c>
    </row>
    <row r="272" ht="11.4" customHeight="1">
      <c r="A272" s="67" t="inlineStr">
        <is>
          <t>59</t>
        </is>
      </c>
      <c r="B272" s="67" t="inlineStr">
        <is>
          <t>1057</t>
        </is>
      </c>
      <c r="C272" s="67" t="inlineStr">
        <is>
          <t>1611</t>
        </is>
      </c>
      <c r="D272" s="68" t="inlineStr">
        <is>
          <t>01</t>
        </is>
      </c>
      <c r="E272" s="68" t="inlineStr">
        <is>
          <t>6 物业施工费</t>
        </is>
      </c>
      <c r="F272" s="68" t="inlineStr">
        <is>
          <t>6.1 总承包工程</t>
        </is>
      </c>
      <c r="G272" s="68" t="inlineStr">
        <is>
          <t>6.1.1 内部装修工程</t>
        </is>
      </c>
      <c r="H272" s="68" t="inlineStr">
        <is>
          <t>外立面装修</t>
        </is>
      </c>
      <c r="I272" s="69" t="inlineStr">
        <is>
          <t>1000021492</t>
        </is>
      </c>
      <c r="J272" s="69" t="inlineStr">
        <is>
          <t>外墙塑铝板（新高丽）</t>
        </is>
      </c>
      <c r="K272" s="70" t="n"/>
      <c r="L272" s="70" t="n"/>
      <c r="M272" s="71" t="inlineStr">
        <is>
          <t>m2</t>
        </is>
      </c>
      <c r="N272" s="72" t="n">
        <v>464.59</v>
      </c>
      <c r="O272" s="72">
        <f>ROUND(N272*(1+$F$10),2)</f>
        <v/>
      </c>
      <c r="P272" s="73">
        <f>ROUND(K272*N272,2)</f>
        <v/>
      </c>
      <c r="Q272" s="74">
        <f>ROUND(L272*N272,2)</f>
        <v/>
      </c>
      <c r="R272" s="75" t="n"/>
      <c r="S272" s="76" t="n"/>
      <c r="T272" s="77">
        <f>K272-L272</f>
        <v/>
      </c>
      <c r="U272" s="77">
        <f>P272-Q272</f>
        <v/>
      </c>
      <c r="V272" s="77">
        <f>ABS(U272)</f>
        <v/>
      </c>
      <c r="W272" s="78">
        <f>T272/L272</f>
        <v/>
      </c>
      <c r="X272" s="79">
        <f>ABS(W272)</f>
        <v/>
      </c>
      <c r="AG272" s="6" t="inlineStr">
        <is>
          <t>天花+基本墙</t>
        </is>
      </c>
    </row>
    <row r="273" ht="11.4" customHeight="1">
      <c r="A273" s="67" t="inlineStr">
        <is>
          <t>59</t>
        </is>
      </c>
      <c r="B273" s="67" t="inlineStr">
        <is>
          <t>1057</t>
        </is>
      </c>
      <c r="C273" s="67" t="inlineStr">
        <is>
          <t>1611</t>
        </is>
      </c>
      <c r="D273" s="68" t="inlineStr">
        <is>
          <t>01</t>
        </is>
      </c>
      <c r="E273" s="68" t="inlineStr">
        <is>
          <t>6 物业施工费</t>
        </is>
      </c>
      <c r="F273" s="68" t="inlineStr">
        <is>
          <t>6.1 总承包工程</t>
        </is>
      </c>
      <c r="G273" s="68" t="inlineStr">
        <is>
          <t>6.1.1 内部装修工程</t>
        </is>
      </c>
      <c r="H273" s="68" t="inlineStr">
        <is>
          <t>外立面装修</t>
        </is>
      </c>
      <c r="I273" s="69" t="inlineStr">
        <is>
          <t>1000040125</t>
        </is>
      </c>
      <c r="J273" s="69" t="inlineStr">
        <is>
          <t>外墙塑铝板（桂可道）</t>
        </is>
      </c>
      <c r="K273" s="70" t="n"/>
      <c r="L273" s="70" t="n"/>
      <c r="M273" s="71" t="inlineStr">
        <is>
          <t>m2</t>
        </is>
      </c>
      <c r="N273" s="72" t="n">
        <v>460.58</v>
      </c>
      <c r="O273" s="72">
        <f>ROUND(N273*(1+$F$10),2)</f>
        <v/>
      </c>
      <c r="P273" s="73">
        <f>ROUND(K273*N273,2)</f>
        <v/>
      </c>
      <c r="Q273" s="74">
        <f>ROUND(L273*N273,2)</f>
        <v/>
      </c>
      <c r="R273" s="75" t="n"/>
      <c r="S273" s="76" t="n"/>
      <c r="T273" s="77">
        <f>K273-L273</f>
        <v/>
      </c>
      <c r="U273" s="77">
        <f>P273-Q273</f>
        <v/>
      </c>
      <c r="V273" s="77">
        <f>ABS(U273)</f>
        <v/>
      </c>
      <c r="W273" s="78">
        <f>T273/L273</f>
        <v/>
      </c>
      <c r="X273" s="79">
        <f>ABS(W273)</f>
        <v/>
      </c>
      <c r="AG273" s="6" t="inlineStr">
        <is>
          <t>天花+基本墙</t>
        </is>
      </c>
    </row>
    <row r="274" ht="11.4" customHeight="1">
      <c r="A274" s="67" t="inlineStr">
        <is>
          <t>59</t>
        </is>
      </c>
      <c r="B274" s="67" t="inlineStr">
        <is>
          <t>1057</t>
        </is>
      </c>
      <c r="C274" s="67" t="inlineStr">
        <is>
          <t>1611</t>
        </is>
      </c>
      <c r="D274" s="68" t="inlineStr">
        <is>
          <t>01</t>
        </is>
      </c>
      <c r="E274" s="68" t="inlineStr">
        <is>
          <t>6 物业施工费</t>
        </is>
      </c>
      <c r="F274" s="68" t="inlineStr">
        <is>
          <t>6.1 总承包工程</t>
        </is>
      </c>
      <c r="G274" s="68" t="inlineStr">
        <is>
          <t>6.1.1 内部装修工程</t>
        </is>
      </c>
      <c r="H274" s="68" t="inlineStr">
        <is>
          <t>外立面装修</t>
        </is>
      </c>
      <c r="I274" s="69" t="inlineStr">
        <is>
          <t>1000040126</t>
        </is>
      </c>
      <c r="J274" s="69" t="inlineStr">
        <is>
          <t>外墙塑铝板（标榜）</t>
        </is>
      </c>
      <c r="K274" s="70" t="n">
        <v>22.93</v>
      </c>
      <c r="L274" s="70" t="n">
        <v>23.26</v>
      </c>
      <c r="M274" s="71" t="inlineStr">
        <is>
          <t>m2</t>
        </is>
      </c>
      <c r="N274" s="72" t="n">
        <v>464.64</v>
      </c>
      <c r="O274" s="72">
        <f>ROUND(N274*(1+$F$10),2)</f>
        <v/>
      </c>
      <c r="P274" s="73">
        <f>ROUND(K274*N274,2)</f>
        <v/>
      </c>
      <c r="Q274" s="74">
        <f>ROUND(L274*N274,2)</f>
        <v/>
      </c>
      <c r="R274" s="75" t="n"/>
      <c r="S274" s="76" t="n"/>
      <c r="T274" s="77">
        <f>K274-L274</f>
        <v/>
      </c>
      <c r="U274" s="77">
        <f>P274-Q274</f>
        <v/>
      </c>
      <c r="V274" s="77">
        <f>ABS(U274)</f>
        <v/>
      </c>
      <c r="W274" s="78">
        <f>T274/L274</f>
        <v/>
      </c>
      <c r="X274" s="79">
        <f>ABS(W274)</f>
        <v/>
      </c>
      <c r="AG274" s="6" t="inlineStr">
        <is>
          <t>天花+基本墙</t>
        </is>
      </c>
    </row>
    <row r="275" ht="11.4" customHeight="1">
      <c r="A275" s="67" t="inlineStr">
        <is>
          <t>59</t>
        </is>
      </c>
      <c r="B275" s="67" t="inlineStr">
        <is>
          <t>1057</t>
        </is>
      </c>
      <c r="C275" s="67" t="inlineStr">
        <is>
          <t>1611</t>
        </is>
      </c>
      <c r="D275" s="68" t="inlineStr">
        <is>
          <t>01</t>
        </is>
      </c>
      <c r="E275" s="68" t="inlineStr">
        <is>
          <t>6 物业施工费</t>
        </is>
      </c>
      <c r="F275" s="68" t="inlineStr">
        <is>
          <t>6.1 总承包工程</t>
        </is>
      </c>
      <c r="G275" s="68" t="inlineStr">
        <is>
          <t>6.1.1 内部装修工程</t>
        </is>
      </c>
      <c r="H275" s="68" t="inlineStr">
        <is>
          <t>外立面装修</t>
        </is>
      </c>
      <c r="I275" s="69" t="inlineStr">
        <is>
          <t>1000022142</t>
        </is>
      </c>
      <c r="J275" s="69" t="inlineStr">
        <is>
          <t>外墙花纹木纹铝塑板（Luna，A级防火）</t>
        </is>
      </c>
      <c r="K275" s="70" t="n"/>
      <c r="L275" s="70" t="n"/>
      <c r="M275" s="71" t="inlineStr">
        <is>
          <t>m2</t>
        </is>
      </c>
      <c r="N275" s="72" t="n">
        <v>887.74</v>
      </c>
      <c r="O275" s="72">
        <f>ROUND(N275*(1+$F$10),2)</f>
        <v/>
      </c>
      <c r="P275" s="73">
        <f>ROUND(K275*N275,2)</f>
        <v/>
      </c>
      <c r="Q275" s="74">
        <f>ROUND(L275*N275,2)</f>
        <v/>
      </c>
      <c r="R275" s="75" t="n"/>
      <c r="S275" s="76" t="n"/>
      <c r="T275" s="77">
        <f>K275-L275</f>
        <v/>
      </c>
      <c r="U275" s="77">
        <f>P275-Q275</f>
        <v/>
      </c>
      <c r="V275" s="77">
        <f>ABS(U275)</f>
        <v/>
      </c>
      <c r="W275" s="78">
        <f>T275/L275</f>
        <v/>
      </c>
      <c r="X275" s="79">
        <f>ABS(W275)</f>
        <v/>
      </c>
      <c r="AG275" s="6" t="inlineStr">
        <is>
          <t>天花+基本墙</t>
        </is>
      </c>
    </row>
    <row r="276" ht="11.4" customHeight="1">
      <c r="A276" s="67" t="inlineStr">
        <is>
          <t>59</t>
        </is>
      </c>
      <c r="B276" s="67" t="inlineStr">
        <is>
          <t>1057</t>
        </is>
      </c>
      <c r="C276" s="67" t="inlineStr">
        <is>
          <t>1611</t>
        </is>
      </c>
      <c r="D276" s="68" t="inlineStr">
        <is>
          <t>01</t>
        </is>
      </c>
      <c r="E276" s="68" t="inlineStr">
        <is>
          <t>6 物业施工费</t>
        </is>
      </c>
      <c r="F276" s="68" t="inlineStr">
        <is>
          <t>6.1 总承包工程</t>
        </is>
      </c>
      <c r="G276" s="68" t="inlineStr">
        <is>
          <t>6.1.1 内部装修工程</t>
        </is>
      </c>
      <c r="H276" s="68" t="inlineStr">
        <is>
          <t>外立面装修</t>
        </is>
      </c>
      <c r="I276" s="69" t="inlineStr">
        <is>
          <t>1000021792</t>
        </is>
      </c>
      <c r="J276" s="69" t="inlineStr">
        <is>
          <t>外立面穿孔铝板安装</t>
        </is>
      </c>
      <c r="K276" s="70" t="n"/>
      <c r="L276" s="70" t="n"/>
      <c r="M276" s="71" t="inlineStr">
        <is>
          <t>m2</t>
        </is>
      </c>
      <c r="N276" s="72" t="n">
        <v>360.47</v>
      </c>
      <c r="O276" s="72">
        <f>ROUND(N276*(1+$F$10),2)</f>
        <v/>
      </c>
      <c r="P276" s="73">
        <f>ROUND(K276*N276,2)</f>
        <v/>
      </c>
      <c r="Q276" s="74">
        <f>ROUND(L276*N276,2)</f>
        <v/>
      </c>
      <c r="R276" s="75" t="n"/>
      <c r="S276" s="76" t="n"/>
      <c r="T276" s="77">
        <f>K276-L276</f>
        <v/>
      </c>
      <c r="U276" s="77">
        <f>P276-Q276</f>
        <v/>
      </c>
      <c r="V276" s="77">
        <f>ABS(U276)</f>
        <v/>
      </c>
      <c r="W276" s="78">
        <f>T276/L276</f>
        <v/>
      </c>
      <c r="X276" s="79">
        <f>ABS(W276)</f>
        <v/>
      </c>
      <c r="AG276" s="6" t="inlineStr">
        <is>
          <t>天花+基本墙</t>
        </is>
      </c>
    </row>
    <row r="277" ht="11.4" customHeight="1">
      <c r="A277" s="67" t="inlineStr">
        <is>
          <t>59</t>
        </is>
      </c>
      <c r="B277" s="67" t="inlineStr">
        <is>
          <t>1057</t>
        </is>
      </c>
      <c r="C277" s="67" t="inlineStr">
        <is>
          <t>1611</t>
        </is>
      </c>
      <c r="D277" s="68" t="inlineStr">
        <is>
          <t>01</t>
        </is>
      </c>
      <c r="E277" s="68" t="inlineStr">
        <is>
          <t>6 物业施工费</t>
        </is>
      </c>
      <c r="F277" s="68" t="inlineStr">
        <is>
          <t>6.1 总承包工程</t>
        </is>
      </c>
      <c r="G277" s="68" t="inlineStr">
        <is>
          <t>6.1.1 内部装修工程</t>
        </is>
      </c>
      <c r="H277" s="68" t="inlineStr">
        <is>
          <t>外立面装修</t>
        </is>
      </c>
      <c r="I277" s="69" t="inlineStr">
        <is>
          <t>1000021773</t>
        </is>
      </c>
      <c r="J277" s="69" t="inlineStr">
        <is>
          <t>墙面基层（木工板或硅酸钙板）</t>
        </is>
      </c>
      <c r="K277" s="70" t="n"/>
      <c r="L277" s="70" t="n"/>
      <c r="M277" s="71" t="inlineStr">
        <is>
          <t>m2</t>
        </is>
      </c>
      <c r="N277" s="72" t="n">
        <v>114.06</v>
      </c>
      <c r="O277" s="72">
        <f>ROUND(N277*(1+$F$10),2)</f>
        <v/>
      </c>
      <c r="P277" s="73">
        <f>ROUND(K277*N277,2)</f>
        <v/>
      </c>
      <c r="Q277" s="74">
        <f>ROUND(L277*N277,2)</f>
        <v/>
      </c>
      <c r="R277" s="75" t="n"/>
      <c r="S277" s="76" t="n"/>
      <c r="T277" s="77">
        <f>K277-L277</f>
        <v/>
      </c>
      <c r="U277" s="77">
        <f>P277-Q277</f>
        <v/>
      </c>
      <c r="V277" s="77">
        <f>ABS(U277)</f>
        <v/>
      </c>
      <c r="W277" s="78">
        <f>T277/L277</f>
        <v/>
      </c>
      <c r="X277" s="79">
        <f>ABS(W277)</f>
        <v/>
      </c>
      <c r="AG277" s="6" t="inlineStr">
        <is>
          <t>【主材.墙饰面.木纹色防火板（不含基层）.实际面积】+【主材.墙饰面.纤维水泥板（室内）.实际面积】</t>
        </is>
      </c>
    </row>
    <row r="278" ht="11.4" customHeight="1">
      <c r="A278" s="67" t="inlineStr">
        <is>
          <t>59</t>
        </is>
      </c>
      <c r="B278" s="67" t="inlineStr">
        <is>
          <t>1057</t>
        </is>
      </c>
      <c r="C278" s="67" t="inlineStr">
        <is>
          <t>1611</t>
        </is>
      </c>
      <c r="D278" s="68" t="inlineStr">
        <is>
          <t>01</t>
        </is>
      </c>
      <c r="E278" s="68" t="inlineStr">
        <is>
          <t>6 物业施工费</t>
        </is>
      </c>
      <c r="F278" s="68" t="inlineStr">
        <is>
          <t>6.1 总承包工程</t>
        </is>
      </c>
      <c r="G278" s="68" t="inlineStr">
        <is>
          <t>6.1.1 内部装修工程</t>
        </is>
      </c>
      <c r="H278" s="68" t="inlineStr">
        <is>
          <t>外立面装修</t>
        </is>
      </c>
      <c r="I278" s="69" t="inlineStr">
        <is>
          <t>1000021494</t>
        </is>
      </c>
      <c r="J278" s="69" t="inlineStr">
        <is>
          <t>纤维水泥板（室外）</t>
        </is>
      </c>
      <c r="K278" s="70" t="n"/>
      <c r="L278" s="70" t="n"/>
      <c r="M278" s="71" t="inlineStr">
        <is>
          <t>m2</t>
        </is>
      </c>
      <c r="N278" s="72" t="n">
        <v>392.72</v>
      </c>
      <c r="O278" s="72">
        <f>ROUND(N278*(1+$F$10),2)</f>
        <v/>
      </c>
      <c r="P278" s="73">
        <f>ROUND(K278*N278,2)</f>
        <v/>
      </c>
      <c r="Q278" s="74">
        <f>ROUND(L278*N278,2)</f>
        <v/>
      </c>
      <c r="R278" s="75" t="n"/>
      <c r="S278" s="76" t="n"/>
      <c r="T278" s="77">
        <f>K278-L278</f>
        <v/>
      </c>
      <c r="U278" s="77">
        <f>P278-Q278</f>
        <v/>
      </c>
      <c r="V278" s="77">
        <f>ABS(U278)</f>
        <v/>
      </c>
      <c r="W278" s="78">
        <f>T278/L278</f>
        <v/>
      </c>
      <c r="X278" s="79">
        <f>ABS(W278)</f>
        <v/>
      </c>
      <c r="AG278" s="80" t="inlineStr">
        <is>
          <t>基本墙面积</t>
        </is>
      </c>
    </row>
    <row r="279" ht="11.4" customHeight="1">
      <c r="A279" s="67" t="inlineStr">
        <is>
          <t>59</t>
        </is>
      </c>
      <c r="B279" s="67" t="inlineStr">
        <is>
          <t>1057</t>
        </is>
      </c>
      <c r="C279" s="67" t="inlineStr">
        <is>
          <t>1611</t>
        </is>
      </c>
      <c r="D279" s="68" t="inlineStr">
        <is>
          <t>01</t>
        </is>
      </c>
      <c r="E279" s="68" t="inlineStr">
        <is>
          <t>6 物业施工费</t>
        </is>
      </c>
      <c r="F279" s="68" t="inlineStr">
        <is>
          <t>6.1 总承包工程</t>
        </is>
      </c>
      <c r="G279" s="68" t="inlineStr">
        <is>
          <t>6.1.1 内部装修工程</t>
        </is>
      </c>
      <c r="H279" s="68" t="inlineStr">
        <is>
          <t>外立面装修</t>
        </is>
      </c>
      <c r="I279" s="69" t="inlineStr">
        <is>
          <t>1000021493</t>
        </is>
      </c>
      <c r="J279" s="69" t="inlineStr">
        <is>
          <t>镜面铝塑板（桂可道）</t>
        </is>
      </c>
      <c r="K279" s="70" t="n"/>
      <c r="L279" s="70" t="n"/>
      <c r="M279" s="71" t="inlineStr">
        <is>
          <t>m2</t>
        </is>
      </c>
      <c r="N279" s="72" t="n">
        <v>635.04</v>
      </c>
      <c r="O279" s="72">
        <f>ROUND(N279*(1+$F$10),2)</f>
        <v/>
      </c>
      <c r="P279" s="73">
        <f>ROUND(K279*N279,2)</f>
        <v/>
      </c>
      <c r="Q279" s="74">
        <f>ROUND(L279*N279,2)</f>
        <v/>
      </c>
      <c r="R279" s="75" t="n"/>
      <c r="S279" s="76" t="n"/>
      <c r="T279" s="77">
        <f>K279-L279</f>
        <v/>
      </c>
      <c r="U279" s="77">
        <f>P279-Q279</f>
        <v/>
      </c>
      <c r="V279" s="77">
        <f>ABS(U279)</f>
        <v/>
      </c>
      <c r="W279" s="78">
        <f>T279/L279</f>
        <v/>
      </c>
      <c r="X279" s="79">
        <f>ABS(W279)</f>
        <v/>
      </c>
      <c r="AG279" s="6" t="inlineStr">
        <is>
          <t>天花+基本墙</t>
        </is>
      </c>
    </row>
    <row r="280" ht="11.4" customHeight="1">
      <c r="A280" s="67" t="inlineStr">
        <is>
          <t>59</t>
        </is>
      </c>
      <c r="B280" s="67" t="inlineStr">
        <is>
          <t>1057</t>
        </is>
      </c>
      <c r="C280" s="67" t="inlineStr">
        <is>
          <t>1611</t>
        </is>
      </c>
      <c r="D280" s="68" t="inlineStr">
        <is>
          <t>01</t>
        </is>
      </c>
      <c r="E280" s="68" t="inlineStr">
        <is>
          <t>6 物业施工费</t>
        </is>
      </c>
      <c r="F280" s="68" t="inlineStr">
        <is>
          <t>6.1 总承包工程</t>
        </is>
      </c>
      <c r="G280" s="68" t="inlineStr">
        <is>
          <t>6.1.1 内部装修工程</t>
        </is>
      </c>
      <c r="H280" s="68" t="inlineStr">
        <is>
          <t>外立面装修</t>
        </is>
      </c>
      <c r="I280" s="69" t="inlineStr">
        <is>
          <t>1000040119</t>
        </is>
      </c>
      <c r="J280" s="69" t="inlineStr">
        <is>
          <t>镜面铝塑板（标榜）</t>
        </is>
      </c>
      <c r="K280" s="70" t="n"/>
      <c r="L280" s="70" t="n"/>
      <c r="M280" s="71" t="inlineStr">
        <is>
          <t>m2</t>
        </is>
      </c>
      <c r="N280" s="72" t="n">
        <v>608.1</v>
      </c>
      <c r="O280" s="72">
        <f>ROUND(N280*(1+$F$10),2)</f>
        <v/>
      </c>
      <c r="P280" s="73">
        <f>ROUND(K280*N280,2)</f>
        <v/>
      </c>
      <c r="Q280" s="74">
        <f>ROUND(L280*N280,2)</f>
        <v/>
      </c>
      <c r="R280" s="75" t="n"/>
      <c r="S280" s="76" t="n"/>
      <c r="T280" s="77">
        <f>K280-L280</f>
        <v/>
      </c>
      <c r="U280" s="77">
        <f>P280-Q280</f>
        <v/>
      </c>
      <c r="V280" s="77">
        <f>ABS(U280)</f>
        <v/>
      </c>
      <c r="W280" s="78">
        <f>T280/L280</f>
        <v/>
      </c>
      <c r="X280" s="79">
        <f>ABS(W280)</f>
        <v/>
      </c>
      <c r="AG280" s="6" t="inlineStr">
        <is>
          <t>天花+基本墙</t>
        </is>
      </c>
    </row>
    <row r="281" ht="11.4" customHeight="1">
      <c r="A281" s="67" t="inlineStr">
        <is>
          <t>59</t>
        </is>
      </c>
      <c r="B281" s="67" t="inlineStr">
        <is>
          <t>1057</t>
        </is>
      </c>
      <c r="C281" s="67" t="inlineStr">
        <is>
          <t>1611</t>
        </is>
      </c>
      <c r="D281" s="68" t="inlineStr">
        <is>
          <t>01</t>
        </is>
      </c>
      <c r="E281" s="68" t="inlineStr">
        <is>
          <t>6 物业施工费</t>
        </is>
      </c>
      <c r="F281" s="68" t="inlineStr">
        <is>
          <t>6.1 总承包工程</t>
        </is>
      </c>
      <c r="G281" s="68" t="inlineStr">
        <is>
          <t>6.1.1 内部装修工程</t>
        </is>
      </c>
      <c r="H281" s="68" t="inlineStr">
        <is>
          <t>外立面装修</t>
        </is>
      </c>
      <c r="I281" s="69" t="inlineStr">
        <is>
          <t>1000021786</t>
        </is>
      </c>
      <c r="J281" s="69" t="inlineStr">
        <is>
          <t>外立面纯铝板</t>
        </is>
      </c>
      <c r="K281" s="70" t="n"/>
      <c r="L281" s="70" t="n"/>
      <c r="M281" s="71" t="inlineStr">
        <is>
          <t>m2</t>
        </is>
      </c>
      <c r="N281" s="72" t="n">
        <v>727.77</v>
      </c>
      <c r="O281" s="72">
        <f>ROUND(N281*(1+$F$10),2)</f>
        <v/>
      </c>
      <c r="P281" s="73">
        <f>ROUND(K281*N281,2)</f>
        <v/>
      </c>
      <c r="Q281" s="74">
        <f>ROUND(L281*N281,2)</f>
        <v/>
      </c>
      <c r="R281" s="75" t="n"/>
      <c r="S281" s="76" t="n"/>
      <c r="T281" s="77">
        <f>K281-L281</f>
        <v/>
      </c>
      <c r="U281" s="77">
        <f>P281-Q281</f>
        <v/>
      </c>
      <c r="V281" s="77">
        <f>ABS(U281)</f>
        <v/>
      </c>
      <c r="W281" s="78">
        <f>T281/L281</f>
        <v/>
      </c>
      <c r="X281" s="79">
        <f>ABS(W281)</f>
        <v/>
      </c>
      <c r="AG281" s="6" t="inlineStr">
        <is>
          <t>天花+基本墙</t>
        </is>
      </c>
    </row>
    <row r="282" ht="11.4" customHeight="1">
      <c r="A282" s="67" t="inlineStr">
        <is>
          <t>59</t>
        </is>
      </c>
      <c r="B282" s="67" t="inlineStr">
        <is>
          <t>1057</t>
        </is>
      </c>
      <c r="C282" s="67" t="inlineStr">
        <is>
          <t>1611</t>
        </is>
      </c>
      <c r="D282" s="68" t="inlineStr">
        <is>
          <t>01</t>
        </is>
      </c>
      <c r="E282" s="68" t="inlineStr">
        <is>
          <t>6 物业施工费</t>
        </is>
      </c>
      <c r="F282" s="68" t="inlineStr">
        <is>
          <t>6.1 总承包工程</t>
        </is>
      </c>
      <c r="G282" s="68" t="inlineStr">
        <is>
          <t>6.1.1 内部装修工程</t>
        </is>
      </c>
      <c r="H282" s="68" t="inlineStr">
        <is>
          <t>外立面装修</t>
        </is>
      </c>
      <c r="I282" s="69" t="inlineStr">
        <is>
          <t>1000021793</t>
        </is>
      </c>
      <c r="J282" s="69" t="inlineStr">
        <is>
          <t>外立面宣传画基层</t>
        </is>
      </c>
      <c r="K282" s="70" t="n"/>
      <c r="L282" s="70" t="n"/>
      <c r="M282" s="71" t="inlineStr">
        <is>
          <t>m2</t>
        </is>
      </c>
      <c r="N282" s="72" t="n">
        <v>234.97</v>
      </c>
      <c r="O282" s="72">
        <f>ROUND(N282*(1+$F$10),2)</f>
        <v/>
      </c>
      <c r="P282" s="73">
        <f>ROUND(K282*N282,2)</f>
        <v/>
      </c>
      <c r="Q282" s="74">
        <f>ROUND(L282*N282,2)</f>
        <v/>
      </c>
      <c r="R282" s="75" t="n"/>
      <c r="S282" s="76" t="n"/>
      <c r="T282" s="77">
        <f>K282-L282</f>
        <v/>
      </c>
      <c r="U282" s="77">
        <f>P282-Q282</f>
        <v/>
      </c>
      <c r="V282" s="77">
        <f>ABS(U282)</f>
        <v/>
      </c>
      <c r="W282" s="78">
        <f>T282/L282</f>
        <v/>
      </c>
      <c r="X282" s="79">
        <f>ABS(W282)</f>
        <v/>
      </c>
      <c r="AG282" s="6" t="inlineStr">
        <is>
          <t>基本墙面积</t>
        </is>
      </c>
    </row>
    <row r="283" ht="11.4" customHeight="1">
      <c r="A283" s="67" t="inlineStr">
        <is>
          <t>59</t>
        </is>
      </c>
      <c r="B283" s="67" t="inlineStr">
        <is>
          <t>1057</t>
        </is>
      </c>
      <c r="C283" s="67" t="inlineStr">
        <is>
          <t>1611</t>
        </is>
      </c>
      <c r="D283" s="68" t="inlineStr">
        <is>
          <t>01</t>
        </is>
      </c>
      <c r="E283" s="68" t="inlineStr">
        <is>
          <t>6 物业施工费</t>
        </is>
      </c>
      <c r="F283" s="68" t="inlineStr">
        <is>
          <t>6.1 总承包工程</t>
        </is>
      </c>
      <c r="G283" s="68" t="inlineStr">
        <is>
          <t>6.1.1 内部装修工程</t>
        </is>
      </c>
      <c r="H283" s="68" t="inlineStr">
        <is>
          <t>外立面装修</t>
        </is>
      </c>
      <c r="I283" s="69" t="inlineStr">
        <is>
          <t>1000021459</t>
        </is>
      </c>
      <c r="J283" s="69" t="inlineStr">
        <is>
          <t>门头内充保温棉（适用北区外立面）</t>
        </is>
      </c>
      <c r="K283" s="70" t="n"/>
      <c r="L283" s="70" t="n"/>
      <c r="M283" s="71" t="inlineStr">
        <is>
          <t>m2</t>
        </is>
      </c>
      <c r="N283" s="72" t="n">
        <v>60.18</v>
      </c>
      <c r="O283" s="72">
        <f>ROUND(N283*(1+$F$10),2)</f>
        <v/>
      </c>
      <c r="P283" s="73">
        <f>ROUND(K283*N283,2)</f>
        <v/>
      </c>
      <c r="Q283" s="74">
        <f>ROUND(L283*N283,2)</f>
        <v/>
      </c>
      <c r="R283" s="75" t="n"/>
      <c r="S283" s="76" t="n"/>
      <c r="T283" s="77">
        <f>K283-L283</f>
        <v/>
      </c>
      <c r="U283" s="77">
        <f>P283-Q283</f>
        <v/>
      </c>
      <c r="V283" s="77">
        <f>ABS(U283)</f>
        <v/>
      </c>
      <c r="W283" s="78">
        <f>T283/L283</f>
        <v/>
      </c>
      <c r="X283" s="79">
        <f>ABS(W283)</f>
        <v/>
      </c>
      <c r="AH283" s="80" t="inlineStr">
        <is>
          <t>调整</t>
        </is>
      </c>
    </row>
    <row r="284" ht="11.4" customHeight="1">
      <c r="A284" s="67" t="inlineStr">
        <is>
          <t>59</t>
        </is>
      </c>
      <c r="B284" s="67" t="inlineStr">
        <is>
          <t>1057</t>
        </is>
      </c>
      <c r="C284" s="67" t="inlineStr">
        <is>
          <t>1611</t>
        </is>
      </c>
      <c r="D284" s="68" t="inlineStr">
        <is>
          <t>01</t>
        </is>
      </c>
      <c r="E284" s="68" t="inlineStr">
        <is>
          <t>6 物业施工费</t>
        </is>
      </c>
      <c r="F284" s="68" t="inlineStr">
        <is>
          <t>6.1 总承包工程</t>
        </is>
      </c>
      <c r="G284" s="68" t="inlineStr">
        <is>
          <t>6.1.1 内部装修工程</t>
        </is>
      </c>
      <c r="H284" s="68" t="inlineStr">
        <is>
          <t>外立面装修</t>
        </is>
      </c>
      <c r="I284" s="69" t="inlineStr">
        <is>
          <t>1000021794</t>
        </is>
      </c>
      <c r="J284" s="69" t="inlineStr">
        <is>
          <t>外墙脚手架及吊篮（高于5米，低于9米）-按m2计</t>
        </is>
      </c>
      <c r="K284" s="70" t="n"/>
      <c r="L284" s="70" t="n"/>
      <c r="M284" s="71" t="inlineStr">
        <is>
          <t>m2</t>
        </is>
      </c>
      <c r="N284" s="72" t="n">
        <v>38</v>
      </c>
      <c r="O284" s="72">
        <f>ROUND(N284*(1+$F$10),2)</f>
        <v/>
      </c>
      <c r="P284" s="73">
        <f>ROUND(K284*N284,2)</f>
        <v/>
      </c>
      <c r="Q284" s="74">
        <f>ROUND(L284*N284,2)</f>
        <v/>
      </c>
      <c r="R284" s="75" t="n"/>
      <c r="S284" s="76" t="n"/>
      <c r="T284" s="77">
        <f>K284-L284</f>
        <v/>
      </c>
      <c r="U284" s="77">
        <f>P284-Q284</f>
        <v/>
      </c>
      <c r="V284" s="77">
        <f>ABS(U284)</f>
        <v/>
      </c>
      <c r="W284" s="78">
        <f>T284/L284</f>
        <v/>
      </c>
      <c r="X284" s="79">
        <f>ABS(W284)</f>
        <v/>
      </c>
      <c r="AG284" s="6" t="inlineStr">
        <is>
          <t>基本墙面积</t>
        </is>
      </c>
    </row>
    <row r="285" ht="11.4" customHeight="1">
      <c r="A285" s="67" t="inlineStr">
        <is>
          <t>59</t>
        </is>
      </c>
      <c r="B285" s="67" t="inlineStr">
        <is>
          <t>1057</t>
        </is>
      </c>
      <c r="C285" s="67" t="inlineStr">
        <is>
          <t>1611</t>
        </is>
      </c>
      <c r="D285" s="68" t="inlineStr">
        <is>
          <t>01</t>
        </is>
      </c>
      <c r="E285" s="68" t="inlineStr">
        <is>
          <t>6 物业施工费</t>
        </is>
      </c>
      <c r="F285" s="68" t="inlineStr">
        <is>
          <t>6.1 总承包工程</t>
        </is>
      </c>
      <c r="G285" s="68" t="inlineStr">
        <is>
          <t>6.1.1 内部装修工程</t>
        </is>
      </c>
      <c r="H285" s="68" t="inlineStr">
        <is>
          <t>外立面装修</t>
        </is>
      </c>
      <c r="I285" s="69" t="inlineStr">
        <is>
          <t>1000021795</t>
        </is>
      </c>
      <c r="J285" s="69" t="inlineStr">
        <is>
          <t>外墙脚手架及吊篮（高于9米）-按m2计</t>
        </is>
      </c>
      <c r="K285" s="70" t="n"/>
      <c r="L285" s="70" t="n"/>
      <c r="M285" s="71" t="inlineStr">
        <is>
          <t>m2</t>
        </is>
      </c>
      <c r="N285" s="72" t="n">
        <v>38</v>
      </c>
      <c r="O285" s="72">
        <f>ROUND(N285*(1+$F$10),2)</f>
        <v/>
      </c>
      <c r="P285" s="73">
        <f>ROUND(K285*N285,2)</f>
        <v/>
      </c>
      <c r="Q285" s="74">
        <f>ROUND(L285*N285,2)</f>
        <v/>
      </c>
      <c r="R285" s="75" t="n"/>
      <c r="S285" s="76" t="n"/>
      <c r="T285" s="77">
        <f>K285-L285</f>
        <v/>
      </c>
      <c r="U285" s="77">
        <f>P285-Q285</f>
        <v/>
      </c>
      <c r="V285" s="77">
        <f>ABS(U285)</f>
        <v/>
      </c>
      <c r="W285" s="78">
        <f>T285/L285</f>
        <v/>
      </c>
      <c r="X285" s="79">
        <f>ABS(W285)</f>
        <v/>
      </c>
      <c r="AG285" s="6" t="inlineStr">
        <is>
          <t>基本墙面积</t>
        </is>
      </c>
    </row>
    <row r="286" ht="11.4" customHeight="1">
      <c r="A286" s="67" t="inlineStr">
        <is>
          <t>59</t>
        </is>
      </c>
      <c r="B286" s="67" t="inlineStr">
        <is>
          <t>1057</t>
        </is>
      </c>
      <c r="C286" s="67" t="inlineStr">
        <is>
          <t>1611</t>
        </is>
      </c>
      <c r="D286" s="68" t="inlineStr">
        <is>
          <t>01</t>
        </is>
      </c>
      <c r="E286" s="68" t="inlineStr">
        <is>
          <t>6 物业施工费</t>
        </is>
      </c>
      <c r="F286" s="68" t="inlineStr">
        <is>
          <t>6.1 总承包工程</t>
        </is>
      </c>
      <c r="G286" s="68" t="inlineStr">
        <is>
          <t>6.1.1 内部装修工程</t>
        </is>
      </c>
      <c r="H286" s="68" t="inlineStr">
        <is>
          <t>外立面装修</t>
        </is>
      </c>
      <c r="I286" s="69" t="inlineStr">
        <is>
          <t>1000021630</t>
        </is>
      </c>
      <c r="J286" s="69" t="inlineStr">
        <is>
          <t>外立面墙面砖（琛雄）</t>
        </is>
      </c>
      <c r="K286" s="70" t="n"/>
      <c r="L286" s="70" t="n"/>
      <c r="M286" s="71" t="inlineStr">
        <is>
          <t>m2</t>
        </is>
      </c>
      <c r="N286" s="72" t="n">
        <v>167.98</v>
      </c>
      <c r="O286" s="72">
        <f>ROUND(N286*(1+$F$10),2)</f>
        <v/>
      </c>
      <c r="P286" s="73">
        <f>ROUND(K286*N286,2)</f>
        <v/>
      </c>
      <c r="Q286" s="74">
        <f>ROUND(L286*N286,2)</f>
        <v/>
      </c>
      <c r="R286" s="75" t="n"/>
      <c r="S286" s="76" t="n"/>
      <c r="T286" s="77">
        <f>K286-L286</f>
        <v/>
      </c>
      <c r="U286" s="77">
        <f>P286-Q286</f>
        <v/>
      </c>
      <c r="V286" s="77">
        <f>ABS(U286)</f>
        <v/>
      </c>
      <c r="W286" s="78">
        <f>T286/L286</f>
        <v/>
      </c>
      <c r="X286" s="79">
        <f>ABS(W286)</f>
        <v/>
      </c>
      <c r="AG286" s="6" t="inlineStr">
        <is>
          <t>基本墙面积</t>
        </is>
      </c>
    </row>
    <row r="287" ht="11.4" customHeight="1">
      <c r="A287" s="67" t="inlineStr">
        <is>
          <t>59</t>
        </is>
      </c>
      <c r="B287" s="67" t="inlineStr">
        <is>
          <t>1057</t>
        </is>
      </c>
      <c r="C287" s="67" t="inlineStr">
        <is>
          <t>1611</t>
        </is>
      </c>
      <c r="D287" s="68" t="inlineStr">
        <is>
          <t>01</t>
        </is>
      </c>
      <c r="E287" s="68" t="inlineStr">
        <is>
          <t>6 物业施工费</t>
        </is>
      </c>
      <c r="F287" s="68" t="inlineStr">
        <is>
          <t>6.1 总承包工程</t>
        </is>
      </c>
      <c r="G287" s="68" t="inlineStr">
        <is>
          <t>6.1.1 内部装修工程</t>
        </is>
      </c>
      <c r="H287" s="68" t="inlineStr">
        <is>
          <t>外立面装修</t>
        </is>
      </c>
      <c r="I287" s="69" t="inlineStr">
        <is>
          <t>1000021646</t>
        </is>
      </c>
      <c r="J287" s="69" t="inlineStr">
        <is>
          <t>外立面墙面砖（共荣）</t>
        </is>
      </c>
      <c r="K287" s="70" t="n"/>
      <c r="L287" s="70" t="n"/>
      <c r="M287" s="71" t="inlineStr">
        <is>
          <t>m2</t>
        </is>
      </c>
      <c r="N287" s="72" t="n">
        <v>147.41</v>
      </c>
      <c r="O287" s="72">
        <f>ROUND(N287*(1+$F$10),2)</f>
        <v/>
      </c>
      <c r="P287" s="73">
        <f>ROUND(K287*N287,2)</f>
        <v/>
      </c>
      <c r="Q287" s="74">
        <f>ROUND(L287*N287,2)</f>
        <v/>
      </c>
      <c r="R287" s="75" t="n"/>
      <c r="S287" s="76" t="n"/>
      <c r="T287" s="77">
        <f>K287-L287</f>
        <v/>
      </c>
      <c r="U287" s="77">
        <f>P287-Q287</f>
        <v/>
      </c>
      <c r="V287" s="77">
        <f>ABS(U287)</f>
        <v/>
      </c>
      <c r="W287" s="78">
        <f>T287/L287</f>
        <v/>
      </c>
      <c r="X287" s="79">
        <f>ABS(W287)</f>
        <v/>
      </c>
      <c r="AG287" s="6" t="inlineStr">
        <is>
          <t>基本墙面积</t>
        </is>
      </c>
    </row>
    <row r="288" ht="11.4" customHeight="1">
      <c r="A288" s="67" t="inlineStr">
        <is>
          <t>59</t>
        </is>
      </c>
      <c r="B288" s="67" t="inlineStr">
        <is>
          <t>1057</t>
        </is>
      </c>
      <c r="C288" s="67" t="inlineStr">
        <is>
          <t>1611</t>
        </is>
      </c>
      <c r="D288" s="68" t="inlineStr">
        <is>
          <t>01</t>
        </is>
      </c>
      <c r="E288" s="68" t="inlineStr">
        <is>
          <t>6 物业施工费</t>
        </is>
      </c>
      <c r="F288" s="68" t="inlineStr">
        <is>
          <t>6.1 总承包工程</t>
        </is>
      </c>
      <c r="G288" s="68" t="inlineStr">
        <is>
          <t>6.1.1 内部装修工程</t>
        </is>
      </c>
      <c r="H288" s="68" t="inlineStr">
        <is>
          <t>外立面装修</t>
        </is>
      </c>
      <c r="I288" s="69" t="inlineStr">
        <is>
          <t>1000021631</t>
        </is>
      </c>
      <c r="J288" s="69" t="inlineStr">
        <is>
          <t>外立面墙面砖（冠军）</t>
        </is>
      </c>
      <c r="K288" s="70" t="n"/>
      <c r="L288" s="70" t="n"/>
      <c r="M288" s="71" t="inlineStr">
        <is>
          <t>m2</t>
        </is>
      </c>
      <c r="N288" s="72" t="n">
        <v>169.19</v>
      </c>
      <c r="O288" s="72">
        <f>ROUND(N288*(1+$F$10),2)</f>
        <v/>
      </c>
      <c r="P288" s="73">
        <f>ROUND(K288*N288,2)</f>
        <v/>
      </c>
      <c r="Q288" s="74">
        <f>ROUND(L288*N288,2)</f>
        <v/>
      </c>
      <c r="R288" s="75" t="n"/>
      <c r="S288" s="76" t="n"/>
      <c r="T288" s="77">
        <f>K288-L288</f>
        <v/>
      </c>
      <c r="U288" s="77">
        <f>P288-Q288</f>
        <v/>
      </c>
      <c r="V288" s="77">
        <f>ABS(U288)</f>
        <v/>
      </c>
      <c r="W288" s="78">
        <f>T288/L288</f>
        <v/>
      </c>
      <c r="X288" s="79">
        <f>ABS(W288)</f>
        <v/>
      </c>
      <c r="AG288" s="6" t="inlineStr">
        <is>
          <t>基本墙面积</t>
        </is>
      </c>
    </row>
    <row r="289" ht="11.4" customHeight="1">
      <c r="A289" s="67" t="inlineStr">
        <is>
          <t>59</t>
        </is>
      </c>
      <c r="B289" s="67" t="inlineStr">
        <is>
          <t>1057</t>
        </is>
      </c>
      <c r="C289" s="67" t="inlineStr">
        <is>
          <t>1611</t>
        </is>
      </c>
      <c r="D289" s="68" t="inlineStr">
        <is>
          <t>01</t>
        </is>
      </c>
      <c r="E289" s="68" t="inlineStr">
        <is>
          <t>6 物业施工费</t>
        </is>
      </c>
      <c r="F289" s="68" t="inlineStr">
        <is>
          <t>6.1 总承包工程</t>
        </is>
      </c>
      <c r="G289" s="68" t="inlineStr">
        <is>
          <t>6.1.1 内部装修工程</t>
        </is>
      </c>
      <c r="H289" s="68" t="inlineStr">
        <is>
          <t>外立面装修</t>
        </is>
      </c>
      <c r="I289" s="69" t="inlineStr">
        <is>
          <t>1000021479</t>
        </is>
      </c>
      <c r="J289" s="69" t="inlineStr">
        <is>
          <t>小青砖（琛雄）</t>
        </is>
      </c>
      <c r="K289" s="70" t="n"/>
      <c r="L289" s="70" t="n"/>
      <c r="M289" s="71" t="inlineStr">
        <is>
          <t>m2</t>
        </is>
      </c>
      <c r="N289" s="72" t="n">
        <v>206.06</v>
      </c>
      <c r="O289" s="72">
        <f>ROUND(N289*(1+$F$10),2)</f>
        <v/>
      </c>
      <c r="P289" s="73">
        <f>ROUND(K289*N289,2)</f>
        <v/>
      </c>
      <c r="Q289" s="74">
        <f>ROUND(L289*N289,2)</f>
        <v/>
      </c>
      <c r="R289" s="75" t="n"/>
      <c r="S289" s="76" t="n"/>
      <c r="T289" s="77">
        <f>K289-L289</f>
        <v/>
      </c>
      <c r="U289" s="77">
        <f>P289-Q289</f>
        <v/>
      </c>
      <c r="V289" s="77">
        <f>ABS(U289)</f>
        <v/>
      </c>
      <c r="W289" s="78">
        <f>T289/L289</f>
        <v/>
      </c>
      <c r="X289" s="79">
        <f>ABS(W289)</f>
        <v/>
      </c>
      <c r="AG289" s="6" t="inlineStr">
        <is>
          <t>基本墙面积</t>
        </is>
      </c>
    </row>
    <row r="290" ht="11.4" customHeight="1">
      <c r="A290" s="67" t="inlineStr">
        <is>
          <t>59</t>
        </is>
      </c>
      <c r="B290" s="67" t="inlineStr">
        <is>
          <t>1057</t>
        </is>
      </c>
      <c r="C290" s="67" t="inlineStr">
        <is>
          <t>1611</t>
        </is>
      </c>
      <c r="D290" s="68" t="inlineStr">
        <is>
          <t>01</t>
        </is>
      </c>
      <c r="E290" s="68" t="inlineStr">
        <is>
          <t>6 物业施工费</t>
        </is>
      </c>
      <c r="F290" s="68" t="inlineStr">
        <is>
          <t>6.1 总承包工程</t>
        </is>
      </c>
      <c r="G290" s="68" t="inlineStr">
        <is>
          <t>6.1.1 内部装修工程</t>
        </is>
      </c>
      <c r="H290" s="68" t="inlineStr">
        <is>
          <t>外立面装修</t>
        </is>
      </c>
      <c r="I290" s="69" t="inlineStr">
        <is>
          <t>1000021480</t>
        </is>
      </c>
      <c r="J290" s="69" t="inlineStr">
        <is>
          <t>小青砖（共荣）</t>
        </is>
      </c>
      <c r="K290" s="70" t="n"/>
      <c r="L290" s="70" t="n"/>
      <c r="M290" s="71" t="inlineStr">
        <is>
          <t>m2</t>
        </is>
      </c>
      <c r="N290" s="72" t="n">
        <v>193.96</v>
      </c>
      <c r="O290" s="72">
        <f>ROUND(N290*(1+$F$10),2)</f>
        <v/>
      </c>
      <c r="P290" s="73">
        <f>ROUND(K290*N290,2)</f>
        <v/>
      </c>
      <c r="Q290" s="74">
        <f>ROUND(L290*N290,2)</f>
        <v/>
      </c>
      <c r="R290" s="75" t="n"/>
      <c r="S290" s="76" t="n"/>
      <c r="T290" s="77">
        <f>K290-L290</f>
        <v/>
      </c>
      <c r="U290" s="77">
        <f>P290-Q290</f>
        <v/>
      </c>
      <c r="V290" s="77">
        <f>ABS(U290)</f>
        <v/>
      </c>
      <c r="W290" s="78">
        <f>T290/L290</f>
        <v/>
      </c>
      <c r="X290" s="79">
        <f>ABS(W290)</f>
        <v/>
      </c>
      <c r="AG290" s="6" t="inlineStr">
        <is>
          <t>基本墙面积</t>
        </is>
      </c>
    </row>
    <row r="291" ht="11.4" customHeight="1">
      <c r="A291" s="67" t="inlineStr">
        <is>
          <t>59</t>
        </is>
      </c>
      <c r="B291" s="67" t="inlineStr">
        <is>
          <t>1057</t>
        </is>
      </c>
      <c r="C291" s="67" t="inlineStr">
        <is>
          <t>1611</t>
        </is>
      </c>
      <c r="D291" s="68" t="inlineStr">
        <is>
          <t>01</t>
        </is>
      </c>
      <c r="E291" s="68" t="inlineStr">
        <is>
          <t>6 物业施工费</t>
        </is>
      </c>
      <c r="F291" s="68" t="inlineStr">
        <is>
          <t>6.1 总承包工程</t>
        </is>
      </c>
      <c r="G291" s="68" t="inlineStr">
        <is>
          <t>6.1.1 内部装修工程</t>
        </is>
      </c>
      <c r="H291" s="68" t="inlineStr">
        <is>
          <t>外立面装修</t>
        </is>
      </c>
      <c r="I291" s="69" t="inlineStr">
        <is>
          <t>1000021697</t>
        </is>
      </c>
      <c r="J291" s="69" t="inlineStr">
        <is>
          <t>小青砖（冠军）</t>
        </is>
      </c>
      <c r="K291" s="70" t="n"/>
      <c r="L291" s="70" t="n"/>
      <c r="M291" s="71" t="inlineStr">
        <is>
          <t>m2</t>
        </is>
      </c>
      <c r="N291" s="72" t="n">
        <v>215.74</v>
      </c>
      <c r="O291" s="72">
        <f>ROUND(N291*(1+$F$10),2)</f>
        <v/>
      </c>
      <c r="P291" s="73">
        <f>ROUND(K291*N291,2)</f>
        <v/>
      </c>
      <c r="Q291" s="74">
        <f>ROUND(L291*N291,2)</f>
        <v/>
      </c>
      <c r="R291" s="75" t="n"/>
      <c r="S291" s="76" t="n"/>
      <c r="T291" s="77">
        <f>K291-L291</f>
        <v/>
      </c>
      <c r="U291" s="77">
        <f>P291-Q291</f>
        <v/>
      </c>
      <c r="V291" s="77">
        <f>ABS(U291)</f>
        <v/>
      </c>
      <c r="W291" s="78">
        <f>T291/L291</f>
        <v/>
      </c>
      <c r="X291" s="79">
        <f>ABS(W291)</f>
        <v/>
      </c>
      <c r="AG291" s="6" t="inlineStr">
        <is>
          <t>基本墙面积</t>
        </is>
      </c>
    </row>
    <row r="292" ht="11.4" customHeight="1">
      <c r="A292" s="67" t="inlineStr">
        <is>
          <t>59</t>
        </is>
      </c>
      <c r="B292" s="67" t="inlineStr">
        <is>
          <t>1057</t>
        </is>
      </c>
      <c r="C292" s="67" t="inlineStr">
        <is>
          <t>1611</t>
        </is>
      </c>
      <c r="D292" s="68" t="inlineStr">
        <is>
          <t>01</t>
        </is>
      </c>
      <c r="E292" s="68" t="inlineStr">
        <is>
          <t>6 物业施工费</t>
        </is>
      </c>
      <c r="F292" s="68" t="inlineStr">
        <is>
          <t>6.1 总承包工程</t>
        </is>
      </c>
      <c r="G292" s="68" t="inlineStr">
        <is>
          <t>6.1.1 内部装修工程</t>
        </is>
      </c>
      <c r="H292" s="68" t="inlineStr">
        <is>
          <t>厨房墙面（不含员休室）</t>
        </is>
      </c>
      <c r="I292" s="69" t="inlineStr">
        <is>
          <t>1000021636</t>
        </is>
      </c>
      <c r="J292" s="69" t="inlineStr">
        <is>
          <t>150*75mm二三窗墙面砖（琛雄）</t>
        </is>
      </c>
      <c r="K292" s="70" t="n"/>
      <c r="L292" s="70" t="n"/>
      <c r="M292" s="71" t="inlineStr">
        <is>
          <t>m2</t>
        </is>
      </c>
      <c r="N292" s="72" t="n">
        <v>209.13</v>
      </c>
      <c r="O292" s="72">
        <f>ROUND(N292*(1+$F$10),2)</f>
        <v/>
      </c>
      <c r="P292" s="73">
        <f>ROUND(K292*N292,2)</f>
        <v/>
      </c>
      <c r="Q292" s="74">
        <f>ROUND(L292*N292,2)</f>
        <v/>
      </c>
      <c r="R292" s="75" t="n"/>
      <c r="S292" s="76" t="n"/>
      <c r="T292" s="77">
        <f>K292-L292</f>
        <v/>
      </c>
      <c r="U292" s="77">
        <f>P292-Q292</f>
        <v/>
      </c>
      <c r="V292" s="77">
        <f>ABS(U292)</f>
        <v/>
      </c>
      <c r="W292" s="78">
        <f>T292/L292</f>
        <v/>
      </c>
      <c r="X292" s="79">
        <f>ABS(W292)</f>
        <v/>
      </c>
      <c r="AG292" s="6" t="inlineStr">
        <is>
          <t>基本墙面积</t>
        </is>
      </c>
    </row>
    <row r="293" ht="11.4" customHeight="1">
      <c r="A293" s="67" t="inlineStr">
        <is>
          <t>59</t>
        </is>
      </c>
      <c r="B293" s="67" t="inlineStr">
        <is>
          <t>1057</t>
        </is>
      </c>
      <c r="C293" s="67" t="inlineStr">
        <is>
          <t>1611</t>
        </is>
      </c>
      <c r="D293" s="68" t="inlineStr">
        <is>
          <t>01</t>
        </is>
      </c>
      <c r="E293" s="68" t="inlineStr">
        <is>
          <t>6 物业施工费</t>
        </is>
      </c>
      <c r="F293" s="68" t="inlineStr">
        <is>
          <t>6.1 总承包工程</t>
        </is>
      </c>
      <c r="G293" s="68" t="inlineStr">
        <is>
          <t>6.1.1 内部装修工程</t>
        </is>
      </c>
      <c r="H293" s="68" t="inlineStr">
        <is>
          <t>厨房墙面（不含员休室）</t>
        </is>
      </c>
      <c r="I293" s="69" t="inlineStr">
        <is>
          <t>1000021647</t>
        </is>
      </c>
      <c r="J293" s="69" t="inlineStr">
        <is>
          <t>150*75mm二三窗墙面砖（共荣）</t>
        </is>
      </c>
      <c r="K293" s="70" t="n"/>
      <c r="L293" s="70" t="n"/>
      <c r="M293" s="71" t="inlineStr">
        <is>
          <t>m2</t>
        </is>
      </c>
      <c r="N293" s="72" t="n">
        <v>203.08</v>
      </c>
      <c r="O293" s="72">
        <f>ROUND(N293*(1+$F$10),2)</f>
        <v/>
      </c>
      <c r="P293" s="73">
        <f>ROUND(K293*N293,2)</f>
        <v/>
      </c>
      <c r="Q293" s="74">
        <f>ROUND(L293*N293,2)</f>
        <v/>
      </c>
      <c r="R293" s="75" t="n"/>
      <c r="S293" s="76" t="n"/>
      <c r="T293" s="77">
        <f>K293-L293</f>
        <v/>
      </c>
      <c r="U293" s="77">
        <f>P293-Q293</f>
        <v/>
      </c>
      <c r="V293" s="77">
        <f>ABS(U293)</f>
        <v/>
      </c>
      <c r="W293" s="78">
        <f>T293/L293</f>
        <v/>
      </c>
      <c r="X293" s="79">
        <f>ABS(W293)</f>
        <v/>
      </c>
      <c r="AG293" s="6" t="inlineStr">
        <is>
          <t>基本墙面积</t>
        </is>
      </c>
    </row>
    <row r="294" ht="11.4" customHeight="1">
      <c r="A294" s="67" t="inlineStr">
        <is>
          <t>59</t>
        </is>
      </c>
      <c r="B294" s="67" t="inlineStr">
        <is>
          <t>1057</t>
        </is>
      </c>
      <c r="C294" s="67" t="inlineStr">
        <is>
          <t>1611</t>
        </is>
      </c>
      <c r="D294" s="68" t="inlineStr">
        <is>
          <t>01</t>
        </is>
      </c>
      <c r="E294" s="68" t="inlineStr">
        <is>
          <t>6 物业施工费</t>
        </is>
      </c>
      <c r="F294" s="68" t="inlineStr">
        <is>
          <t>6.1 总承包工程</t>
        </is>
      </c>
      <c r="G294" s="68" t="inlineStr">
        <is>
          <t>6.1.1 内部装修工程</t>
        </is>
      </c>
      <c r="H294" s="68" t="inlineStr">
        <is>
          <t>厨房墙面（不含员休室）</t>
        </is>
      </c>
      <c r="I294" s="69" t="inlineStr">
        <is>
          <t>1000021495</t>
        </is>
      </c>
      <c r="J294" s="69" t="inlineStr">
        <is>
          <t>150*75mm二三窗墙面砖（冠军）</t>
        </is>
      </c>
      <c r="K294" s="70" t="n"/>
      <c r="L294" s="70" t="n"/>
      <c r="M294" s="71" t="inlineStr">
        <is>
          <t>m2</t>
        </is>
      </c>
      <c r="N294" s="72" t="n">
        <v>209.13</v>
      </c>
      <c r="O294" s="72">
        <f>ROUND(N294*(1+$F$10),2)</f>
        <v/>
      </c>
      <c r="P294" s="73">
        <f>ROUND(K294*N294,2)</f>
        <v/>
      </c>
      <c r="Q294" s="74">
        <f>ROUND(L294*N294,2)</f>
        <v/>
      </c>
      <c r="R294" s="75" t="n"/>
      <c r="S294" s="76" t="n"/>
      <c r="T294" s="77">
        <f>K294-L294</f>
        <v/>
      </c>
      <c r="U294" s="77">
        <f>P294-Q294</f>
        <v/>
      </c>
      <c r="V294" s="77">
        <f>ABS(U294)</f>
        <v/>
      </c>
      <c r="W294" s="78">
        <f>T294/L294</f>
        <v/>
      </c>
      <c r="X294" s="79">
        <f>ABS(W294)</f>
        <v/>
      </c>
      <c r="AG294" s="6" t="inlineStr">
        <is>
          <t>基本墙面积</t>
        </is>
      </c>
    </row>
    <row r="295" ht="11.4" customHeight="1">
      <c r="A295" s="67" t="inlineStr">
        <is>
          <t>59</t>
        </is>
      </c>
      <c r="B295" s="67" t="inlineStr">
        <is>
          <t>1057</t>
        </is>
      </c>
      <c r="C295" s="67" t="inlineStr">
        <is>
          <t>1611</t>
        </is>
      </c>
      <c r="D295" s="68" t="inlineStr">
        <is>
          <t>01</t>
        </is>
      </c>
      <c r="E295" s="68" t="inlineStr">
        <is>
          <t>6 物业施工费</t>
        </is>
      </c>
      <c r="F295" s="68" t="inlineStr">
        <is>
          <t>6.1 总承包工程</t>
        </is>
      </c>
      <c r="G295" s="68" t="inlineStr">
        <is>
          <t>6.1.1 内部装修工程</t>
        </is>
      </c>
      <c r="H295" s="68" t="inlineStr">
        <is>
          <t>外立面装修</t>
        </is>
      </c>
      <c r="I295" s="69" t="inlineStr">
        <is>
          <t>1000021496</t>
        </is>
      </c>
      <c r="J295" s="69" t="inlineStr">
        <is>
          <t>仿木外墙装饰条</t>
        </is>
      </c>
      <c r="K295" s="70" t="n"/>
      <c r="L295" s="70" t="n"/>
      <c r="M295" s="71" t="inlineStr">
        <is>
          <t>m2</t>
        </is>
      </c>
      <c r="N295" s="72" t="n">
        <v>660.97</v>
      </c>
      <c r="O295" s="72">
        <f>ROUND(N295*(1+$F$10),2)</f>
        <v/>
      </c>
      <c r="P295" s="73">
        <f>ROUND(K295*N295,2)</f>
        <v/>
      </c>
      <c r="Q295" s="74">
        <f>ROUND(L295*N295,2)</f>
        <v/>
      </c>
      <c r="R295" s="75" t="n"/>
      <c r="S295" s="76" t="n"/>
      <c r="T295" s="77">
        <f>K295-L295</f>
        <v/>
      </c>
      <c r="U295" s="77">
        <f>P295-Q295</f>
        <v/>
      </c>
      <c r="V295" s="77">
        <f>ABS(U295)</f>
        <v/>
      </c>
      <c r="W295" s="78">
        <f>T295/L295</f>
        <v/>
      </c>
      <c r="X295" s="79">
        <f>ABS(W295)</f>
        <v/>
      </c>
      <c r="AG295" s="6" t="inlineStr">
        <is>
          <t>基本墙面积</t>
        </is>
      </c>
    </row>
    <row r="296" ht="11.4" customHeight="1">
      <c r="A296" s="67" t="inlineStr">
        <is>
          <t>59</t>
        </is>
      </c>
      <c r="B296" s="67" t="inlineStr">
        <is>
          <t>1057</t>
        </is>
      </c>
      <c r="C296" s="67" t="inlineStr">
        <is>
          <t>1611</t>
        </is>
      </c>
      <c r="D296" s="68" t="inlineStr">
        <is>
          <t>01</t>
        </is>
      </c>
      <c r="E296" s="68" t="inlineStr">
        <is>
          <t>6 物业施工费</t>
        </is>
      </c>
      <c r="F296" s="68" t="inlineStr">
        <is>
          <t>6.1 总承包工程</t>
        </is>
      </c>
      <c r="G296" s="68" t="inlineStr">
        <is>
          <t>6.1.1 内部装修工程</t>
        </is>
      </c>
      <c r="H296" s="68" t="inlineStr">
        <is>
          <t>外立面装修</t>
        </is>
      </c>
      <c r="I296" s="69" t="inlineStr">
        <is>
          <t>1000021497</t>
        </is>
      </c>
      <c r="J296" s="84" t="inlineStr">
        <is>
          <t>仿木外墙装饰条（非标，按米计）</t>
        </is>
      </c>
      <c r="K296" s="70" t="n"/>
      <c r="L296" s="70" t="n"/>
      <c r="M296" s="71" t="inlineStr">
        <is>
          <t>米</t>
        </is>
      </c>
      <c r="N296" s="72" t="n">
        <v>68.09999999999999</v>
      </c>
      <c r="O296" s="72">
        <f>ROUND(N296*(1+$F$10),2)</f>
        <v/>
      </c>
      <c r="P296" s="73">
        <f>ROUND(K296*N296,2)</f>
        <v/>
      </c>
      <c r="Q296" s="74">
        <f>ROUND(L296*N296,2)</f>
        <v/>
      </c>
      <c r="R296" s="75" t="n"/>
      <c r="S296" s="76" t="n"/>
      <c r="T296" s="77">
        <f>K296-L296</f>
        <v/>
      </c>
      <c r="U296" s="77">
        <f>P296-Q296</f>
        <v/>
      </c>
      <c r="V296" s="77">
        <f>ABS(U296)</f>
        <v/>
      </c>
      <c r="W296" s="78">
        <f>T296/L296</f>
        <v/>
      </c>
      <c r="X296" s="79">
        <f>ABS(W296)</f>
        <v/>
      </c>
    </row>
    <row r="297" ht="11.4" customHeight="1">
      <c r="A297" s="67" t="inlineStr">
        <is>
          <t>59</t>
        </is>
      </c>
      <c r="B297" s="67" t="inlineStr">
        <is>
          <t>1057</t>
        </is>
      </c>
      <c r="C297" s="67" t="inlineStr">
        <is>
          <t>1611</t>
        </is>
      </c>
      <c r="D297" s="68" t="inlineStr">
        <is>
          <t>01</t>
        </is>
      </c>
      <c r="E297" s="68" t="inlineStr">
        <is>
          <t>6 物业施工费</t>
        </is>
      </c>
      <c r="F297" s="68" t="inlineStr">
        <is>
          <t>6.1 总承包工程</t>
        </is>
      </c>
      <c r="G297" s="68" t="inlineStr">
        <is>
          <t>6.1.1 内部装修工程</t>
        </is>
      </c>
      <c r="H297" s="68" t="inlineStr">
        <is>
          <t>外立面装修</t>
        </is>
      </c>
      <c r="I297" s="69" t="inlineStr">
        <is>
          <t>1000021498</t>
        </is>
      </c>
      <c r="J297" s="69" t="inlineStr">
        <is>
          <t>外立面乳胶漆</t>
        </is>
      </c>
      <c r="K297" s="70" t="n"/>
      <c r="L297" s="70" t="n"/>
      <c r="M297" s="71" t="inlineStr">
        <is>
          <t>m2</t>
        </is>
      </c>
      <c r="N297" s="72" t="n">
        <v>135.83</v>
      </c>
      <c r="O297" s="72">
        <f>ROUND(N297*(1+$F$10),2)</f>
        <v/>
      </c>
      <c r="P297" s="73">
        <f>ROUND(K297*N297,2)</f>
        <v/>
      </c>
      <c r="Q297" s="74">
        <f>ROUND(L297*N297,2)</f>
        <v/>
      </c>
      <c r="R297" s="75" t="n"/>
      <c r="S297" s="76" t="n"/>
      <c r="T297" s="77">
        <f>K297-L297</f>
        <v/>
      </c>
      <c r="U297" s="77">
        <f>P297-Q297</f>
        <v/>
      </c>
      <c r="V297" s="77">
        <f>ABS(U297)</f>
        <v/>
      </c>
      <c r="W297" s="78">
        <f>T297/L297</f>
        <v/>
      </c>
      <c r="X297" s="79">
        <f>ABS(W297)</f>
        <v/>
      </c>
      <c r="AG297" s="6" t="inlineStr">
        <is>
          <t>基本墙面积</t>
        </is>
      </c>
    </row>
    <row r="298" ht="11.4" customHeight="1">
      <c r="A298" s="67" t="inlineStr">
        <is>
          <t>59</t>
        </is>
      </c>
      <c r="B298" s="67" t="inlineStr">
        <is>
          <t>1057</t>
        </is>
      </c>
      <c r="C298" s="67" t="inlineStr">
        <is>
          <t>1611</t>
        </is>
      </c>
      <c r="D298" s="68" t="inlineStr">
        <is>
          <t>01</t>
        </is>
      </c>
      <c r="E298" s="68" t="inlineStr">
        <is>
          <t>6 物业施工费</t>
        </is>
      </c>
      <c r="F298" s="68" t="inlineStr">
        <is>
          <t>6.1 总承包工程</t>
        </is>
      </c>
      <c r="G298" s="68" t="inlineStr">
        <is>
          <t>6.1.1 内部装修工程</t>
        </is>
      </c>
      <c r="H298" s="68" t="inlineStr">
        <is>
          <t>外立面装修</t>
        </is>
      </c>
      <c r="I298" s="69" t="inlineStr">
        <is>
          <t>1000021457</t>
        </is>
      </c>
      <c r="J298" s="69" t="inlineStr">
        <is>
          <t>国产同质砖踢脚（琛雄）</t>
        </is>
      </c>
      <c r="K298" s="70" t="n"/>
      <c r="L298" s="70" t="n"/>
      <c r="M298" s="71" t="inlineStr">
        <is>
          <t>米</t>
        </is>
      </c>
      <c r="N298" s="72" t="n">
        <v>41.36</v>
      </c>
      <c r="O298" s="72">
        <f>ROUND(N298*(1+$F$10),2)</f>
        <v/>
      </c>
      <c r="P298" s="73">
        <f>ROUND(K298*N298,2)</f>
        <v/>
      </c>
      <c r="Q298" s="74">
        <f>ROUND(L298*N298,2)</f>
        <v/>
      </c>
      <c r="R298" s="75" t="n"/>
      <c r="S298" s="76" t="n"/>
      <c r="T298" s="77">
        <f>K298-L298</f>
        <v/>
      </c>
      <c r="U298" s="77">
        <f>P298-Q298</f>
        <v/>
      </c>
      <c r="V298" s="77">
        <f>ABS(U298)</f>
        <v/>
      </c>
      <c r="W298" s="78">
        <f>T298/L298</f>
        <v/>
      </c>
      <c r="X298" s="79">
        <f>ABS(W298)</f>
        <v/>
      </c>
      <c r="AG298" s="80" t="inlineStr">
        <is>
          <t>踢脚线长度</t>
        </is>
      </c>
    </row>
    <row r="299" ht="11.4" customHeight="1">
      <c r="A299" s="67" t="inlineStr">
        <is>
          <t>59</t>
        </is>
      </c>
      <c r="B299" s="67" t="inlineStr">
        <is>
          <t>1057</t>
        </is>
      </c>
      <c r="C299" s="67" t="inlineStr">
        <is>
          <t>1611</t>
        </is>
      </c>
      <c r="D299" s="68" t="inlineStr">
        <is>
          <t>01</t>
        </is>
      </c>
      <c r="E299" s="68" t="inlineStr">
        <is>
          <t>6 物业施工费</t>
        </is>
      </c>
      <c r="F299" s="68" t="inlineStr">
        <is>
          <t>6.1 总承包工程</t>
        </is>
      </c>
      <c r="G299" s="68" t="inlineStr">
        <is>
          <t>6.1.1 内部装修工程</t>
        </is>
      </c>
      <c r="H299" s="68" t="inlineStr">
        <is>
          <t>外立面装修</t>
        </is>
      </c>
      <c r="I299" s="69" t="inlineStr">
        <is>
          <t>1000021644</t>
        </is>
      </c>
      <c r="J299" s="69" t="inlineStr">
        <is>
          <t>国产同质砖踢脚（共荣）</t>
        </is>
      </c>
      <c r="K299" s="70" t="n"/>
      <c r="L299" s="70" t="n"/>
      <c r="M299" s="71" t="inlineStr">
        <is>
          <t>米</t>
        </is>
      </c>
      <c r="N299" s="72" t="n">
        <v>38.94</v>
      </c>
      <c r="O299" s="72">
        <f>ROUND(N299*(1+$F$10),2)</f>
        <v/>
      </c>
      <c r="P299" s="73">
        <f>ROUND(K299*N299,2)</f>
        <v/>
      </c>
      <c r="Q299" s="74">
        <f>ROUND(L299*N299,2)</f>
        <v/>
      </c>
      <c r="R299" s="75" t="n"/>
      <c r="S299" s="76" t="n"/>
      <c r="T299" s="77">
        <f>K299-L299</f>
        <v/>
      </c>
      <c r="U299" s="77">
        <f>P299-Q299</f>
        <v/>
      </c>
      <c r="V299" s="77">
        <f>ABS(U299)</f>
        <v/>
      </c>
      <c r="W299" s="78">
        <f>T299/L299</f>
        <v/>
      </c>
      <c r="X299" s="79">
        <f>ABS(W299)</f>
        <v/>
      </c>
      <c r="AG299" s="80" t="inlineStr">
        <is>
          <t>踢脚线长度</t>
        </is>
      </c>
    </row>
    <row r="300" ht="11.4" customHeight="1">
      <c r="A300" s="67" t="inlineStr">
        <is>
          <t>59</t>
        </is>
      </c>
      <c r="B300" s="67" t="inlineStr">
        <is>
          <t>1057</t>
        </is>
      </c>
      <c r="C300" s="67" t="inlineStr">
        <is>
          <t>1611</t>
        </is>
      </c>
      <c r="D300" s="68" t="inlineStr">
        <is>
          <t>01</t>
        </is>
      </c>
      <c r="E300" s="68" t="inlineStr">
        <is>
          <t>6 物业施工费</t>
        </is>
      </c>
      <c r="F300" s="68" t="inlineStr">
        <is>
          <t>6.1 总承包工程</t>
        </is>
      </c>
      <c r="G300" s="68" t="inlineStr">
        <is>
          <t>6.1.1 内部装修工程</t>
        </is>
      </c>
      <c r="H300" s="68" t="inlineStr">
        <is>
          <t>外立面装修</t>
        </is>
      </c>
      <c r="I300" s="69" t="inlineStr">
        <is>
          <t>1000021623</t>
        </is>
      </c>
      <c r="J300" s="69" t="inlineStr">
        <is>
          <t>国产同质砖踢脚（冠军）</t>
        </is>
      </c>
      <c r="K300" s="70" t="n"/>
      <c r="L300" s="70" t="n"/>
      <c r="M300" s="71" t="inlineStr">
        <is>
          <t>米</t>
        </is>
      </c>
      <c r="N300" s="72" t="n">
        <v>42.57</v>
      </c>
      <c r="O300" s="72">
        <f>ROUND(N300*(1+$F$10),2)</f>
        <v/>
      </c>
      <c r="P300" s="73">
        <f>ROUND(K300*N300,2)</f>
        <v/>
      </c>
      <c r="Q300" s="74">
        <f>ROUND(L300*N300,2)</f>
        <v/>
      </c>
      <c r="R300" s="75" t="n"/>
      <c r="S300" s="76" t="n"/>
      <c r="T300" s="77">
        <f>K300-L300</f>
        <v/>
      </c>
      <c r="U300" s="77">
        <f>P300-Q300</f>
        <v/>
      </c>
      <c r="V300" s="77">
        <f>ABS(U300)</f>
        <v/>
      </c>
      <c r="W300" s="78">
        <f>T300/L300</f>
        <v/>
      </c>
      <c r="X300" s="79">
        <f>ABS(W300)</f>
        <v/>
      </c>
      <c r="AG300" s="80" t="inlineStr">
        <is>
          <t>踢脚线长度</t>
        </is>
      </c>
    </row>
    <row r="301" ht="11.4" customHeight="1">
      <c r="A301" s="67" t="inlineStr">
        <is>
          <t>59</t>
        </is>
      </c>
      <c r="B301" s="67" t="inlineStr">
        <is>
          <t>1057</t>
        </is>
      </c>
      <c r="C301" s="67" t="inlineStr">
        <is>
          <t>1611</t>
        </is>
      </c>
      <c r="D301" s="68" t="inlineStr">
        <is>
          <t>01</t>
        </is>
      </c>
      <c r="E301" s="68" t="inlineStr">
        <is>
          <t>6 物业施工费</t>
        </is>
      </c>
      <c r="F301" s="68" t="inlineStr">
        <is>
          <t>6.1 总承包工程</t>
        </is>
      </c>
      <c r="G301" s="68" t="inlineStr">
        <is>
          <t>6.1.1 内部装修工程</t>
        </is>
      </c>
      <c r="H301" s="68" t="inlineStr">
        <is>
          <t>外立面装修</t>
        </is>
      </c>
      <c r="I301" s="69" t="inlineStr">
        <is>
          <t>1000021796</t>
        </is>
      </c>
      <c r="J301" s="69" t="inlineStr">
        <is>
          <t>石材砖踢脚</t>
        </is>
      </c>
      <c r="K301" s="83" t="n">
        <v>1.66</v>
      </c>
      <c r="L301" s="70" t="n">
        <v>4.27</v>
      </c>
      <c r="M301" s="71" t="inlineStr">
        <is>
          <t>米</t>
        </is>
      </c>
      <c r="N301" s="72" t="n">
        <v>55.41</v>
      </c>
      <c r="O301" s="72">
        <f>ROUND(N301*(1+$F$10),2)</f>
        <v/>
      </c>
      <c r="P301" s="73">
        <f>ROUND(K301*N301,2)</f>
        <v/>
      </c>
      <c r="Q301" s="74">
        <f>ROUND(L301*N301,2)</f>
        <v/>
      </c>
      <c r="R301" s="75" t="n"/>
      <c r="S301" s="76" t="n"/>
      <c r="T301" s="77">
        <f>K301-L301</f>
        <v/>
      </c>
      <c r="U301" s="77">
        <f>P301-Q301</f>
        <v/>
      </c>
      <c r="V301" s="77">
        <f>ABS(U301)</f>
        <v/>
      </c>
      <c r="W301" s="78">
        <f>T301/L301</f>
        <v/>
      </c>
      <c r="X301" s="79">
        <f>ABS(W301)</f>
        <v/>
      </c>
      <c r="AG301" s="80" t="inlineStr">
        <is>
          <t>踢脚线长度</t>
        </is>
      </c>
    </row>
    <row r="302" ht="11.4" customHeight="1">
      <c r="A302" s="67" t="inlineStr">
        <is>
          <t>59</t>
        </is>
      </c>
      <c r="B302" s="67" t="inlineStr">
        <is>
          <t>1057</t>
        </is>
      </c>
      <c r="C302" s="67" t="inlineStr">
        <is>
          <t>1611</t>
        </is>
      </c>
      <c r="D302" s="68" t="inlineStr">
        <is>
          <t>01</t>
        </is>
      </c>
      <c r="E302" s="68" t="inlineStr">
        <is>
          <t>6 物业施工费</t>
        </is>
      </c>
      <c r="F302" s="68" t="inlineStr">
        <is>
          <t>6.1 总承包工程</t>
        </is>
      </c>
      <c r="G302" s="68" t="inlineStr">
        <is>
          <t>6.1.1 内部装修工程</t>
        </is>
      </c>
      <c r="H302" s="68" t="inlineStr">
        <is>
          <t>外立面装修</t>
        </is>
      </c>
      <c r="I302" s="69" t="inlineStr">
        <is>
          <t>1000021463</t>
        </is>
      </c>
      <c r="J302" s="69" t="inlineStr">
        <is>
          <t>共荣水磨石踢脚</t>
        </is>
      </c>
      <c r="K302" s="70" t="n"/>
      <c r="L302" s="70" t="n"/>
      <c r="M302" s="71" t="inlineStr">
        <is>
          <t>米</t>
        </is>
      </c>
      <c r="N302" s="72" t="n">
        <v>37.84</v>
      </c>
      <c r="O302" s="72">
        <f>ROUND(N302*(1+$F$10),2)</f>
        <v/>
      </c>
      <c r="P302" s="73">
        <f>ROUND(K302*N302,2)</f>
        <v/>
      </c>
      <c r="Q302" s="74">
        <f>ROUND(L302*N302,2)</f>
        <v/>
      </c>
      <c r="R302" s="75" t="n"/>
      <c r="S302" s="76" t="n"/>
      <c r="T302" s="77">
        <f>K302-L302</f>
        <v/>
      </c>
      <c r="U302" s="77">
        <f>P302-Q302</f>
        <v/>
      </c>
      <c r="V302" s="77">
        <f>ABS(U302)</f>
        <v/>
      </c>
      <c r="W302" s="78">
        <f>T302/L302</f>
        <v/>
      </c>
      <c r="X302" s="79">
        <f>ABS(W302)</f>
        <v/>
      </c>
      <c r="AG302" s="80" t="inlineStr">
        <is>
          <t>踢脚线长度</t>
        </is>
      </c>
    </row>
    <row r="303" ht="11.4" customHeight="1">
      <c r="A303" s="67" t="inlineStr">
        <is>
          <t>59</t>
        </is>
      </c>
      <c r="B303" s="67" t="inlineStr">
        <is>
          <t>1057</t>
        </is>
      </c>
      <c r="C303" s="67" t="inlineStr">
        <is>
          <t>1611</t>
        </is>
      </c>
      <c r="D303" s="68" t="inlineStr">
        <is>
          <t>01</t>
        </is>
      </c>
      <c r="E303" s="68" t="inlineStr">
        <is>
          <t>6 物业施工费</t>
        </is>
      </c>
      <c r="F303" s="68" t="inlineStr">
        <is>
          <t>6.1 总承包工程</t>
        </is>
      </c>
      <c r="G303" s="68" t="inlineStr">
        <is>
          <t>6.1.1 内部装修工程</t>
        </is>
      </c>
      <c r="H303" s="68" t="inlineStr">
        <is>
          <t>外立面装修</t>
        </is>
      </c>
      <c r="I303" s="69" t="inlineStr">
        <is>
          <t>1000021797</t>
        </is>
      </c>
      <c r="J303" s="69" t="inlineStr">
        <is>
          <t>不锈钢踢脚 H=200mm</t>
        </is>
      </c>
      <c r="K303" s="70" t="n"/>
      <c r="L303" s="70" t="n"/>
      <c r="M303" s="71" t="inlineStr">
        <is>
          <t>米</t>
        </is>
      </c>
      <c r="N303" s="72" t="n">
        <v>114.14</v>
      </c>
      <c r="O303" s="72">
        <f>ROUND(N303*(1+$F$10),2)</f>
        <v/>
      </c>
      <c r="P303" s="73">
        <f>ROUND(K303*N303,2)</f>
        <v/>
      </c>
      <c r="Q303" s="74">
        <f>ROUND(L303*N303,2)</f>
        <v/>
      </c>
      <c r="R303" s="75" t="n"/>
      <c r="S303" s="76" t="n"/>
      <c r="T303" s="77">
        <f>K303-L303</f>
        <v/>
      </c>
      <c r="U303" s="77">
        <f>P303-Q303</f>
        <v/>
      </c>
      <c r="V303" s="77">
        <f>ABS(U303)</f>
        <v/>
      </c>
      <c r="W303" s="78">
        <f>T303/L303</f>
        <v/>
      </c>
      <c r="X303" s="79">
        <f>ABS(W303)</f>
        <v/>
      </c>
      <c r="AG303" s="80" t="inlineStr">
        <is>
          <t>踢脚线长度</t>
        </is>
      </c>
    </row>
    <row r="304" ht="11.4" customHeight="1">
      <c r="A304" s="67" t="inlineStr">
        <is>
          <t>148</t>
        </is>
      </c>
      <c r="B304" s="67" t="inlineStr">
        <is>
          <t>1154</t>
        </is>
      </c>
      <c r="C304" s="67" t="inlineStr">
        <is>
          <t>8485</t>
        </is>
      </c>
      <c r="D304" s="68" t="inlineStr">
        <is>
          <t>01</t>
        </is>
      </c>
      <c r="E304" s="68" t="inlineStr">
        <is>
          <t>6 物业施工费</t>
        </is>
      </c>
      <c r="F304" s="68" t="inlineStr">
        <is>
          <t>6.1 总承包工程</t>
        </is>
      </c>
      <c r="G304" s="68" t="inlineStr">
        <is>
          <t>6.1.1 内部装修工程</t>
        </is>
      </c>
      <c r="H304" s="68" t="inlineStr">
        <is>
          <t>外立面装修</t>
        </is>
      </c>
      <c r="I304" s="69" t="inlineStr">
        <is>
          <t>1000021499</t>
        </is>
      </c>
      <c r="J304" s="69" t="inlineStr">
        <is>
          <t>铝合金双开门连门框及全部配件（主材，佳诺浩德）</t>
        </is>
      </c>
      <c r="K304" s="70" t="n">
        <v>1</v>
      </c>
      <c r="L304" s="70" t="n">
        <v>1</v>
      </c>
      <c r="M304" s="71" t="inlineStr">
        <is>
          <t>樘</t>
        </is>
      </c>
      <c r="N304" s="72" t="n">
        <v>4665.2</v>
      </c>
      <c r="O304" s="72">
        <f>ROUND(N304*(1+$F$10),2)</f>
        <v/>
      </c>
      <c r="P304" s="73">
        <f>ROUND(K304*N304,2)</f>
        <v/>
      </c>
      <c r="Q304" s="74">
        <f>ROUND(L304*N304,2)</f>
        <v/>
      </c>
      <c r="R304" s="75" t="n"/>
      <c r="S304" s="76" t="n"/>
      <c r="T304" s="77">
        <f>K304-L304</f>
        <v/>
      </c>
      <c r="U304" s="77">
        <f>P304-Q304</f>
        <v/>
      </c>
      <c r="V304" s="77">
        <f>ABS(U304)</f>
        <v/>
      </c>
      <c r="W304" s="78">
        <f>T304/L304</f>
        <v/>
      </c>
      <c r="X304" s="79">
        <f>ABS(W304)</f>
        <v/>
      </c>
      <c r="AG304" s="80" t="inlineStr">
        <is>
          <t>个数</t>
        </is>
      </c>
    </row>
    <row r="305" ht="11.4" customHeight="1">
      <c r="A305" s="67" t="inlineStr">
        <is>
          <t>148</t>
        </is>
      </c>
      <c r="B305" s="67" t="inlineStr">
        <is>
          <t>1154</t>
        </is>
      </c>
      <c r="C305" s="67" t="inlineStr">
        <is>
          <t>8485</t>
        </is>
      </c>
      <c r="D305" s="68" t="inlineStr">
        <is>
          <t>01</t>
        </is>
      </c>
      <c r="E305" s="68" t="inlineStr">
        <is>
          <t>6 物业施工费</t>
        </is>
      </c>
      <c r="F305" s="68" t="inlineStr">
        <is>
          <t>6.1 总承包工程</t>
        </is>
      </c>
      <c r="G305" s="68" t="inlineStr">
        <is>
          <t>6.1.1 内部装修工程</t>
        </is>
      </c>
      <c r="H305" s="68" t="inlineStr">
        <is>
          <t>外立面装修</t>
        </is>
      </c>
      <c r="I305" s="69" t="inlineStr">
        <is>
          <t>1000021500</t>
        </is>
      </c>
      <c r="J305" s="69" t="inlineStr">
        <is>
          <t>铝合金单开门连门框及全部配件（主材，佳诺浩德）</t>
        </is>
      </c>
      <c r="K305" s="70" t="n">
        <v>1</v>
      </c>
      <c r="L305" s="70" t="n">
        <v>1</v>
      </c>
      <c r="M305" s="71" t="inlineStr">
        <is>
          <t>樘</t>
        </is>
      </c>
      <c r="N305" s="72" t="n">
        <v>2712.45</v>
      </c>
      <c r="O305" s="72">
        <f>ROUND(N305*(1+$F$10),2)</f>
        <v/>
      </c>
      <c r="P305" s="73">
        <f>ROUND(K305*N305,2)</f>
        <v/>
      </c>
      <c r="Q305" s="74">
        <f>ROUND(L305*N305,2)</f>
        <v/>
      </c>
      <c r="R305" s="75" t="n"/>
      <c r="S305" s="76" t="n"/>
      <c r="T305" s="77">
        <f>K305-L305</f>
        <v/>
      </c>
      <c r="U305" s="77">
        <f>P305-Q305</f>
        <v/>
      </c>
      <c r="V305" s="77">
        <f>ABS(U305)</f>
        <v/>
      </c>
      <c r="W305" s="78">
        <f>T305/L305</f>
        <v/>
      </c>
      <c r="X305" s="79">
        <f>ABS(W305)</f>
        <v/>
      </c>
      <c r="AG305" s="80" t="inlineStr">
        <is>
          <t>个数</t>
        </is>
      </c>
    </row>
    <row r="306" ht="11.4" customHeight="1">
      <c r="A306" s="67" t="inlineStr">
        <is>
          <t>148</t>
        </is>
      </c>
      <c r="B306" s="67" t="inlineStr">
        <is>
          <t>1154</t>
        </is>
      </c>
      <c r="C306" s="67" t="inlineStr">
        <is>
          <t>8485</t>
        </is>
      </c>
      <c r="D306" s="68" t="inlineStr">
        <is>
          <t>01</t>
        </is>
      </c>
      <c r="E306" s="68" t="inlineStr">
        <is>
          <t>6 物业施工费</t>
        </is>
      </c>
      <c r="F306" s="68" t="inlineStr">
        <is>
          <t>6.1 总承包工程</t>
        </is>
      </c>
      <c r="G306" s="68" t="inlineStr">
        <is>
          <t>6.1.1 内部装修工程</t>
        </is>
      </c>
      <c r="H306" s="68" t="inlineStr">
        <is>
          <t>外立面装修</t>
        </is>
      </c>
      <c r="I306" s="69" t="inlineStr">
        <is>
          <t>1000053607</t>
        </is>
      </c>
      <c r="J306" s="69" t="inlineStr">
        <is>
          <t>铝合金双开门连门框及全部配件（主材，天晟）</t>
        </is>
      </c>
      <c r="K306" s="70" t="n"/>
      <c r="L306" s="70" t="n"/>
      <c r="M306" s="71" t="inlineStr">
        <is>
          <t>樘</t>
        </is>
      </c>
      <c r="N306" s="72" t="n">
        <v>4703.72</v>
      </c>
      <c r="O306" s="72">
        <f>ROUND(N306*(1+$F$10),2)</f>
        <v/>
      </c>
      <c r="P306" s="73">
        <f>ROUND(K306*N306,2)</f>
        <v/>
      </c>
      <c r="Q306" s="74">
        <f>ROUND(L306*N306,2)</f>
        <v/>
      </c>
      <c r="R306" s="75" t="n"/>
      <c r="S306" s="76" t="n"/>
      <c r="T306" s="77">
        <f>K306-L306</f>
        <v/>
      </c>
      <c r="U306" s="77">
        <f>P306-Q306</f>
        <v/>
      </c>
      <c r="V306" s="77">
        <f>ABS(U306)</f>
        <v/>
      </c>
      <c r="W306" s="78">
        <f>T306/L306</f>
        <v/>
      </c>
      <c r="X306" s="79">
        <f>ABS(W306)</f>
        <v/>
      </c>
      <c r="AG306" s="80" t="inlineStr">
        <is>
          <t>个数</t>
        </is>
      </c>
    </row>
    <row r="307" ht="11.4" customHeight="1">
      <c r="A307" s="67" t="inlineStr">
        <is>
          <t>148</t>
        </is>
      </c>
      <c r="B307" s="67" t="inlineStr">
        <is>
          <t>1154</t>
        </is>
      </c>
      <c r="C307" s="67" t="inlineStr">
        <is>
          <t>8485</t>
        </is>
      </c>
      <c r="D307" s="68" t="inlineStr">
        <is>
          <t>01</t>
        </is>
      </c>
      <c r="E307" s="68" t="inlineStr">
        <is>
          <t>6 物业施工费</t>
        </is>
      </c>
      <c r="F307" s="68" t="inlineStr">
        <is>
          <t>6.1 总承包工程</t>
        </is>
      </c>
      <c r="G307" s="68" t="inlineStr">
        <is>
          <t>6.1.1 内部装修工程</t>
        </is>
      </c>
      <c r="H307" s="68" t="inlineStr">
        <is>
          <t>外立面装修</t>
        </is>
      </c>
      <c r="I307" s="69" t="inlineStr">
        <is>
          <t>1000053606</t>
        </is>
      </c>
      <c r="J307" s="69" t="inlineStr">
        <is>
          <t>铝合金单开门连门框及全部配件（主材，天晟）</t>
        </is>
      </c>
      <c r="K307" s="70" t="n"/>
      <c r="L307" s="70" t="n"/>
      <c r="M307" s="71" t="inlineStr">
        <is>
          <t>樘</t>
        </is>
      </c>
      <c r="N307" s="72" t="n">
        <v>2811.96</v>
      </c>
      <c r="O307" s="72">
        <f>ROUND(N307*(1+$F$10),2)</f>
        <v/>
      </c>
      <c r="P307" s="73">
        <f>ROUND(K307*N307,2)</f>
        <v/>
      </c>
      <c r="Q307" s="74">
        <f>ROUND(L307*N307,2)</f>
        <v/>
      </c>
      <c r="R307" s="75" t="n"/>
      <c r="S307" s="76" t="n"/>
      <c r="T307" s="77">
        <f>K307-L307</f>
        <v/>
      </c>
      <c r="U307" s="77">
        <f>P307-Q307</f>
        <v/>
      </c>
      <c r="V307" s="77">
        <f>ABS(U307)</f>
        <v/>
      </c>
      <c r="W307" s="78">
        <f>T307/L307</f>
        <v/>
      </c>
      <c r="X307" s="79">
        <f>ABS(W307)</f>
        <v/>
      </c>
      <c r="AG307" s="80" t="inlineStr">
        <is>
          <t>个数</t>
        </is>
      </c>
    </row>
    <row r="308" ht="11.4" customHeight="1">
      <c r="A308" s="67" t="inlineStr">
        <is>
          <t>148</t>
        </is>
      </c>
      <c r="B308" s="67" t="inlineStr">
        <is>
          <t>1154</t>
        </is>
      </c>
      <c r="C308" s="67" t="inlineStr">
        <is>
          <t>8485</t>
        </is>
      </c>
      <c r="D308" s="68" t="inlineStr">
        <is>
          <t>01</t>
        </is>
      </c>
      <c r="E308" s="68" t="inlineStr">
        <is>
          <t>6 物业施工费</t>
        </is>
      </c>
      <c r="F308" s="68" t="inlineStr">
        <is>
          <t>6.1 总承包工程</t>
        </is>
      </c>
      <c r="G308" s="68" t="inlineStr">
        <is>
          <t>6.1.1 内部装修工程</t>
        </is>
      </c>
      <c r="H308" s="68" t="inlineStr">
        <is>
          <t>外立面装修</t>
        </is>
      </c>
      <c r="I308" s="69" t="inlineStr">
        <is>
          <t>1000053610</t>
        </is>
      </c>
      <c r="J308" s="69" t="inlineStr">
        <is>
          <t>铝合金双开门连门框及全部配件（主材，航凯）</t>
        </is>
      </c>
      <c r="K308" s="70" t="n"/>
      <c r="L308" s="70" t="n"/>
      <c r="M308" s="71" t="inlineStr">
        <is>
          <t>樘</t>
        </is>
      </c>
      <c r="N308" s="72" t="n">
        <v>4636.31</v>
      </c>
      <c r="O308" s="72">
        <f>ROUND(N308*(1+$F$10),2)</f>
        <v/>
      </c>
      <c r="P308" s="73">
        <f>ROUND(K308*N308,2)</f>
        <v/>
      </c>
      <c r="Q308" s="74">
        <f>ROUND(L308*N308,2)</f>
        <v/>
      </c>
      <c r="R308" s="75" t="n"/>
      <c r="S308" s="76" t="n"/>
      <c r="T308" s="77">
        <f>K308-L308</f>
        <v/>
      </c>
      <c r="U308" s="77">
        <f>P308-Q308</f>
        <v/>
      </c>
      <c r="V308" s="77">
        <f>ABS(U308)</f>
        <v/>
      </c>
      <c r="W308" s="78">
        <f>T308/L308</f>
        <v/>
      </c>
      <c r="X308" s="79">
        <f>ABS(W308)</f>
        <v/>
      </c>
      <c r="AG308" s="80" t="inlineStr">
        <is>
          <t>个数</t>
        </is>
      </c>
    </row>
    <row r="309" ht="11.4" customHeight="1">
      <c r="A309" s="67" t="inlineStr">
        <is>
          <t>148</t>
        </is>
      </c>
      <c r="B309" s="67" t="inlineStr">
        <is>
          <t>1154</t>
        </is>
      </c>
      <c r="C309" s="67" t="inlineStr">
        <is>
          <t>8485</t>
        </is>
      </c>
      <c r="D309" s="68" t="inlineStr">
        <is>
          <t>01</t>
        </is>
      </c>
      <c r="E309" s="68" t="inlineStr">
        <is>
          <t>6 物业施工费</t>
        </is>
      </c>
      <c r="F309" s="68" t="inlineStr">
        <is>
          <t>6.1 总承包工程</t>
        </is>
      </c>
      <c r="G309" s="68" t="inlineStr">
        <is>
          <t>6.1.1 内部装修工程</t>
        </is>
      </c>
      <c r="H309" s="68" t="inlineStr">
        <is>
          <t>外立面装修</t>
        </is>
      </c>
      <c r="I309" s="69" t="inlineStr">
        <is>
          <t>1000053609</t>
        </is>
      </c>
      <c r="J309" s="69" t="inlineStr">
        <is>
          <t>铝合金单开门连门框及全部配件（主材，航凯）</t>
        </is>
      </c>
      <c r="K309" s="70" t="n"/>
      <c r="L309" s="70" t="n"/>
      <c r="M309" s="71" t="inlineStr">
        <is>
          <t>樘</t>
        </is>
      </c>
      <c r="N309" s="72" t="n">
        <v>2711.38</v>
      </c>
      <c r="O309" s="72">
        <f>ROUND(N309*(1+$F$10),2)</f>
        <v/>
      </c>
      <c r="P309" s="73">
        <f>ROUND(K309*N309,2)</f>
        <v/>
      </c>
      <c r="Q309" s="74">
        <f>ROUND(L309*N309,2)</f>
        <v/>
      </c>
      <c r="R309" s="75" t="n"/>
      <c r="S309" s="76" t="n"/>
      <c r="T309" s="77">
        <f>K309-L309</f>
        <v/>
      </c>
      <c r="U309" s="77">
        <f>P309-Q309</f>
        <v/>
      </c>
      <c r="V309" s="77">
        <f>ABS(U309)</f>
        <v/>
      </c>
      <c r="W309" s="78">
        <f>T309/L309</f>
        <v/>
      </c>
      <c r="X309" s="79">
        <f>ABS(W309)</f>
        <v/>
      </c>
      <c r="AG309" s="80" t="inlineStr">
        <is>
          <t>个数</t>
        </is>
      </c>
    </row>
    <row r="310" ht="11.4" customHeight="1">
      <c r="A310" s="67" t="inlineStr">
        <is>
          <t>148</t>
        </is>
      </c>
      <c r="B310" s="67" t="inlineStr">
        <is>
          <t>1154</t>
        </is>
      </c>
      <c r="C310" s="67" t="inlineStr">
        <is>
          <t>8485</t>
        </is>
      </c>
      <c r="D310" s="68" t="inlineStr">
        <is>
          <t>01</t>
        </is>
      </c>
      <c r="E310" s="68" t="inlineStr">
        <is>
          <t>6 物业施工费</t>
        </is>
      </c>
      <c r="F310" s="68" t="inlineStr">
        <is>
          <t>6.1 总承包工程</t>
        </is>
      </c>
      <c r="G310" s="68" t="inlineStr">
        <is>
          <t>6.1.1 内部装修工程</t>
        </is>
      </c>
      <c r="H310" s="68" t="inlineStr">
        <is>
          <t>外立面装修</t>
        </is>
      </c>
      <c r="I310" s="69" t="inlineStr">
        <is>
          <t>1000081295</t>
        </is>
      </c>
      <c r="J310" s="69" t="inlineStr">
        <is>
          <t>铝合金双开门连门框及全部配件（主材，力保）</t>
        </is>
      </c>
      <c r="K310" s="70" t="n"/>
      <c r="L310" s="70" t="n"/>
      <c r="M310" s="71" t="inlineStr">
        <is>
          <t>樘</t>
        </is>
      </c>
      <c r="N310" s="72" t="n">
        <v>5150.98</v>
      </c>
      <c r="O310" s="72">
        <f>ROUND(N310*(1+$F$10),2)</f>
        <v/>
      </c>
      <c r="P310" s="73">
        <f>ROUND(K310*N310,2)</f>
        <v/>
      </c>
      <c r="Q310" s="74">
        <f>ROUND(L310*N310,2)</f>
        <v/>
      </c>
      <c r="R310" s="75" t="n"/>
      <c r="S310" s="76" t="n"/>
      <c r="T310" s="77">
        <f>K310-L310</f>
        <v/>
      </c>
      <c r="U310" s="77">
        <f>P310-Q310</f>
        <v/>
      </c>
      <c r="V310" s="77">
        <f>ABS(U310)</f>
        <v/>
      </c>
      <c r="W310" s="78">
        <f>T310/L310</f>
        <v/>
      </c>
      <c r="X310" s="79">
        <f>ABS(W310)</f>
        <v/>
      </c>
      <c r="AG310" s="80" t="inlineStr">
        <is>
          <t>个数</t>
        </is>
      </c>
    </row>
    <row r="311" ht="11.4" customHeight="1">
      <c r="A311" s="67" t="inlineStr">
        <is>
          <t>148</t>
        </is>
      </c>
      <c r="B311" s="67" t="inlineStr">
        <is>
          <t>1154</t>
        </is>
      </c>
      <c r="C311" s="67" t="inlineStr">
        <is>
          <t>8485</t>
        </is>
      </c>
      <c r="D311" s="68" t="inlineStr">
        <is>
          <t>01</t>
        </is>
      </c>
      <c r="E311" s="68" t="inlineStr">
        <is>
          <t>6 物业施工费</t>
        </is>
      </c>
      <c r="F311" s="68" t="inlineStr">
        <is>
          <t>6.1 总承包工程</t>
        </is>
      </c>
      <c r="G311" s="68" t="inlineStr">
        <is>
          <t>6.1.1 内部装修工程</t>
        </is>
      </c>
      <c r="H311" s="68" t="inlineStr">
        <is>
          <t>外立面装修</t>
        </is>
      </c>
      <c r="I311" s="69" t="inlineStr">
        <is>
          <t>1000081635</t>
        </is>
      </c>
      <c r="J311" s="69" t="inlineStr">
        <is>
          <t>铝合金单开门连门框及全部配件（主材，力保）</t>
        </is>
      </c>
      <c r="K311" s="70" t="n"/>
      <c r="L311" s="70" t="n"/>
      <c r="M311" s="71" t="inlineStr">
        <is>
          <t>樘</t>
        </is>
      </c>
      <c r="N311" s="72" t="n">
        <v>2853.69</v>
      </c>
      <c r="O311" s="72">
        <f>ROUND(N311*(1+$F$10),2)</f>
        <v/>
      </c>
      <c r="P311" s="73">
        <f>ROUND(K311*N311,2)</f>
        <v/>
      </c>
      <c r="Q311" s="74">
        <f>ROUND(L311*N311,2)</f>
        <v/>
      </c>
      <c r="R311" s="75" t="n"/>
      <c r="S311" s="76" t="n"/>
      <c r="T311" s="77">
        <f>K311-L311</f>
        <v/>
      </c>
      <c r="U311" s="77">
        <f>P311-Q311</f>
        <v/>
      </c>
      <c r="V311" s="77">
        <f>ABS(U311)</f>
        <v/>
      </c>
      <c r="W311" s="78">
        <f>T311/L311</f>
        <v/>
      </c>
      <c r="X311" s="79">
        <f>ABS(W311)</f>
        <v/>
      </c>
      <c r="AG311" s="80" t="inlineStr">
        <is>
          <t>个数</t>
        </is>
      </c>
    </row>
    <row r="312" ht="11.4" customHeight="1">
      <c r="A312" s="67" t="inlineStr">
        <is>
          <t>148</t>
        </is>
      </c>
      <c r="B312" s="67" t="inlineStr">
        <is>
          <t>1154</t>
        </is>
      </c>
      <c r="C312" s="67" t="inlineStr">
        <is>
          <t>8485</t>
        </is>
      </c>
      <c r="D312" s="68" t="inlineStr">
        <is>
          <t>01</t>
        </is>
      </c>
      <c r="E312" s="68" t="inlineStr">
        <is>
          <t>6 物业施工费</t>
        </is>
      </c>
      <c r="F312" s="68" t="inlineStr">
        <is>
          <t>6.1 总承包工程</t>
        </is>
      </c>
      <c r="G312" s="68" t="inlineStr">
        <is>
          <t>6.1.1 内部装修工程</t>
        </is>
      </c>
      <c r="H312" s="68" t="inlineStr">
        <is>
          <t>外立面装修</t>
        </is>
      </c>
      <c r="I312" s="69" t="inlineStr">
        <is>
          <t>1000021800</t>
        </is>
      </c>
      <c r="J312" s="69" t="inlineStr">
        <is>
          <t>（主材）无框双开门连门框及全部配件</t>
        </is>
      </c>
      <c r="K312" s="70" t="n"/>
      <c r="L312" s="70" t="n"/>
      <c r="M312" s="71" t="inlineStr">
        <is>
          <t>樘</t>
        </is>
      </c>
      <c r="N312" s="72" t="n">
        <v>6224.4</v>
      </c>
      <c r="O312" s="72">
        <f>ROUND(N312*(1+$F$10),2)</f>
        <v/>
      </c>
      <c r="P312" s="73">
        <f>ROUND(K312*N312,2)</f>
        <v/>
      </c>
      <c r="Q312" s="74">
        <f>ROUND(L312*N312,2)</f>
        <v/>
      </c>
      <c r="R312" s="75" t="n"/>
      <c r="S312" s="76" t="n"/>
      <c r="T312" s="77">
        <f>K312-L312</f>
        <v/>
      </c>
      <c r="U312" s="77">
        <f>P312-Q312</f>
        <v/>
      </c>
      <c r="V312" s="77">
        <f>ABS(U312)</f>
        <v/>
      </c>
      <c r="W312" s="78">
        <f>T312/L312</f>
        <v/>
      </c>
      <c r="X312" s="79">
        <f>ABS(W312)</f>
        <v/>
      </c>
      <c r="AG312" s="80" t="inlineStr">
        <is>
          <t>个数</t>
        </is>
      </c>
    </row>
    <row r="313" ht="11.4" customHeight="1">
      <c r="A313" s="67" t="inlineStr">
        <is>
          <t>148</t>
        </is>
      </c>
      <c r="B313" s="67" t="inlineStr">
        <is>
          <t>1154</t>
        </is>
      </c>
      <c r="C313" s="67" t="inlineStr">
        <is>
          <t>8485</t>
        </is>
      </c>
      <c r="D313" s="68" t="inlineStr">
        <is>
          <t>01</t>
        </is>
      </c>
      <c r="E313" s="68" t="inlineStr">
        <is>
          <t>6 物业施工费</t>
        </is>
      </c>
      <c r="F313" s="68" t="inlineStr">
        <is>
          <t>6.1 总承包工程</t>
        </is>
      </c>
      <c r="G313" s="68" t="inlineStr">
        <is>
          <t>6.1.1 内部装修工程</t>
        </is>
      </c>
      <c r="H313" s="68" t="inlineStr">
        <is>
          <t>外立面装修</t>
        </is>
      </c>
      <c r="I313" s="69" t="inlineStr">
        <is>
          <t>1000021663</t>
        </is>
      </c>
      <c r="J313" s="69" t="inlineStr">
        <is>
          <t>（主材）无框单开门连门框及全部配件</t>
        </is>
      </c>
      <c r="K313" s="70" t="n"/>
      <c r="L313" s="70" t="n"/>
      <c r="M313" s="71" t="inlineStr">
        <is>
          <t>樘</t>
        </is>
      </c>
      <c r="N313" s="72" t="n">
        <v>3400.95</v>
      </c>
      <c r="O313" s="72">
        <f>ROUND(N313*(1+$F$10),2)</f>
        <v/>
      </c>
      <c r="P313" s="73">
        <f>ROUND(K313*N313,2)</f>
        <v/>
      </c>
      <c r="Q313" s="74">
        <f>ROUND(L313*N313,2)</f>
        <v/>
      </c>
      <c r="R313" s="75" t="n"/>
      <c r="S313" s="76" t="n"/>
      <c r="T313" s="77">
        <f>K313-L313</f>
        <v/>
      </c>
      <c r="U313" s="77">
        <f>P313-Q313</f>
        <v/>
      </c>
      <c r="V313" s="77">
        <f>ABS(U313)</f>
        <v/>
      </c>
      <c r="W313" s="78">
        <f>T313/L313</f>
        <v/>
      </c>
      <c r="X313" s="79">
        <f>ABS(W313)</f>
        <v/>
      </c>
      <c r="AG313" s="80" t="inlineStr">
        <is>
          <t>个数</t>
        </is>
      </c>
    </row>
    <row r="314" ht="11.4" customHeight="1">
      <c r="A314" s="67" t="inlineStr">
        <is>
          <t>148</t>
        </is>
      </c>
      <c r="B314" s="67" t="inlineStr">
        <is>
          <t>1154</t>
        </is>
      </c>
      <c r="C314" s="67" t="inlineStr">
        <is>
          <t>8485</t>
        </is>
      </c>
      <c r="D314" s="68" t="inlineStr">
        <is>
          <t>01</t>
        </is>
      </c>
      <c r="E314" s="68" t="inlineStr">
        <is>
          <t>6 物业施工费</t>
        </is>
      </c>
      <c r="F314" s="68" t="inlineStr">
        <is>
          <t>6.1 总承包工程</t>
        </is>
      </c>
      <c r="G314" s="68" t="inlineStr">
        <is>
          <t>6.1.1 内部装修工程</t>
        </is>
      </c>
      <c r="H314" s="68" t="inlineStr">
        <is>
          <t>外立面装修</t>
        </is>
      </c>
      <c r="I314" s="69" t="inlineStr">
        <is>
          <t>1000081639</t>
        </is>
      </c>
      <c r="J314" s="69" t="inlineStr">
        <is>
          <t>窄边不锈钢双开门连门框及全部配件（主材，天晟）</t>
        </is>
      </c>
      <c r="K314" s="70" t="n"/>
      <c r="L314" s="70" t="n"/>
      <c r="M314" s="71" t="inlineStr">
        <is>
          <t>樘</t>
        </is>
      </c>
      <c r="N314" s="72" t="n">
        <v>6665.03</v>
      </c>
      <c r="O314" s="72">
        <f>ROUND(N314*(1+$F$10),2)</f>
        <v/>
      </c>
      <c r="P314" s="73">
        <f>ROUND(K314*N314,2)</f>
        <v/>
      </c>
      <c r="Q314" s="74">
        <f>ROUND(L314*N314,2)</f>
        <v/>
      </c>
      <c r="R314" s="75" t="n"/>
      <c r="S314" s="76" t="n"/>
      <c r="T314" s="77">
        <f>K314-L314</f>
        <v/>
      </c>
      <c r="U314" s="77">
        <f>P314-Q314</f>
        <v/>
      </c>
      <c r="V314" s="77">
        <f>ABS(U314)</f>
        <v/>
      </c>
      <c r="W314" s="78">
        <f>T314/L314</f>
        <v/>
      </c>
      <c r="X314" s="79">
        <f>ABS(W314)</f>
        <v/>
      </c>
      <c r="AG314" s="80" t="inlineStr">
        <is>
          <t>个数</t>
        </is>
      </c>
    </row>
    <row r="315" ht="11.4" customHeight="1">
      <c r="A315" s="67" t="inlineStr">
        <is>
          <t>148</t>
        </is>
      </c>
      <c r="B315" s="67" t="inlineStr">
        <is>
          <t>1154</t>
        </is>
      </c>
      <c r="C315" s="67" t="inlineStr">
        <is>
          <t>8485</t>
        </is>
      </c>
      <c r="D315" s="68" t="inlineStr">
        <is>
          <t>01</t>
        </is>
      </c>
      <c r="E315" s="68" t="inlineStr">
        <is>
          <t>6 物业施工费</t>
        </is>
      </c>
      <c r="F315" s="68" t="inlineStr">
        <is>
          <t>6.1 总承包工程</t>
        </is>
      </c>
      <c r="G315" s="68" t="inlineStr">
        <is>
          <t>6.1.1 内部装修工程</t>
        </is>
      </c>
      <c r="H315" s="68" t="inlineStr">
        <is>
          <t>外立面装修</t>
        </is>
      </c>
      <c r="I315" s="69" t="inlineStr">
        <is>
          <t>1000082233</t>
        </is>
      </c>
      <c r="J315" s="69" t="inlineStr">
        <is>
          <t>窄边不锈钢单开门连门框及全部配件（主材，天晟）</t>
        </is>
      </c>
      <c r="K315" s="70" t="n"/>
      <c r="L315" s="70" t="n"/>
      <c r="M315" s="71" t="inlineStr">
        <is>
          <t>樘</t>
        </is>
      </c>
      <c r="N315" s="72" t="n">
        <v>3581.29</v>
      </c>
      <c r="O315" s="72">
        <f>ROUND(N315*(1+$F$10),2)</f>
        <v/>
      </c>
      <c r="P315" s="73">
        <f>ROUND(K315*N315,2)</f>
        <v/>
      </c>
      <c r="Q315" s="74">
        <f>ROUND(L315*N315,2)</f>
        <v/>
      </c>
      <c r="R315" s="75" t="n"/>
      <c r="S315" s="76" t="n"/>
      <c r="T315" s="77">
        <f>K315-L315</f>
        <v/>
      </c>
      <c r="U315" s="77">
        <f>P315-Q315</f>
        <v/>
      </c>
      <c r="V315" s="77">
        <f>ABS(U315)</f>
        <v/>
      </c>
      <c r="W315" s="78">
        <f>T315/L315</f>
        <v/>
      </c>
      <c r="X315" s="79">
        <f>ABS(W315)</f>
        <v/>
      </c>
      <c r="AG315" s="80" t="inlineStr">
        <is>
          <t>个数</t>
        </is>
      </c>
    </row>
    <row r="316" ht="11.4" customHeight="1">
      <c r="A316" s="67" t="inlineStr">
        <is>
          <t>148</t>
        </is>
      </c>
      <c r="B316" s="67" t="inlineStr">
        <is>
          <t>1154</t>
        </is>
      </c>
      <c r="C316" s="67" t="inlineStr">
        <is>
          <t>8485</t>
        </is>
      </c>
      <c r="D316" s="68" t="inlineStr">
        <is>
          <t>01</t>
        </is>
      </c>
      <c r="E316" s="68" t="inlineStr">
        <is>
          <t>6 物业施工费</t>
        </is>
      </c>
      <c r="F316" s="68" t="inlineStr">
        <is>
          <t>6.1 总承包工程</t>
        </is>
      </c>
      <c r="G316" s="68" t="inlineStr">
        <is>
          <t>6.1.1 内部装修工程</t>
        </is>
      </c>
      <c r="H316" s="68" t="inlineStr">
        <is>
          <t>外立面装修</t>
        </is>
      </c>
      <c r="I316" s="69" t="inlineStr">
        <is>
          <t>1000082234</t>
        </is>
      </c>
      <c r="J316" s="69" t="inlineStr">
        <is>
          <t>窄边不锈钢双开门连门框及全部配件（主材，航凯）</t>
        </is>
      </c>
      <c r="K316" s="70" t="n"/>
      <c r="L316" s="70" t="n"/>
      <c r="M316" s="71" t="inlineStr">
        <is>
          <t>樘</t>
        </is>
      </c>
      <c r="N316" s="72" t="n">
        <v>6335.47</v>
      </c>
      <c r="O316" s="72">
        <f>ROUND(N316*(1+$F$10),2)</f>
        <v/>
      </c>
      <c r="P316" s="73">
        <f>ROUND(K316*N316,2)</f>
        <v/>
      </c>
      <c r="Q316" s="74">
        <f>ROUND(L316*N316,2)</f>
        <v/>
      </c>
      <c r="R316" s="75" t="n"/>
      <c r="S316" s="76" t="n"/>
      <c r="T316" s="77">
        <f>K316-L316</f>
        <v/>
      </c>
      <c r="U316" s="77">
        <f>P316-Q316</f>
        <v/>
      </c>
      <c r="V316" s="77">
        <f>ABS(U316)</f>
        <v/>
      </c>
      <c r="W316" s="78">
        <f>T316/L316</f>
        <v/>
      </c>
      <c r="X316" s="79">
        <f>ABS(W316)</f>
        <v/>
      </c>
      <c r="AG316" s="80" t="inlineStr">
        <is>
          <t>个数</t>
        </is>
      </c>
    </row>
    <row r="317" ht="11.4" customHeight="1">
      <c r="A317" s="67" t="inlineStr">
        <is>
          <t>148</t>
        </is>
      </c>
      <c r="B317" s="67" t="inlineStr">
        <is>
          <t>1154</t>
        </is>
      </c>
      <c r="C317" s="67" t="inlineStr">
        <is>
          <t>8485</t>
        </is>
      </c>
      <c r="D317" s="68" t="inlineStr">
        <is>
          <t>01</t>
        </is>
      </c>
      <c r="E317" s="68" t="inlineStr">
        <is>
          <t>6 物业施工费</t>
        </is>
      </c>
      <c r="F317" s="68" t="inlineStr">
        <is>
          <t>6.1 总承包工程</t>
        </is>
      </c>
      <c r="G317" s="68" t="inlineStr">
        <is>
          <t>6.1.1 内部装修工程</t>
        </is>
      </c>
      <c r="H317" s="68" t="inlineStr">
        <is>
          <t>外立面装修</t>
        </is>
      </c>
      <c r="I317" s="69" t="inlineStr">
        <is>
          <t>1000082402</t>
        </is>
      </c>
      <c r="J317" s="69" t="inlineStr">
        <is>
          <t>窄边不锈钢单开门连门框及全部配件（主材，航凯）</t>
        </is>
      </c>
      <c r="K317" s="70" t="n"/>
      <c r="L317" s="70" t="n"/>
      <c r="M317" s="71" t="inlineStr">
        <is>
          <t>樘</t>
        </is>
      </c>
      <c r="N317" s="72" t="n">
        <v>3268.85</v>
      </c>
      <c r="O317" s="72">
        <f>ROUND(N317*(1+$F$10),2)</f>
        <v/>
      </c>
      <c r="P317" s="73">
        <f>ROUND(K317*N317,2)</f>
        <v/>
      </c>
      <c r="Q317" s="74">
        <f>ROUND(L317*N317,2)</f>
        <v/>
      </c>
      <c r="R317" s="75" t="n"/>
      <c r="S317" s="76" t="n"/>
      <c r="T317" s="77">
        <f>K317-L317</f>
        <v/>
      </c>
      <c r="U317" s="77">
        <f>P317-Q317</f>
        <v/>
      </c>
      <c r="V317" s="77">
        <f>ABS(U317)</f>
        <v/>
      </c>
      <c r="W317" s="78">
        <f>T317/L317</f>
        <v/>
      </c>
      <c r="X317" s="79">
        <f>ABS(W317)</f>
        <v/>
      </c>
      <c r="AG317" s="80" t="inlineStr">
        <is>
          <t>个数</t>
        </is>
      </c>
    </row>
    <row r="318" ht="11.4" customHeight="1">
      <c r="A318" s="67" t="inlineStr">
        <is>
          <t>148</t>
        </is>
      </c>
      <c r="B318" s="67" t="inlineStr">
        <is>
          <t>1154</t>
        </is>
      </c>
      <c r="C318" s="67" t="inlineStr">
        <is>
          <t>8485</t>
        </is>
      </c>
      <c r="D318" s="68" t="inlineStr">
        <is>
          <t>01</t>
        </is>
      </c>
      <c r="E318" s="68" t="inlineStr">
        <is>
          <t>6 物业施工费</t>
        </is>
      </c>
      <c r="F318" s="68" t="inlineStr">
        <is>
          <t>6.1 总承包工程</t>
        </is>
      </c>
      <c r="G318" s="68" t="inlineStr">
        <is>
          <t>6.1.1 内部装修工程</t>
        </is>
      </c>
      <c r="H318" s="68" t="inlineStr">
        <is>
          <t>外立面装修</t>
        </is>
      </c>
      <c r="I318" s="69" t="inlineStr">
        <is>
          <t>1000081637</t>
        </is>
      </c>
      <c r="J318" s="69" t="inlineStr">
        <is>
          <t>窄边不锈钢双开门连门框及全部配件（主材，力保）</t>
        </is>
      </c>
      <c r="K318" s="70" t="n"/>
      <c r="L318" s="70" t="n"/>
      <c r="M318" s="71" t="inlineStr">
        <is>
          <t>樘</t>
        </is>
      </c>
      <c r="N318" s="72" t="n">
        <v>6589.06</v>
      </c>
      <c r="O318" s="72">
        <f>ROUND(N318*(1+$F$10),2)</f>
        <v/>
      </c>
      <c r="P318" s="73">
        <f>ROUND(K318*N318,2)</f>
        <v/>
      </c>
      <c r="Q318" s="74">
        <f>ROUND(L318*N318,2)</f>
        <v/>
      </c>
      <c r="R318" s="75" t="n"/>
      <c r="S318" s="76" t="n"/>
      <c r="T318" s="77">
        <f>K318-L318</f>
        <v/>
      </c>
      <c r="U318" s="77">
        <f>P318-Q318</f>
        <v/>
      </c>
      <c r="V318" s="77">
        <f>ABS(U318)</f>
        <v/>
      </c>
      <c r="W318" s="78">
        <f>T318/L318</f>
        <v/>
      </c>
      <c r="X318" s="79">
        <f>ABS(W318)</f>
        <v/>
      </c>
      <c r="AG318" s="80" t="inlineStr">
        <is>
          <t>个数</t>
        </is>
      </c>
    </row>
    <row r="319" ht="11.4" customHeight="1">
      <c r="A319" s="67" t="inlineStr">
        <is>
          <t>148</t>
        </is>
      </c>
      <c r="B319" s="67" t="inlineStr">
        <is>
          <t>1154</t>
        </is>
      </c>
      <c r="C319" s="67" t="inlineStr">
        <is>
          <t>8485</t>
        </is>
      </c>
      <c r="D319" s="68" t="inlineStr">
        <is>
          <t>01</t>
        </is>
      </c>
      <c r="E319" s="68" t="inlineStr">
        <is>
          <t>6 物业施工费</t>
        </is>
      </c>
      <c r="F319" s="68" t="inlineStr">
        <is>
          <t>6.1 总承包工程</t>
        </is>
      </c>
      <c r="G319" s="68" t="inlineStr">
        <is>
          <t>6.1.1 内部装修工程</t>
        </is>
      </c>
      <c r="H319" s="68" t="inlineStr">
        <is>
          <t>外立面装修</t>
        </is>
      </c>
      <c r="I319" s="69" t="inlineStr">
        <is>
          <t>1000081638</t>
        </is>
      </c>
      <c r="J319" s="69" t="inlineStr">
        <is>
          <t>窄边不锈钢单开门连门框及全部配件（主材，力保）</t>
        </is>
      </c>
      <c r="K319" s="70" t="n"/>
      <c r="L319" s="70" t="n"/>
      <c r="M319" s="71" t="inlineStr">
        <is>
          <t>樘</t>
        </is>
      </c>
      <c r="N319" s="72" t="n">
        <v>3398.32</v>
      </c>
      <c r="O319" s="72">
        <f>ROUND(N319*(1+$F$10),2)</f>
        <v/>
      </c>
      <c r="P319" s="73">
        <f>ROUND(K319*N319,2)</f>
        <v/>
      </c>
      <c r="Q319" s="74">
        <f>ROUND(L319*N319,2)</f>
        <v/>
      </c>
      <c r="R319" s="75" t="n"/>
      <c r="S319" s="76" t="n"/>
      <c r="T319" s="77">
        <f>K319-L319</f>
        <v/>
      </c>
      <c r="U319" s="77">
        <f>P319-Q319</f>
        <v/>
      </c>
      <c r="V319" s="77">
        <f>ABS(U319)</f>
        <v/>
      </c>
      <c r="W319" s="78">
        <f>T319/L319</f>
        <v/>
      </c>
      <c r="X319" s="79">
        <f>ABS(W319)</f>
        <v/>
      </c>
      <c r="AG319" s="80" t="inlineStr">
        <is>
          <t>个数</t>
        </is>
      </c>
    </row>
    <row r="320" ht="11.4" customHeight="1">
      <c r="A320" s="67" t="inlineStr">
        <is>
          <t>59</t>
        </is>
      </c>
      <c r="B320" s="67" t="inlineStr">
        <is>
          <t>1057</t>
        </is>
      </c>
      <c r="C320" s="67" t="inlineStr">
        <is>
          <t>1611</t>
        </is>
      </c>
      <c r="D320" s="68" t="inlineStr">
        <is>
          <t>01</t>
        </is>
      </c>
      <c r="E320" s="68" t="inlineStr">
        <is>
          <t>6 物业施工费</t>
        </is>
      </c>
      <c r="F320" s="68" t="inlineStr">
        <is>
          <t>6.1 总承包工程</t>
        </is>
      </c>
      <c r="G320" s="68" t="inlineStr">
        <is>
          <t>6.1.1 内部装修工程</t>
        </is>
      </c>
      <c r="H320" s="68" t="inlineStr">
        <is>
          <t>外立面装修</t>
        </is>
      </c>
      <c r="I320" s="69" t="inlineStr">
        <is>
          <t>1000021798</t>
        </is>
      </c>
      <c r="J320" s="69" t="inlineStr">
        <is>
          <t>(安装)铝合金双开门连门框</t>
        </is>
      </c>
      <c r="K320" s="70" t="n">
        <v>1</v>
      </c>
      <c r="L320" s="70" t="n">
        <v>1</v>
      </c>
      <c r="M320" s="71" t="inlineStr">
        <is>
          <t>樘</t>
        </is>
      </c>
      <c r="N320" s="72" t="n">
        <v>539.86</v>
      </c>
      <c r="O320" s="72">
        <f>ROUND(N320*(1+$F$10),2)</f>
        <v/>
      </c>
      <c r="P320" s="73">
        <f>ROUND(K320*N320,2)</f>
        <v/>
      </c>
      <c r="Q320" s="74">
        <f>ROUND(L320*N320,2)</f>
        <v/>
      </c>
      <c r="R320" s="75" t="n"/>
      <c r="S320" s="76" t="n"/>
      <c r="T320" s="77">
        <f>K320-L320</f>
        <v/>
      </c>
      <c r="U320" s="77">
        <f>P320-Q320</f>
        <v/>
      </c>
      <c r="V320" s="77">
        <f>ABS(U320)</f>
        <v/>
      </c>
      <c r="W320" s="78">
        <f>T320/L320</f>
        <v/>
      </c>
      <c r="X320" s="79">
        <f>ABS(W320)</f>
        <v/>
      </c>
      <c r="AG320" s="80" t="inlineStr">
        <is>
          <t>个数</t>
        </is>
      </c>
    </row>
    <row r="321" ht="11.4" customHeight="1">
      <c r="A321" s="67" t="inlineStr">
        <is>
          <t>59</t>
        </is>
      </c>
      <c r="B321" s="67" t="inlineStr">
        <is>
          <t>1057</t>
        </is>
      </c>
      <c r="C321" s="67" t="inlineStr">
        <is>
          <t>1611</t>
        </is>
      </c>
      <c r="D321" s="68" t="inlineStr">
        <is>
          <t>01</t>
        </is>
      </c>
      <c r="E321" s="68" t="inlineStr">
        <is>
          <t>6 物业施工费</t>
        </is>
      </c>
      <c r="F321" s="68" t="inlineStr">
        <is>
          <t>6.1 总承包工程</t>
        </is>
      </c>
      <c r="G321" s="68" t="inlineStr">
        <is>
          <t>6.1.1 内部装修工程</t>
        </is>
      </c>
      <c r="H321" s="68" t="inlineStr">
        <is>
          <t>外立面装修</t>
        </is>
      </c>
      <c r="I321" s="69" t="inlineStr">
        <is>
          <t>1000021799</t>
        </is>
      </c>
      <c r="J321" s="69" t="inlineStr">
        <is>
          <t>(安装)铝合金单开门连门框</t>
        </is>
      </c>
      <c r="K321" s="70" t="n">
        <v>1</v>
      </c>
      <c r="L321" s="70" t="n">
        <v>1</v>
      </c>
      <c r="M321" s="71" t="inlineStr">
        <is>
          <t>樘</t>
        </is>
      </c>
      <c r="N321" s="72" t="n">
        <v>311.29</v>
      </c>
      <c r="O321" s="72">
        <f>ROUND(N321*(1+$F$10),2)</f>
        <v/>
      </c>
      <c r="P321" s="73">
        <f>ROUND(K321*N321,2)</f>
        <v/>
      </c>
      <c r="Q321" s="74">
        <f>ROUND(L321*N321,2)</f>
        <v/>
      </c>
      <c r="R321" s="75" t="n"/>
      <c r="S321" s="76" t="n"/>
      <c r="T321" s="77">
        <f>K321-L321</f>
        <v/>
      </c>
      <c r="U321" s="77">
        <f>P321-Q321</f>
        <v/>
      </c>
      <c r="V321" s="77">
        <f>ABS(U321)</f>
        <v/>
      </c>
      <c r="W321" s="78">
        <f>T321/L321</f>
        <v/>
      </c>
      <c r="X321" s="79">
        <f>ABS(W321)</f>
        <v/>
      </c>
      <c r="AG321" s="80" t="inlineStr">
        <is>
          <t>个数</t>
        </is>
      </c>
    </row>
    <row r="322" ht="11.4" customHeight="1">
      <c r="A322" s="67" t="inlineStr">
        <is>
          <t>59</t>
        </is>
      </c>
      <c r="B322" s="67" t="inlineStr">
        <is>
          <t>1057</t>
        </is>
      </c>
      <c r="C322" s="67" t="inlineStr">
        <is>
          <t>1611</t>
        </is>
      </c>
      <c r="D322" s="68" t="inlineStr">
        <is>
          <t>01</t>
        </is>
      </c>
      <c r="E322" s="68" t="inlineStr">
        <is>
          <t>6 物业施工费</t>
        </is>
      </c>
      <c r="F322" s="68" t="inlineStr">
        <is>
          <t>6.1 总承包工程</t>
        </is>
      </c>
      <c r="G322" s="68" t="inlineStr">
        <is>
          <t>6.1.1 内部装修工程</t>
        </is>
      </c>
      <c r="H322" s="68" t="inlineStr">
        <is>
          <t>外立面装修</t>
        </is>
      </c>
      <c r="I322" s="69" t="inlineStr">
        <is>
          <t>1000021801</t>
        </is>
      </c>
      <c r="J322" s="84" t="inlineStr">
        <is>
          <t>红色门头安装</t>
        </is>
      </c>
      <c r="K322" s="70" t="n"/>
      <c r="L322" s="70" t="n"/>
      <c r="M322" s="71" t="inlineStr">
        <is>
          <t>米</t>
        </is>
      </c>
      <c r="N322" s="72" t="n">
        <v>308.83</v>
      </c>
      <c r="O322" s="72">
        <f>ROUND(N322*(1+$F$10),2)</f>
        <v/>
      </c>
      <c r="P322" s="73">
        <f>ROUND(K322*N322,2)</f>
        <v/>
      </c>
      <c r="Q322" s="74">
        <f>ROUND(L322*N322,2)</f>
        <v/>
      </c>
      <c r="R322" s="75" t="n"/>
      <c r="S322" s="76" t="n"/>
      <c r="T322" s="77">
        <f>K322-L322</f>
        <v/>
      </c>
      <c r="U322" s="77">
        <f>P322-Q322</f>
        <v/>
      </c>
      <c r="V322" s="77">
        <f>ABS(U322)</f>
        <v/>
      </c>
      <c r="W322" s="78">
        <f>T322/L322</f>
        <v/>
      </c>
      <c r="X322" s="79">
        <f>ABS(W322)</f>
        <v/>
      </c>
      <c r="AG322" s="80" t="inlineStr">
        <is>
          <t>正面长度</t>
        </is>
      </c>
    </row>
    <row r="323" ht="11.4" customHeight="1">
      <c r="A323" s="67" t="inlineStr">
        <is>
          <t>60</t>
        </is>
      </c>
      <c r="B323" s="67" t="inlineStr">
        <is>
          <t>1058</t>
        </is>
      </c>
      <c r="C323" s="67" t="inlineStr">
        <is>
          <t>1611</t>
        </is>
      </c>
      <c r="D323" s="68" t="inlineStr">
        <is>
          <t>01</t>
        </is>
      </c>
      <c r="E323" s="68" t="inlineStr">
        <is>
          <t>6 物业施工费</t>
        </is>
      </c>
      <c r="F323" s="68" t="inlineStr">
        <is>
          <t>6.1 总承包工程</t>
        </is>
      </c>
      <c r="G323" s="68" t="inlineStr">
        <is>
          <t>6.1.1 内部装修工程</t>
        </is>
      </c>
      <c r="H323" s="68" t="inlineStr">
        <is>
          <t>柜台</t>
        </is>
      </c>
      <c r="I323" s="69" t="inlineStr">
        <is>
          <t>1000021802</t>
        </is>
      </c>
      <c r="J323" s="69" t="inlineStr">
        <is>
          <t>钢木结构柜台连面板及柜台立面(台面+立面人造石)</t>
        </is>
      </c>
      <c r="K323" s="70" t="n"/>
      <c r="L323" s="70" t="n"/>
      <c r="M323" s="71" t="inlineStr">
        <is>
          <t>米</t>
        </is>
      </c>
      <c r="N323" s="72" t="n">
        <v>4211.65</v>
      </c>
      <c r="O323" s="72">
        <f>ROUND(N323*(1+$F$10),2)</f>
        <v/>
      </c>
      <c r="P323" s="73">
        <f>ROUND(K323*N323,2)</f>
        <v/>
      </c>
      <c r="Q323" s="74">
        <f>ROUND(L323*N323,2)</f>
        <v/>
      </c>
      <c r="R323" s="75" t="n"/>
      <c r="S323" s="76" t="n"/>
      <c r="T323" s="77">
        <f>K323-L323</f>
        <v/>
      </c>
      <c r="U323" s="77">
        <f>P323-Q323</f>
        <v/>
      </c>
      <c r="V323" s="77">
        <f>ABS(U323)</f>
        <v/>
      </c>
      <c r="W323" s="78">
        <f>T323/L323</f>
        <v/>
      </c>
      <c r="X323" s="79">
        <f>ABS(W323)</f>
        <v/>
      </c>
      <c r="AH323" s="80" t="inlineStr">
        <is>
          <t>调整</t>
        </is>
      </c>
    </row>
    <row r="324" ht="11.4" customHeight="1">
      <c r="A324" s="67" t="inlineStr">
        <is>
          <t>60</t>
        </is>
      </c>
      <c r="B324" s="67" t="inlineStr">
        <is>
          <t>1058</t>
        </is>
      </c>
      <c r="C324" s="67" t="inlineStr">
        <is>
          <t>1611</t>
        </is>
      </c>
      <c r="D324" s="68" t="inlineStr">
        <is>
          <t>01</t>
        </is>
      </c>
      <c r="E324" s="68" t="inlineStr">
        <is>
          <t>6 物业施工费</t>
        </is>
      </c>
      <c r="F324" s="68" t="inlineStr">
        <is>
          <t>6.1 总承包工程</t>
        </is>
      </c>
      <c r="G324" s="68" t="inlineStr">
        <is>
          <t>6.1.1 内部装修工程</t>
        </is>
      </c>
      <c r="H324" s="68" t="inlineStr">
        <is>
          <t>柜台</t>
        </is>
      </c>
      <c r="I324" s="69" t="inlineStr">
        <is>
          <t>1000022158</t>
        </is>
      </c>
      <c r="J324" s="69" t="inlineStr">
        <is>
          <t>主店柜台安装（3+1成品柜台）</t>
        </is>
      </c>
      <c r="K324" s="70" t="n">
        <v>1</v>
      </c>
      <c r="L324" s="70" t="n">
        <v>1</v>
      </c>
      <c r="M324" s="71" t="inlineStr">
        <is>
          <t>项</t>
        </is>
      </c>
      <c r="N324" s="72" t="n">
        <v>1130</v>
      </c>
      <c r="O324" s="72">
        <f>ROUND(N324*(1+$F$10),2)</f>
        <v/>
      </c>
      <c r="P324" s="73">
        <f>ROUND(K324*N324,2)</f>
        <v/>
      </c>
      <c r="Q324" s="74">
        <f>ROUND(L324*N324,2)</f>
        <v/>
      </c>
      <c r="R324" s="75" t="n"/>
      <c r="S324" s="76" t="n"/>
      <c r="T324" s="77">
        <f>K324-L324</f>
        <v/>
      </c>
      <c r="U324" s="77">
        <f>P324-Q324</f>
        <v/>
      </c>
      <c r="V324" s="77">
        <f>ABS(U324)</f>
        <v/>
      </c>
      <c r="W324" s="78">
        <f>T324/L324</f>
        <v/>
      </c>
      <c r="X324" s="79">
        <f>ABS(W324)</f>
        <v/>
      </c>
      <c r="AH324" s="80" t="inlineStr">
        <is>
          <t>常规餐厅配置</t>
        </is>
      </c>
    </row>
    <row r="325" ht="11.4" customHeight="1">
      <c r="A325" s="67" t="inlineStr">
        <is>
          <t>61</t>
        </is>
      </c>
      <c r="B325" s="67" t="inlineStr">
        <is>
          <t>1059</t>
        </is>
      </c>
      <c r="C325" s="67" t="inlineStr">
        <is>
          <t>1611</t>
        </is>
      </c>
      <c r="D325" s="68" t="inlineStr">
        <is>
          <t>01</t>
        </is>
      </c>
      <c r="E325" s="68" t="inlineStr">
        <is>
          <t>6 物业施工费</t>
        </is>
      </c>
      <c r="F325" s="68" t="inlineStr">
        <is>
          <t>6.1 总承包工程</t>
        </is>
      </c>
      <c r="G325" s="68" t="inlineStr">
        <is>
          <t>6.1.1 内部装修工程</t>
        </is>
      </c>
      <c r="H325" s="68" t="inlineStr">
        <is>
          <t>卫生间地面</t>
        </is>
      </c>
      <c r="I325" s="69" t="inlineStr">
        <is>
          <t>1000021456</t>
        </is>
      </c>
      <c r="J325" s="69" t="inlineStr">
        <is>
          <t>国产同质砖（琛雄，含不超过50mm厚的找平层）</t>
        </is>
      </c>
      <c r="K325" s="70" t="n"/>
      <c r="L325" s="70" t="n"/>
      <c r="M325" s="71" t="inlineStr">
        <is>
          <t>m2</t>
        </is>
      </c>
      <c r="N325" s="72" t="n">
        <v>180.78</v>
      </c>
      <c r="O325" s="72">
        <f>ROUND(N325*(1+$F$10),2)</f>
        <v/>
      </c>
      <c r="P325" s="73">
        <f>ROUND(K325*N325,2)</f>
        <v/>
      </c>
      <c r="Q325" s="74">
        <f>ROUND(L325*N325,2)</f>
        <v/>
      </c>
      <c r="R325" s="75" t="n"/>
      <c r="S325" s="76" t="n"/>
      <c r="T325" s="77">
        <f>K325-L325</f>
        <v/>
      </c>
      <c r="U325" s="77">
        <f>P325-Q325</f>
        <v/>
      </c>
      <c r="V325" s="77">
        <f>ABS(U325)</f>
        <v/>
      </c>
      <c r="W325" s="78">
        <f>T325/L325</f>
        <v/>
      </c>
      <c r="X325" s="79">
        <f>ABS(W325)</f>
        <v/>
      </c>
      <c r="AG325" s="80" t="inlineStr">
        <is>
          <t>楼板面积+基本墙面积</t>
        </is>
      </c>
    </row>
    <row r="326" ht="11.4" customHeight="1">
      <c r="A326" s="67" t="inlineStr">
        <is>
          <t>61</t>
        </is>
      </c>
      <c r="B326" s="67" t="inlineStr">
        <is>
          <t>1059</t>
        </is>
      </c>
      <c r="C326" s="67" t="inlineStr">
        <is>
          <t>1611</t>
        </is>
      </c>
      <c r="D326" s="68" t="inlineStr">
        <is>
          <t>01</t>
        </is>
      </c>
      <c r="E326" s="68" t="inlineStr">
        <is>
          <t>6 物业施工费</t>
        </is>
      </c>
      <c r="F326" s="68" t="inlineStr">
        <is>
          <t>6.1 总承包工程</t>
        </is>
      </c>
      <c r="G326" s="68" t="inlineStr">
        <is>
          <t>6.1.1 内部装修工程</t>
        </is>
      </c>
      <c r="H326" s="68" t="inlineStr">
        <is>
          <t>卫生间地面</t>
        </is>
      </c>
      <c r="I326" s="69" t="inlineStr">
        <is>
          <t>1000021457</t>
        </is>
      </c>
      <c r="J326" s="69" t="inlineStr">
        <is>
          <t>国产同质砖踢脚（琛雄）</t>
        </is>
      </c>
      <c r="K326" s="70" t="n"/>
      <c r="L326" s="70" t="n"/>
      <c r="M326" s="71" t="inlineStr">
        <is>
          <t>米</t>
        </is>
      </c>
      <c r="N326" s="72" t="n">
        <v>41.36</v>
      </c>
      <c r="O326" s="72">
        <f>ROUND(N326*(1+$F$10),2)</f>
        <v/>
      </c>
      <c r="P326" s="73">
        <f>ROUND(K326*N326,2)</f>
        <v/>
      </c>
      <c r="Q326" s="74">
        <f>ROUND(L326*N326,2)</f>
        <v/>
      </c>
      <c r="R326" s="75" t="n"/>
      <c r="S326" s="76" t="n"/>
      <c r="T326" s="77">
        <f>K326-L326</f>
        <v/>
      </c>
      <c r="U326" s="77">
        <f>P326-Q326</f>
        <v/>
      </c>
      <c r="V326" s="77">
        <f>ABS(U326)</f>
        <v/>
      </c>
      <c r="W326" s="78">
        <f>T326/L326</f>
        <v/>
      </c>
      <c r="X326" s="79">
        <f>ABS(W326)</f>
        <v/>
      </c>
      <c r="AG326" s="80" t="inlineStr">
        <is>
          <t>踢脚线长度</t>
        </is>
      </c>
    </row>
    <row r="327" ht="11.4" customHeight="1">
      <c r="A327" s="67" t="inlineStr">
        <is>
          <t>61</t>
        </is>
      </c>
      <c r="B327" s="67" t="inlineStr">
        <is>
          <t>1059</t>
        </is>
      </c>
      <c r="C327" s="67" t="inlineStr">
        <is>
          <t>1611</t>
        </is>
      </c>
      <c r="D327" s="68" t="inlineStr">
        <is>
          <t>01</t>
        </is>
      </c>
      <c r="E327" s="68" t="inlineStr">
        <is>
          <t>6 物业施工费</t>
        </is>
      </c>
      <c r="F327" s="68" t="inlineStr">
        <is>
          <t>6.1 总承包工程</t>
        </is>
      </c>
      <c r="G327" s="68" t="inlineStr">
        <is>
          <t>6.1.1 内部装修工程</t>
        </is>
      </c>
      <c r="H327" s="68" t="inlineStr">
        <is>
          <t>卫生间地面</t>
        </is>
      </c>
      <c r="I327" s="69" t="inlineStr">
        <is>
          <t>1000021643</t>
        </is>
      </c>
      <c r="J327" s="69" t="inlineStr">
        <is>
          <t>国产同质砖（共荣，含不超过50mm厚的找平层）</t>
        </is>
      </c>
      <c r="K327" s="70" t="n"/>
      <c r="L327" s="70" t="n"/>
      <c r="M327" s="71" t="inlineStr">
        <is>
          <t>m2</t>
        </is>
      </c>
      <c r="N327" s="72" t="n">
        <v>160.21</v>
      </c>
      <c r="O327" s="72">
        <f>ROUND(N327*(1+$F$10),2)</f>
        <v/>
      </c>
      <c r="P327" s="73">
        <f>ROUND(K327*N327,2)</f>
        <v/>
      </c>
      <c r="Q327" s="74">
        <f>ROUND(L327*N327,2)</f>
        <v/>
      </c>
      <c r="R327" s="75" t="n"/>
      <c r="S327" s="76" t="n"/>
      <c r="T327" s="77">
        <f>K327-L327</f>
        <v/>
      </c>
      <c r="U327" s="77">
        <f>P327-Q327</f>
        <v/>
      </c>
      <c r="V327" s="77">
        <f>ABS(U327)</f>
        <v/>
      </c>
      <c r="W327" s="78">
        <f>T327/L327</f>
        <v/>
      </c>
      <c r="X327" s="79">
        <f>ABS(W327)</f>
        <v/>
      </c>
      <c r="AG327" s="80" t="inlineStr">
        <is>
          <t>楼板面积+基本墙面积</t>
        </is>
      </c>
    </row>
    <row r="328" ht="11.4" customHeight="1">
      <c r="A328" s="67" t="inlineStr">
        <is>
          <t>61</t>
        </is>
      </c>
      <c r="B328" s="67" t="inlineStr">
        <is>
          <t>1059</t>
        </is>
      </c>
      <c r="C328" s="67" t="inlineStr">
        <is>
          <t>1611</t>
        </is>
      </c>
      <c r="D328" s="68" t="inlineStr">
        <is>
          <t>01</t>
        </is>
      </c>
      <c r="E328" s="68" t="inlineStr">
        <is>
          <t>6 物业施工费</t>
        </is>
      </c>
      <c r="F328" s="68" t="inlineStr">
        <is>
          <t>6.1 总承包工程</t>
        </is>
      </c>
      <c r="G328" s="68" t="inlineStr">
        <is>
          <t>6.1.1 内部装修工程</t>
        </is>
      </c>
      <c r="H328" s="68" t="inlineStr">
        <is>
          <t>卫生间地面</t>
        </is>
      </c>
      <c r="I328" s="69" t="inlineStr">
        <is>
          <t>1000021644</t>
        </is>
      </c>
      <c r="J328" s="69" t="inlineStr">
        <is>
          <t>国产同质砖踢脚（共荣）</t>
        </is>
      </c>
      <c r="K328" s="70" t="n"/>
      <c r="L328" s="70" t="n"/>
      <c r="M328" s="71" t="inlineStr">
        <is>
          <t>米</t>
        </is>
      </c>
      <c r="N328" s="72" t="n">
        <v>38.94</v>
      </c>
      <c r="O328" s="72">
        <f>ROUND(N328*(1+$F$10),2)</f>
        <v/>
      </c>
      <c r="P328" s="73">
        <f>ROUND(K328*N328,2)</f>
        <v/>
      </c>
      <c r="Q328" s="74">
        <f>ROUND(L328*N328,2)</f>
        <v/>
      </c>
      <c r="R328" s="75" t="n"/>
      <c r="S328" s="76" t="n"/>
      <c r="T328" s="77">
        <f>K328-L328</f>
        <v/>
      </c>
      <c r="U328" s="77">
        <f>P328-Q328</f>
        <v/>
      </c>
      <c r="V328" s="77">
        <f>ABS(U328)</f>
        <v/>
      </c>
      <c r="W328" s="78">
        <f>T328/L328</f>
        <v/>
      </c>
      <c r="X328" s="79">
        <f>ABS(W328)</f>
        <v/>
      </c>
      <c r="AG328" s="80" t="inlineStr">
        <is>
          <t>踢脚线长度</t>
        </is>
      </c>
    </row>
    <row r="329" ht="11.4" customHeight="1">
      <c r="A329" s="67" t="inlineStr">
        <is>
          <t>61</t>
        </is>
      </c>
      <c r="B329" s="67" t="inlineStr">
        <is>
          <t>1059</t>
        </is>
      </c>
      <c r="C329" s="67" t="inlineStr">
        <is>
          <t>1611</t>
        </is>
      </c>
      <c r="D329" s="68" t="inlineStr">
        <is>
          <t>01</t>
        </is>
      </c>
      <c r="E329" s="68" t="inlineStr">
        <is>
          <t>6 物业施工费</t>
        </is>
      </c>
      <c r="F329" s="68" t="inlineStr">
        <is>
          <t>6.1 总承包工程</t>
        </is>
      </c>
      <c r="G329" s="68" t="inlineStr">
        <is>
          <t>6.1.1 内部装修工程</t>
        </is>
      </c>
      <c r="H329" s="68" t="inlineStr">
        <is>
          <t>卫生间地面</t>
        </is>
      </c>
      <c r="I329" s="69" t="inlineStr">
        <is>
          <t>1000021622</t>
        </is>
      </c>
      <c r="J329" s="69" t="inlineStr">
        <is>
          <t>国产同质砖（冠军，含不超过50mm厚的找平层）</t>
        </is>
      </c>
      <c r="K329" s="70" t="n"/>
      <c r="L329" s="70" t="n"/>
      <c r="M329" s="71" t="inlineStr">
        <is>
          <t>m2</t>
        </is>
      </c>
      <c r="N329" s="72" t="n">
        <v>181.99</v>
      </c>
      <c r="O329" s="72">
        <f>ROUND(N329*(1+$F$10),2)</f>
        <v/>
      </c>
      <c r="P329" s="73">
        <f>ROUND(K329*N329,2)</f>
        <v/>
      </c>
      <c r="Q329" s="74">
        <f>ROUND(L329*N329,2)</f>
        <v/>
      </c>
      <c r="R329" s="75" t="n"/>
      <c r="S329" s="76" t="n"/>
      <c r="T329" s="77">
        <f>K329-L329</f>
        <v/>
      </c>
      <c r="U329" s="77">
        <f>P329-Q329</f>
        <v/>
      </c>
      <c r="V329" s="77">
        <f>ABS(U329)</f>
        <v/>
      </c>
      <c r="W329" s="78">
        <f>T329/L329</f>
        <v/>
      </c>
      <c r="X329" s="79">
        <f>ABS(W329)</f>
        <v/>
      </c>
      <c r="AG329" s="80" t="inlineStr">
        <is>
          <t>楼板面积+基本墙面积</t>
        </is>
      </c>
    </row>
    <row r="330" ht="11.4" customHeight="1">
      <c r="A330" s="67" t="inlineStr">
        <is>
          <t>61</t>
        </is>
      </c>
      <c r="B330" s="67" t="inlineStr">
        <is>
          <t>1059</t>
        </is>
      </c>
      <c r="C330" s="67" t="inlineStr">
        <is>
          <t>1611</t>
        </is>
      </c>
      <c r="D330" s="68" t="inlineStr">
        <is>
          <t>01</t>
        </is>
      </c>
      <c r="E330" s="68" t="inlineStr">
        <is>
          <t>6 物业施工费</t>
        </is>
      </c>
      <c r="F330" s="68" t="inlineStr">
        <is>
          <t>6.1 总承包工程</t>
        </is>
      </c>
      <c r="G330" s="68" t="inlineStr">
        <is>
          <t>6.1.1 内部装修工程</t>
        </is>
      </c>
      <c r="H330" s="68" t="inlineStr">
        <is>
          <t>卫生间地面</t>
        </is>
      </c>
      <c r="I330" s="69" t="inlineStr">
        <is>
          <t>1000021623</t>
        </is>
      </c>
      <c r="J330" s="69" t="inlineStr">
        <is>
          <t>国产同质砖踢脚（冠军）</t>
        </is>
      </c>
      <c r="K330" s="70" t="n"/>
      <c r="L330" s="70" t="n"/>
      <c r="M330" s="71" t="inlineStr">
        <is>
          <t>米</t>
        </is>
      </c>
      <c r="N330" s="72" t="n">
        <v>42.57</v>
      </c>
      <c r="O330" s="72">
        <f>ROUND(N330*(1+$F$10),2)</f>
        <v/>
      </c>
      <c r="P330" s="73">
        <f>ROUND(K330*N330,2)</f>
        <v/>
      </c>
      <c r="Q330" s="74">
        <f>ROUND(L330*N330,2)</f>
        <v/>
      </c>
      <c r="R330" s="75" t="n"/>
      <c r="S330" s="76" t="n"/>
      <c r="T330" s="77">
        <f>K330-L330</f>
        <v/>
      </c>
      <c r="U330" s="77">
        <f>P330-Q330</f>
        <v/>
      </c>
      <c r="V330" s="77">
        <f>ABS(U330)</f>
        <v/>
      </c>
      <c r="W330" s="78">
        <f>T330/L330</f>
        <v/>
      </c>
      <c r="X330" s="79">
        <f>ABS(W330)</f>
        <v/>
      </c>
      <c r="AG330" s="80" t="inlineStr">
        <is>
          <t>踢脚线长度</t>
        </is>
      </c>
    </row>
    <row r="331" ht="11.4" customHeight="1">
      <c r="A331" s="67" t="inlineStr">
        <is>
          <t>61</t>
        </is>
      </c>
      <c r="B331" s="67" t="inlineStr">
        <is>
          <t>1059</t>
        </is>
      </c>
      <c r="C331" s="67" t="inlineStr">
        <is>
          <t>1611</t>
        </is>
      </c>
      <c r="D331" s="68" t="inlineStr">
        <is>
          <t>01</t>
        </is>
      </c>
      <c r="E331" s="68" t="inlineStr">
        <is>
          <t>6 物业施工费</t>
        </is>
      </c>
      <c r="F331" s="68" t="inlineStr">
        <is>
          <t>6.1 总承包工程</t>
        </is>
      </c>
      <c r="G331" s="68" t="inlineStr">
        <is>
          <t>6.1.1 内部装修工程</t>
        </is>
      </c>
      <c r="H331" s="68" t="inlineStr">
        <is>
          <t>卫生间地面</t>
        </is>
      </c>
      <c r="I331" s="69" t="inlineStr">
        <is>
          <t>1000051755</t>
        </is>
      </c>
      <c r="J331" s="69" t="inlineStr">
        <is>
          <t>600*600mm灰色水泥地砖（琛雄，含不超过50mm厚的找平层）</t>
        </is>
      </c>
      <c r="K331" s="70" t="n"/>
      <c r="L331" s="70" t="n"/>
      <c r="M331" s="71" t="inlineStr">
        <is>
          <t>m2</t>
        </is>
      </c>
      <c r="N331" s="72" t="n">
        <v>187.98</v>
      </c>
      <c r="O331" s="72">
        <f>ROUND(N331*(1+$F$10),2)</f>
        <v/>
      </c>
      <c r="P331" s="73">
        <f>ROUND(K331*N331,2)</f>
        <v/>
      </c>
      <c r="Q331" s="74">
        <f>ROUND(L331*N331,2)</f>
        <v/>
      </c>
      <c r="R331" s="75" t="n"/>
      <c r="S331" s="76" t="n"/>
      <c r="T331" s="77">
        <f>K331-L331</f>
        <v/>
      </c>
      <c r="U331" s="77">
        <f>P331-Q331</f>
        <v/>
      </c>
      <c r="V331" s="77">
        <f>ABS(U331)</f>
        <v/>
      </c>
      <c r="W331" s="78">
        <f>T331/L331</f>
        <v/>
      </c>
      <c r="X331" s="79">
        <f>ABS(W331)</f>
        <v/>
      </c>
      <c r="AG331" s="80" t="inlineStr">
        <is>
          <t>楼板面积+基本墙面积</t>
        </is>
      </c>
    </row>
    <row r="332" ht="11.4" customHeight="1">
      <c r="A332" s="67" t="inlineStr">
        <is>
          <t>61</t>
        </is>
      </c>
      <c r="B332" s="67" t="inlineStr">
        <is>
          <t>1059</t>
        </is>
      </c>
      <c r="C332" s="67" t="inlineStr">
        <is>
          <t>1611</t>
        </is>
      </c>
      <c r="D332" s="68" t="inlineStr">
        <is>
          <t>01</t>
        </is>
      </c>
      <c r="E332" s="68" t="inlineStr">
        <is>
          <t>6 物业施工费</t>
        </is>
      </c>
      <c r="F332" s="68" t="inlineStr">
        <is>
          <t>6.1 总承包工程</t>
        </is>
      </c>
      <c r="G332" s="68" t="inlineStr">
        <is>
          <t>6.1.1 内部装修工程</t>
        </is>
      </c>
      <c r="H332" s="68" t="inlineStr">
        <is>
          <t>卫生间地面</t>
        </is>
      </c>
      <c r="I332" s="69" t="inlineStr">
        <is>
          <t>1000051756</t>
        </is>
      </c>
      <c r="J332" s="69" t="inlineStr">
        <is>
          <t>600*600mm灰色水泥地砖（共荣，含不超过50mm厚的找平层）</t>
        </is>
      </c>
      <c r="K332" s="70" t="n"/>
      <c r="L332" s="70" t="n"/>
      <c r="M332" s="71" t="inlineStr">
        <is>
          <t>m2</t>
        </is>
      </c>
      <c r="N332" s="72" t="n">
        <v>171.66</v>
      </c>
      <c r="O332" s="72">
        <f>ROUND(N332*(1+$F$10),2)</f>
        <v/>
      </c>
      <c r="P332" s="73">
        <f>ROUND(K332*N332,2)</f>
        <v/>
      </c>
      <c r="Q332" s="74">
        <f>ROUND(L332*N332,2)</f>
        <v/>
      </c>
      <c r="R332" s="75" t="n"/>
      <c r="S332" s="76" t="n"/>
      <c r="T332" s="77">
        <f>K332-L332</f>
        <v/>
      </c>
      <c r="U332" s="77">
        <f>P332-Q332</f>
        <v/>
      </c>
      <c r="V332" s="77">
        <f>ABS(U332)</f>
        <v/>
      </c>
      <c r="W332" s="78">
        <f>T332/L332</f>
        <v/>
      </c>
      <c r="X332" s="79">
        <f>ABS(W332)</f>
        <v/>
      </c>
      <c r="AG332" s="80" t="inlineStr">
        <is>
          <t>楼板面积+基本墙面积</t>
        </is>
      </c>
    </row>
    <row r="333" ht="11.4" customHeight="1">
      <c r="A333" s="67" t="inlineStr">
        <is>
          <t>61</t>
        </is>
      </c>
      <c r="B333" s="67" t="inlineStr">
        <is>
          <t>1059</t>
        </is>
      </c>
      <c r="C333" s="67" t="inlineStr">
        <is>
          <t>1611</t>
        </is>
      </c>
      <c r="D333" s="68" t="inlineStr">
        <is>
          <t>01</t>
        </is>
      </c>
      <c r="E333" s="68" t="inlineStr">
        <is>
          <t>6 物业施工费</t>
        </is>
      </c>
      <c r="F333" s="68" t="inlineStr">
        <is>
          <t>6.1 总承包工程</t>
        </is>
      </c>
      <c r="G333" s="68" t="inlineStr">
        <is>
          <t>6.1.1 内部装修工程</t>
        </is>
      </c>
      <c r="H333" s="68" t="inlineStr">
        <is>
          <t>卫生间地面</t>
        </is>
      </c>
      <c r="I333" s="69" t="inlineStr">
        <is>
          <t>1000051757</t>
        </is>
      </c>
      <c r="J333" s="69" t="inlineStr">
        <is>
          <t>600*600mm灰色水泥地砖（冠军，含不超过50mm厚的找平层）</t>
        </is>
      </c>
      <c r="K333" s="70" t="n"/>
      <c r="L333" s="70" t="n"/>
      <c r="M333" s="71" t="inlineStr">
        <is>
          <t>m2</t>
        </is>
      </c>
      <c r="N333" s="72" t="n">
        <v>189.15</v>
      </c>
      <c r="O333" s="72">
        <f>ROUND(N333*(1+$F$10),2)</f>
        <v/>
      </c>
      <c r="P333" s="73">
        <f>ROUND(K333*N333,2)</f>
        <v/>
      </c>
      <c r="Q333" s="74">
        <f>ROUND(L333*N333,2)</f>
        <v/>
      </c>
      <c r="R333" s="75" t="n"/>
      <c r="S333" s="76" t="n"/>
      <c r="T333" s="77">
        <f>K333-L333</f>
        <v/>
      </c>
      <c r="U333" s="77">
        <f>P333-Q333</f>
        <v/>
      </c>
      <c r="V333" s="77">
        <f>ABS(U333)</f>
        <v/>
      </c>
      <c r="W333" s="78">
        <f>T333/L333</f>
        <v/>
      </c>
      <c r="X333" s="79">
        <f>ABS(W333)</f>
        <v/>
      </c>
      <c r="AG333" s="80" t="inlineStr">
        <is>
          <t>楼板面积+基本墙面积</t>
        </is>
      </c>
    </row>
    <row r="334" ht="11.4" customHeight="1">
      <c r="A334" s="67" t="inlineStr">
        <is>
          <t>61</t>
        </is>
      </c>
      <c r="B334" s="67" t="inlineStr">
        <is>
          <t>1059</t>
        </is>
      </c>
      <c r="C334" s="67" t="inlineStr">
        <is>
          <t>1611</t>
        </is>
      </c>
      <c r="D334" s="68" t="inlineStr">
        <is>
          <t>01</t>
        </is>
      </c>
      <c r="E334" s="68" t="inlineStr">
        <is>
          <t>6 物业施工费</t>
        </is>
      </c>
      <c r="F334" s="68" t="inlineStr">
        <is>
          <t>6.1 总承包工程</t>
        </is>
      </c>
      <c r="G334" s="68" t="inlineStr">
        <is>
          <t>6.1.1 内部装修工程</t>
        </is>
      </c>
      <c r="H334" s="68" t="inlineStr">
        <is>
          <t>卫生间地面</t>
        </is>
      </c>
      <c r="I334" s="69" t="inlineStr">
        <is>
          <t>1000053612</t>
        </is>
      </c>
      <c r="J334" s="69" t="inlineStr">
        <is>
          <t>灰色水泥纹踢脚（琛雄）</t>
        </is>
      </c>
      <c r="K334" s="70" t="n"/>
      <c r="L334" s="70" t="n"/>
      <c r="M334" s="71" t="inlineStr">
        <is>
          <t>米</t>
        </is>
      </c>
      <c r="N334" s="72" t="n">
        <v>41.36</v>
      </c>
      <c r="O334" s="72">
        <f>ROUND(N334*(1+$F$10),2)</f>
        <v/>
      </c>
      <c r="P334" s="73">
        <f>ROUND(K334*N334,2)</f>
        <v/>
      </c>
      <c r="Q334" s="74">
        <f>ROUND(L334*N334,2)</f>
        <v/>
      </c>
      <c r="R334" s="75" t="n"/>
      <c r="S334" s="76" t="n"/>
      <c r="T334" s="77">
        <f>K334-L334</f>
        <v/>
      </c>
      <c r="U334" s="77">
        <f>P334-Q334</f>
        <v/>
      </c>
      <c r="V334" s="77">
        <f>ABS(U334)</f>
        <v/>
      </c>
      <c r="W334" s="78">
        <f>T334/L334</f>
        <v/>
      </c>
      <c r="X334" s="79">
        <f>ABS(W334)</f>
        <v/>
      </c>
      <c r="AG334" s="80" t="inlineStr">
        <is>
          <t>踢脚线长度</t>
        </is>
      </c>
    </row>
    <row r="335" ht="11.4" customHeight="1">
      <c r="A335" s="67" t="inlineStr">
        <is>
          <t>61</t>
        </is>
      </c>
      <c r="B335" s="67" t="inlineStr">
        <is>
          <t>1059</t>
        </is>
      </c>
      <c r="C335" s="67" t="inlineStr">
        <is>
          <t>1611</t>
        </is>
      </c>
      <c r="D335" s="68" t="inlineStr">
        <is>
          <t>01</t>
        </is>
      </c>
      <c r="E335" s="68" t="inlineStr">
        <is>
          <t>6 物业施工费</t>
        </is>
      </c>
      <c r="F335" s="68" t="inlineStr">
        <is>
          <t>6.1 总承包工程</t>
        </is>
      </c>
      <c r="G335" s="68" t="inlineStr">
        <is>
          <t>6.1.1 内部装修工程</t>
        </is>
      </c>
      <c r="H335" s="68" t="inlineStr">
        <is>
          <t>卫生间地面</t>
        </is>
      </c>
      <c r="I335" s="69" t="inlineStr">
        <is>
          <t>1000053613</t>
        </is>
      </c>
      <c r="J335" s="69" t="inlineStr">
        <is>
          <t>灰色水泥纹踢脚（共荣）</t>
        </is>
      </c>
      <c r="K335" s="70" t="n"/>
      <c r="L335" s="70" t="n"/>
      <c r="M335" s="71" t="inlineStr">
        <is>
          <t>米</t>
        </is>
      </c>
      <c r="N335" s="72" t="n">
        <v>38.94</v>
      </c>
      <c r="O335" s="72">
        <f>ROUND(N335*(1+$F$10),2)</f>
        <v/>
      </c>
      <c r="P335" s="73">
        <f>ROUND(K335*N335,2)</f>
        <v/>
      </c>
      <c r="Q335" s="74">
        <f>ROUND(L335*N335,2)</f>
        <v/>
      </c>
      <c r="R335" s="75" t="n"/>
      <c r="S335" s="76" t="n"/>
      <c r="T335" s="77">
        <f>K335-L335</f>
        <v/>
      </c>
      <c r="U335" s="77">
        <f>P335-Q335</f>
        <v/>
      </c>
      <c r="V335" s="77">
        <f>ABS(U335)</f>
        <v/>
      </c>
      <c r="W335" s="78">
        <f>T335/L335</f>
        <v/>
      </c>
      <c r="X335" s="79">
        <f>ABS(W335)</f>
        <v/>
      </c>
      <c r="AG335" s="80" t="inlineStr">
        <is>
          <t>踢脚线长度</t>
        </is>
      </c>
    </row>
    <row r="336" ht="11.4" customHeight="1">
      <c r="A336" s="67" t="inlineStr">
        <is>
          <t>61</t>
        </is>
      </c>
      <c r="B336" s="67" t="inlineStr">
        <is>
          <t>1059</t>
        </is>
      </c>
      <c r="C336" s="67" t="inlineStr">
        <is>
          <t>1611</t>
        </is>
      </c>
      <c r="D336" s="68" t="inlineStr">
        <is>
          <t>01</t>
        </is>
      </c>
      <c r="E336" s="68" t="inlineStr">
        <is>
          <t>6 物业施工费</t>
        </is>
      </c>
      <c r="F336" s="68" t="inlineStr">
        <is>
          <t>6.1 总承包工程</t>
        </is>
      </c>
      <c r="G336" s="68" t="inlineStr">
        <is>
          <t>6.1.1 内部装修工程</t>
        </is>
      </c>
      <c r="H336" s="68" t="inlineStr">
        <is>
          <t>卫生间地面</t>
        </is>
      </c>
      <c r="I336" s="69" t="inlineStr">
        <is>
          <t>1000053614</t>
        </is>
      </c>
      <c r="J336" s="69" t="inlineStr">
        <is>
          <t>灰色水泥纹踢脚（冠军）</t>
        </is>
      </c>
      <c r="K336" s="70" t="n"/>
      <c r="L336" s="70" t="n"/>
      <c r="M336" s="71" t="inlineStr">
        <is>
          <t>米</t>
        </is>
      </c>
      <c r="N336" s="72" t="n">
        <v>40.15</v>
      </c>
      <c r="O336" s="72">
        <f>ROUND(N336*(1+$F$10),2)</f>
        <v/>
      </c>
      <c r="P336" s="73">
        <f>ROUND(K336*N336,2)</f>
        <v/>
      </c>
      <c r="Q336" s="74">
        <f>ROUND(L336*N336,2)</f>
        <v/>
      </c>
      <c r="R336" s="75" t="n"/>
      <c r="S336" s="76" t="n"/>
      <c r="T336" s="77">
        <f>K336-L336</f>
        <v/>
      </c>
      <c r="U336" s="77">
        <f>P336-Q336</f>
        <v/>
      </c>
      <c r="V336" s="77">
        <f>ABS(U336)</f>
        <v/>
      </c>
      <c r="W336" s="78">
        <f>T336/L336</f>
        <v/>
      </c>
      <c r="X336" s="79">
        <f>ABS(W336)</f>
        <v/>
      </c>
      <c r="AG336" s="80" t="inlineStr">
        <is>
          <t>踢脚线长度</t>
        </is>
      </c>
    </row>
    <row r="337" ht="11.4" customHeight="1">
      <c r="A337" s="67" t="inlineStr">
        <is>
          <t>61</t>
        </is>
      </c>
      <c r="B337" s="67" t="inlineStr">
        <is>
          <t>1059</t>
        </is>
      </c>
      <c r="C337" s="67" t="inlineStr">
        <is>
          <t>1611</t>
        </is>
      </c>
      <c r="D337" s="68" t="inlineStr">
        <is>
          <t>01</t>
        </is>
      </c>
      <c r="E337" s="68" t="inlineStr">
        <is>
          <t>6 物业施工费</t>
        </is>
      </c>
      <c r="F337" s="68" t="inlineStr">
        <is>
          <t>6.1 总承包工程</t>
        </is>
      </c>
      <c r="G337" s="68" t="inlineStr">
        <is>
          <t>6.1.1 内部装修工程</t>
        </is>
      </c>
      <c r="H337" s="68" t="inlineStr">
        <is>
          <t>卫生间地面</t>
        </is>
      </c>
      <c r="I337" s="69" t="inlineStr">
        <is>
          <t>1000021666</t>
        </is>
      </c>
      <c r="J337" s="69" t="inlineStr">
        <is>
          <t>600*600mm水磨石地砖（琛雄，含不超过50mm厚的找平层）</t>
        </is>
      </c>
      <c r="K337" s="70" t="n"/>
      <c r="L337" s="70" t="n"/>
      <c r="M337" s="71" t="inlineStr">
        <is>
          <t>m2</t>
        </is>
      </c>
      <c r="N337" s="72" t="n">
        <v>196.14</v>
      </c>
      <c r="O337" s="72">
        <f>ROUND(N337*(1+$F$10),2)</f>
        <v/>
      </c>
      <c r="P337" s="73">
        <f>ROUND(K337*N337,2)</f>
        <v/>
      </c>
      <c r="Q337" s="74">
        <f>ROUND(L337*N337,2)</f>
        <v/>
      </c>
      <c r="R337" s="75" t="n"/>
      <c r="S337" s="76" t="n"/>
      <c r="T337" s="77">
        <f>K337-L337</f>
        <v/>
      </c>
      <c r="U337" s="77">
        <f>P337-Q337</f>
        <v/>
      </c>
      <c r="V337" s="77">
        <f>ABS(U337)</f>
        <v/>
      </c>
      <c r="W337" s="78">
        <f>T337/L337</f>
        <v/>
      </c>
      <c r="X337" s="79">
        <f>ABS(W337)</f>
        <v/>
      </c>
      <c r="AG337" s="80" t="inlineStr">
        <is>
          <t>楼板面积+基本墙面积</t>
        </is>
      </c>
    </row>
    <row r="338" ht="11.4" customHeight="1">
      <c r="A338" s="67" t="inlineStr">
        <is>
          <t>61</t>
        </is>
      </c>
      <c r="B338" s="67" t="inlineStr">
        <is>
          <t>1059</t>
        </is>
      </c>
      <c r="C338" s="67" t="inlineStr">
        <is>
          <t>1611</t>
        </is>
      </c>
      <c r="D338" s="68" t="inlineStr">
        <is>
          <t>01</t>
        </is>
      </c>
      <c r="E338" s="68" t="inlineStr">
        <is>
          <t>6 物业施工费</t>
        </is>
      </c>
      <c r="F338" s="68" t="inlineStr">
        <is>
          <t>6.1 总承包工程</t>
        </is>
      </c>
      <c r="G338" s="68" t="inlineStr">
        <is>
          <t>6.1.1 内部装修工程</t>
        </is>
      </c>
      <c r="H338" s="68" t="inlineStr">
        <is>
          <t>卫生间地面</t>
        </is>
      </c>
      <c r="I338" s="69" t="inlineStr">
        <is>
          <t>1000021667</t>
        </is>
      </c>
      <c r="J338" s="69" t="inlineStr">
        <is>
          <t>琛雄水磨石踢脚</t>
        </is>
      </c>
      <c r="K338" s="70" t="n"/>
      <c r="L338" s="70" t="n"/>
      <c r="M338" s="71" t="inlineStr">
        <is>
          <t>米</t>
        </is>
      </c>
      <c r="N338" s="72" t="n">
        <v>41.47</v>
      </c>
      <c r="O338" s="72">
        <f>ROUND(N338*(1+$F$10),2)</f>
        <v/>
      </c>
      <c r="P338" s="73">
        <f>ROUND(K338*N338,2)</f>
        <v/>
      </c>
      <c r="Q338" s="74">
        <f>ROUND(L338*N338,2)</f>
        <v/>
      </c>
      <c r="R338" s="75" t="n"/>
      <c r="S338" s="76" t="n"/>
      <c r="T338" s="77">
        <f>K338-L338</f>
        <v/>
      </c>
      <c r="U338" s="77">
        <f>P338-Q338</f>
        <v/>
      </c>
      <c r="V338" s="77">
        <f>ABS(U338)</f>
        <v/>
      </c>
      <c r="W338" s="78">
        <f>T338/L338</f>
        <v/>
      </c>
      <c r="X338" s="79">
        <f>ABS(W338)</f>
        <v/>
      </c>
      <c r="AG338" s="80" t="inlineStr">
        <is>
          <t>踢脚线长度</t>
        </is>
      </c>
    </row>
    <row r="339" ht="11.4" customHeight="1">
      <c r="A339" s="67" t="inlineStr">
        <is>
          <t>61</t>
        </is>
      </c>
      <c r="B339" s="67" t="inlineStr">
        <is>
          <t>1059</t>
        </is>
      </c>
      <c r="C339" s="67" t="inlineStr">
        <is>
          <t>1611</t>
        </is>
      </c>
      <c r="D339" s="68" t="inlineStr">
        <is>
          <t>01</t>
        </is>
      </c>
      <c r="E339" s="68" t="inlineStr">
        <is>
          <t>6 物业施工费</t>
        </is>
      </c>
      <c r="F339" s="68" t="inlineStr">
        <is>
          <t>6.1 总承包工程</t>
        </is>
      </c>
      <c r="G339" s="68" t="inlineStr">
        <is>
          <t>6.1.1 内部装修工程</t>
        </is>
      </c>
      <c r="H339" s="68" t="inlineStr">
        <is>
          <t>卫生间地面</t>
        </is>
      </c>
      <c r="I339" s="69" t="inlineStr">
        <is>
          <t>1000021462</t>
        </is>
      </c>
      <c r="J339" s="69" t="inlineStr">
        <is>
          <t>600*600mm水磨石地砖（共荣，含不超过50mm厚的找平层）</t>
        </is>
      </c>
      <c r="K339" s="70" t="n"/>
      <c r="L339" s="70" t="n"/>
      <c r="M339" s="71" t="inlineStr">
        <is>
          <t>m2</t>
        </is>
      </c>
      <c r="N339" s="72" t="n">
        <v>179.82</v>
      </c>
      <c r="O339" s="72">
        <f>ROUND(N339*(1+$F$10),2)</f>
        <v/>
      </c>
      <c r="P339" s="73">
        <f>ROUND(K339*N339,2)</f>
        <v/>
      </c>
      <c r="Q339" s="74">
        <f>ROUND(L339*N339,2)</f>
        <v/>
      </c>
      <c r="R339" s="75" t="n"/>
      <c r="S339" s="76" t="n"/>
      <c r="T339" s="77">
        <f>K339-L339</f>
        <v/>
      </c>
      <c r="U339" s="77">
        <f>P339-Q339</f>
        <v/>
      </c>
      <c r="V339" s="77">
        <f>ABS(U339)</f>
        <v/>
      </c>
      <c r="W339" s="78">
        <f>T339/L339</f>
        <v/>
      </c>
      <c r="X339" s="79">
        <f>ABS(W339)</f>
        <v/>
      </c>
      <c r="AG339" s="80" t="inlineStr">
        <is>
          <t>楼板面积+基本墙面积</t>
        </is>
      </c>
    </row>
    <row r="340" ht="11.4" customHeight="1">
      <c r="A340" s="67" t="inlineStr">
        <is>
          <t>61</t>
        </is>
      </c>
      <c r="B340" s="67" t="inlineStr">
        <is>
          <t>1059</t>
        </is>
      </c>
      <c r="C340" s="67" t="inlineStr">
        <is>
          <t>1611</t>
        </is>
      </c>
      <c r="D340" s="68" t="inlineStr">
        <is>
          <t>01</t>
        </is>
      </c>
      <c r="E340" s="68" t="inlineStr">
        <is>
          <t>6 物业施工费</t>
        </is>
      </c>
      <c r="F340" s="68" t="inlineStr">
        <is>
          <t>6.1 总承包工程</t>
        </is>
      </c>
      <c r="G340" s="68" t="inlineStr">
        <is>
          <t>6.1.1 内部装修工程</t>
        </is>
      </c>
      <c r="H340" s="68" t="inlineStr">
        <is>
          <t>卫生间地面</t>
        </is>
      </c>
      <c r="I340" s="69" t="inlineStr">
        <is>
          <t>1000021463</t>
        </is>
      </c>
      <c r="J340" s="69" t="inlineStr">
        <is>
          <t>共荣水磨石踢脚</t>
        </is>
      </c>
      <c r="K340" s="70" t="n"/>
      <c r="L340" s="70" t="n"/>
      <c r="M340" s="71" t="inlineStr">
        <is>
          <t>米</t>
        </is>
      </c>
      <c r="N340" s="72" t="n">
        <v>37.84</v>
      </c>
      <c r="O340" s="72">
        <f>ROUND(N340*(1+$F$10),2)</f>
        <v/>
      </c>
      <c r="P340" s="73">
        <f>ROUND(K340*N340,2)</f>
        <v/>
      </c>
      <c r="Q340" s="74">
        <f>ROUND(L340*N340,2)</f>
        <v/>
      </c>
      <c r="R340" s="75" t="n"/>
      <c r="S340" s="76" t="n"/>
      <c r="T340" s="77">
        <f>K340-L340</f>
        <v/>
      </c>
      <c r="U340" s="77">
        <f>P340-Q340</f>
        <v/>
      </c>
      <c r="V340" s="77">
        <f>ABS(U340)</f>
        <v/>
      </c>
      <c r="W340" s="78">
        <f>T340/L340</f>
        <v/>
      </c>
      <c r="X340" s="79">
        <f>ABS(W340)</f>
        <v/>
      </c>
      <c r="AG340" s="80" t="inlineStr">
        <is>
          <t>踢脚线长度</t>
        </is>
      </c>
    </row>
    <row r="341" ht="11.4" customHeight="1">
      <c r="A341" s="67" t="inlineStr">
        <is>
          <t>61</t>
        </is>
      </c>
      <c r="B341" s="67" t="inlineStr">
        <is>
          <t>1059</t>
        </is>
      </c>
      <c r="C341" s="67" t="inlineStr">
        <is>
          <t>1611</t>
        </is>
      </c>
      <c r="D341" s="68" t="inlineStr">
        <is>
          <t>01</t>
        </is>
      </c>
      <c r="E341" s="68" t="inlineStr">
        <is>
          <t>6 物业施工费</t>
        </is>
      </c>
      <c r="F341" s="68" t="inlineStr">
        <is>
          <t>6.1 总承包工程</t>
        </is>
      </c>
      <c r="G341" s="68" t="inlineStr">
        <is>
          <t>6.1.1 内部装修工程</t>
        </is>
      </c>
      <c r="H341" s="68" t="inlineStr">
        <is>
          <t>卫生间地面</t>
        </is>
      </c>
      <c r="I341" s="69" t="inlineStr">
        <is>
          <t>1000021668</t>
        </is>
      </c>
      <c r="J341" s="69" t="inlineStr">
        <is>
          <t>600*600mm水磨石地砖（冠军，含不超过50mm厚的找平层）</t>
        </is>
      </c>
      <c r="K341" s="70" t="n"/>
      <c r="L341" s="70" t="n"/>
      <c r="M341" s="71" t="inlineStr">
        <is>
          <t>m2</t>
        </is>
      </c>
      <c r="N341" s="72" t="n">
        <v>193.81</v>
      </c>
      <c r="O341" s="72">
        <f>ROUND(N341*(1+$F$10),2)</f>
        <v/>
      </c>
      <c r="P341" s="73">
        <f>ROUND(K341*N341,2)</f>
        <v/>
      </c>
      <c r="Q341" s="74">
        <f>ROUND(L341*N341,2)</f>
        <v/>
      </c>
      <c r="R341" s="75" t="n"/>
      <c r="S341" s="76" t="n"/>
      <c r="T341" s="77">
        <f>K341-L341</f>
        <v/>
      </c>
      <c r="U341" s="77">
        <f>P341-Q341</f>
        <v/>
      </c>
      <c r="V341" s="77">
        <f>ABS(U341)</f>
        <v/>
      </c>
      <c r="W341" s="78">
        <f>T341/L341</f>
        <v/>
      </c>
      <c r="X341" s="79">
        <f>ABS(W341)</f>
        <v/>
      </c>
      <c r="AG341" s="80" t="inlineStr">
        <is>
          <t>楼板面积+基本墙面积</t>
        </is>
      </c>
    </row>
    <row r="342" ht="11.4" customHeight="1">
      <c r="A342" s="67" t="inlineStr">
        <is>
          <t>61</t>
        </is>
      </c>
      <c r="B342" s="67" t="inlineStr">
        <is>
          <t>1059</t>
        </is>
      </c>
      <c r="C342" s="67" t="inlineStr">
        <is>
          <t>1611</t>
        </is>
      </c>
      <c r="D342" s="68" t="inlineStr">
        <is>
          <t>01</t>
        </is>
      </c>
      <c r="E342" s="68" t="inlineStr">
        <is>
          <t>6 物业施工费</t>
        </is>
      </c>
      <c r="F342" s="68" t="inlineStr">
        <is>
          <t>6.1 总承包工程</t>
        </is>
      </c>
      <c r="G342" s="68" t="inlineStr">
        <is>
          <t>6.1.1 内部装修工程</t>
        </is>
      </c>
      <c r="H342" s="68" t="inlineStr">
        <is>
          <t>卫生间地面</t>
        </is>
      </c>
      <c r="I342" s="69" t="inlineStr">
        <is>
          <t>1000021669</t>
        </is>
      </c>
      <c r="J342" s="69" t="inlineStr">
        <is>
          <t>冠军水磨石踢脚</t>
        </is>
      </c>
      <c r="K342" s="70" t="n"/>
      <c r="L342" s="70" t="n"/>
      <c r="M342" s="71" t="inlineStr">
        <is>
          <t>米</t>
        </is>
      </c>
      <c r="N342" s="72" t="n">
        <v>39.05</v>
      </c>
      <c r="O342" s="72">
        <f>ROUND(N342*(1+$F$10),2)</f>
        <v/>
      </c>
      <c r="P342" s="73">
        <f>ROUND(K342*N342,2)</f>
        <v/>
      </c>
      <c r="Q342" s="74">
        <f>ROUND(L342*N342,2)</f>
        <v/>
      </c>
      <c r="R342" s="75" t="n"/>
      <c r="S342" s="76" t="n"/>
      <c r="T342" s="77">
        <f>K342-L342</f>
        <v/>
      </c>
      <c r="U342" s="77">
        <f>P342-Q342</f>
        <v/>
      </c>
      <c r="V342" s="77">
        <f>ABS(U342)</f>
        <v/>
      </c>
      <c r="W342" s="78">
        <f>T342/L342</f>
        <v/>
      </c>
      <c r="X342" s="79">
        <f>ABS(W342)</f>
        <v/>
      </c>
      <c r="AG342" s="80" t="inlineStr">
        <is>
          <t>踢脚线长度</t>
        </is>
      </c>
    </row>
    <row r="343" ht="11.4" customHeight="1">
      <c r="A343" s="67" t="inlineStr">
        <is>
          <t>61</t>
        </is>
      </c>
      <c r="B343" s="67" t="inlineStr">
        <is>
          <t>1059</t>
        </is>
      </c>
      <c r="C343" s="67" t="inlineStr">
        <is>
          <t>1611</t>
        </is>
      </c>
      <c r="D343" s="68" t="inlineStr">
        <is>
          <t>01</t>
        </is>
      </c>
      <c r="E343" s="68" t="inlineStr">
        <is>
          <t>6 物业施工费</t>
        </is>
      </c>
      <c r="F343" s="68" t="inlineStr">
        <is>
          <t>6.1 总承包工程</t>
        </is>
      </c>
      <c r="G343" s="68" t="inlineStr">
        <is>
          <t>6.1.1 内部装修工程</t>
        </is>
      </c>
      <c r="H343" s="68" t="inlineStr">
        <is>
          <t>卫生间墙面</t>
        </is>
      </c>
      <c r="I343" s="69" t="inlineStr">
        <is>
          <t>1000021633</t>
        </is>
      </c>
      <c r="J343" s="69" t="inlineStr">
        <is>
          <t>卫生间墙面砖（琛雄）</t>
        </is>
      </c>
      <c r="K343" s="70" t="n"/>
      <c r="L343" s="70" t="n"/>
      <c r="M343" s="71" t="inlineStr">
        <is>
          <t>m2</t>
        </is>
      </c>
      <c r="N343" s="72" t="n">
        <v>167.98</v>
      </c>
      <c r="O343" s="72">
        <f>ROUND(N343*(1+$F$10),2)</f>
        <v/>
      </c>
      <c r="P343" s="73">
        <f>ROUND(K343*N343,2)</f>
        <v/>
      </c>
      <c r="Q343" s="74">
        <f>ROUND(L343*N343,2)</f>
        <v/>
      </c>
      <c r="R343" s="75" t="n"/>
      <c r="S343" s="76" t="n"/>
      <c r="T343" s="77">
        <f>K343-L343</f>
        <v/>
      </c>
      <c r="U343" s="77">
        <f>P343-Q343</f>
        <v/>
      </c>
      <c r="V343" s="77">
        <f>ABS(U343)</f>
        <v/>
      </c>
      <c r="W343" s="78">
        <f>T343/L343</f>
        <v/>
      </c>
      <c r="X343" s="79">
        <f>ABS(W343)</f>
        <v/>
      </c>
      <c r="AG343" s="6" t="inlineStr">
        <is>
          <t>基本墙面积</t>
        </is>
      </c>
    </row>
    <row r="344" ht="11.4" customHeight="1">
      <c r="A344" s="67" t="inlineStr">
        <is>
          <t>61</t>
        </is>
      </c>
      <c r="B344" s="67" t="inlineStr">
        <is>
          <t>1059</t>
        </is>
      </c>
      <c r="C344" s="67" t="inlineStr">
        <is>
          <t>1611</t>
        </is>
      </c>
      <c r="D344" s="68" t="inlineStr">
        <is>
          <t>01</t>
        </is>
      </c>
      <c r="E344" s="68" t="inlineStr">
        <is>
          <t>6 物业施工费</t>
        </is>
      </c>
      <c r="F344" s="68" t="inlineStr">
        <is>
          <t>6.1 总承包工程</t>
        </is>
      </c>
      <c r="G344" s="68" t="inlineStr">
        <is>
          <t>6.1.1 内部装修工程</t>
        </is>
      </c>
      <c r="H344" s="68" t="inlineStr">
        <is>
          <t>卫生间墙面</t>
        </is>
      </c>
      <c r="I344" s="69" t="inlineStr">
        <is>
          <t>1000021649</t>
        </is>
      </c>
      <c r="J344" s="69" t="inlineStr">
        <is>
          <t>卫生间墙面砖（共荣）</t>
        </is>
      </c>
      <c r="K344" s="70" t="n"/>
      <c r="L344" s="70" t="n"/>
      <c r="M344" s="71" t="inlineStr">
        <is>
          <t>m2</t>
        </is>
      </c>
      <c r="N344" s="72" t="n">
        <v>147.41</v>
      </c>
      <c r="O344" s="72">
        <f>ROUND(N344*(1+$F$10),2)</f>
        <v/>
      </c>
      <c r="P344" s="73">
        <f>ROUND(K344*N344,2)</f>
        <v/>
      </c>
      <c r="Q344" s="74">
        <f>ROUND(L344*N344,2)</f>
        <v/>
      </c>
      <c r="R344" s="75" t="n"/>
      <c r="S344" s="76" t="n"/>
      <c r="T344" s="77">
        <f>K344-L344</f>
        <v/>
      </c>
      <c r="U344" s="77">
        <f>P344-Q344</f>
        <v/>
      </c>
      <c r="V344" s="77">
        <f>ABS(U344)</f>
        <v/>
      </c>
      <c r="W344" s="78">
        <f>T344/L344</f>
        <v/>
      </c>
      <c r="X344" s="79">
        <f>ABS(W344)</f>
        <v/>
      </c>
      <c r="AG344" s="6" t="inlineStr">
        <is>
          <t>基本墙面积</t>
        </is>
      </c>
    </row>
    <row r="345" ht="11.4" customHeight="1">
      <c r="A345" s="67" t="inlineStr">
        <is>
          <t>61</t>
        </is>
      </c>
      <c r="B345" s="67" t="inlineStr">
        <is>
          <t>1059</t>
        </is>
      </c>
      <c r="C345" s="67" t="inlineStr">
        <is>
          <t>1611</t>
        </is>
      </c>
      <c r="D345" s="68" t="inlineStr">
        <is>
          <t>01</t>
        </is>
      </c>
      <c r="E345" s="68" t="inlineStr">
        <is>
          <t>6 物业施工费</t>
        </is>
      </c>
      <c r="F345" s="68" t="inlineStr">
        <is>
          <t>6.1 总承包工程</t>
        </is>
      </c>
      <c r="G345" s="68" t="inlineStr">
        <is>
          <t>6.1.1 内部装修工程</t>
        </is>
      </c>
      <c r="H345" s="68" t="inlineStr">
        <is>
          <t>卫生间墙面</t>
        </is>
      </c>
      <c r="I345" s="69" t="inlineStr">
        <is>
          <t>1000021634</t>
        </is>
      </c>
      <c r="J345" s="69" t="inlineStr">
        <is>
          <t>卫生间墙面砖（冠军）</t>
        </is>
      </c>
      <c r="K345" s="70" t="n"/>
      <c r="L345" s="70" t="n"/>
      <c r="M345" s="71" t="inlineStr">
        <is>
          <t>m2</t>
        </is>
      </c>
      <c r="N345" s="72" t="n">
        <v>169.19</v>
      </c>
      <c r="O345" s="72">
        <f>ROUND(N345*(1+$F$10),2)</f>
        <v/>
      </c>
      <c r="P345" s="73">
        <f>ROUND(K345*N345,2)</f>
        <v/>
      </c>
      <c r="Q345" s="74">
        <f>ROUND(L345*N345,2)</f>
        <v/>
      </c>
      <c r="R345" s="75" t="n"/>
      <c r="S345" s="76" t="n"/>
      <c r="T345" s="77">
        <f>K345-L345</f>
        <v/>
      </c>
      <c r="U345" s="77">
        <f>P345-Q345</f>
        <v/>
      </c>
      <c r="V345" s="77">
        <f>ABS(U345)</f>
        <v/>
      </c>
      <c r="W345" s="78">
        <f>T345/L345</f>
        <v/>
      </c>
      <c r="X345" s="79">
        <f>ABS(W345)</f>
        <v/>
      </c>
      <c r="AG345" s="6" t="inlineStr">
        <is>
          <t>基本墙面积</t>
        </is>
      </c>
    </row>
    <row r="346" ht="11.4" customHeight="1">
      <c r="A346" s="67" t="inlineStr">
        <is>
          <t>61</t>
        </is>
      </c>
      <c r="B346" s="67" t="inlineStr">
        <is>
          <t>1059</t>
        </is>
      </c>
      <c r="C346" s="67" t="inlineStr">
        <is>
          <t>1611</t>
        </is>
      </c>
      <c r="D346" s="68" t="inlineStr">
        <is>
          <t>01</t>
        </is>
      </c>
      <c r="E346" s="68" t="inlineStr">
        <is>
          <t>6 物业施工费</t>
        </is>
      </c>
      <c r="F346" s="68" t="inlineStr">
        <is>
          <t>6.1 总承包工程</t>
        </is>
      </c>
      <c r="G346" s="68" t="inlineStr">
        <is>
          <t>6.1.1 内部装修工程</t>
        </is>
      </c>
      <c r="H346" s="68" t="inlineStr">
        <is>
          <t>卫生间墙面</t>
        </is>
      </c>
      <c r="I346" s="69" t="inlineStr">
        <is>
          <t>1000021709</t>
        </is>
      </c>
      <c r="J346" s="69" t="inlineStr">
        <is>
          <t>100*300mm白色哑光面砖（琛雄，Ray)</t>
        </is>
      </c>
      <c r="K346" s="70" t="n"/>
      <c r="L346" s="70" t="n"/>
      <c r="M346" s="71" t="inlineStr">
        <is>
          <t>m2</t>
        </is>
      </c>
      <c r="N346" s="72" t="n">
        <v>175.9</v>
      </c>
      <c r="O346" s="72">
        <f>ROUND(N346*(1+$F$10),2)</f>
        <v/>
      </c>
      <c r="P346" s="73">
        <f>ROUND(K346*N346,2)</f>
        <v/>
      </c>
      <c r="Q346" s="74">
        <f>ROUND(L346*N346,2)</f>
        <v/>
      </c>
      <c r="R346" s="75" t="n"/>
      <c r="S346" s="76" t="n"/>
      <c r="T346" s="77">
        <f>K346-L346</f>
        <v/>
      </c>
      <c r="U346" s="77">
        <f>P346-Q346</f>
        <v/>
      </c>
      <c r="V346" s="77">
        <f>ABS(U346)</f>
        <v/>
      </c>
      <c r="W346" s="78">
        <f>T346/L346</f>
        <v/>
      </c>
      <c r="X346" s="79">
        <f>ABS(W346)</f>
        <v/>
      </c>
      <c r="AG346" s="6" t="inlineStr">
        <is>
          <t>基本墙面积</t>
        </is>
      </c>
    </row>
    <row r="347" ht="11.4" customHeight="1">
      <c r="A347" s="67" t="inlineStr">
        <is>
          <t>61</t>
        </is>
      </c>
      <c r="B347" s="67" t="inlineStr">
        <is>
          <t>1059</t>
        </is>
      </c>
      <c r="C347" s="67" t="inlineStr">
        <is>
          <t>1611</t>
        </is>
      </c>
      <c r="D347" s="68" t="inlineStr">
        <is>
          <t>01</t>
        </is>
      </c>
      <c r="E347" s="68" t="inlineStr">
        <is>
          <t>6 物业施工费</t>
        </is>
      </c>
      <c r="F347" s="68" t="inlineStr">
        <is>
          <t>6.1 总承包工程</t>
        </is>
      </c>
      <c r="G347" s="68" t="inlineStr">
        <is>
          <t>6.1.1 内部装修工程</t>
        </is>
      </c>
      <c r="H347" s="68" t="inlineStr">
        <is>
          <t>卫生间墙面</t>
        </is>
      </c>
      <c r="I347" s="69" t="inlineStr">
        <is>
          <t>1000021710</t>
        </is>
      </c>
      <c r="J347" s="69" t="inlineStr">
        <is>
          <t>100*300mm白色哑光面砖（冠军，Ray)</t>
        </is>
      </c>
      <c r="K347" s="70" t="n"/>
      <c r="L347" s="70" t="n"/>
      <c r="M347" s="71" t="inlineStr">
        <is>
          <t>m2</t>
        </is>
      </c>
      <c r="N347" s="72" t="n">
        <v>175.9</v>
      </c>
      <c r="O347" s="72">
        <f>ROUND(N347*(1+$F$10),2)</f>
        <v/>
      </c>
      <c r="P347" s="73">
        <f>ROUND(K347*N347,2)</f>
        <v/>
      </c>
      <c r="Q347" s="74">
        <f>ROUND(L347*N347,2)</f>
        <v/>
      </c>
      <c r="R347" s="75" t="n"/>
      <c r="S347" s="76" t="n"/>
      <c r="T347" s="77">
        <f>K347-L347</f>
        <v/>
      </c>
      <c r="U347" s="77">
        <f>P347-Q347</f>
        <v/>
      </c>
      <c r="V347" s="77">
        <f>ABS(U347)</f>
        <v/>
      </c>
      <c r="W347" s="78">
        <f>T347/L347</f>
        <v/>
      </c>
      <c r="X347" s="79">
        <f>ABS(W347)</f>
        <v/>
      </c>
      <c r="AG347" s="6" t="inlineStr">
        <is>
          <t>基本墙面积</t>
        </is>
      </c>
    </row>
    <row r="348" ht="11.4" customHeight="1">
      <c r="A348" s="67" t="inlineStr">
        <is>
          <t>61</t>
        </is>
      </c>
      <c r="B348" s="67" t="inlineStr">
        <is>
          <t>1059</t>
        </is>
      </c>
      <c r="C348" s="67" t="inlineStr">
        <is>
          <t>1611</t>
        </is>
      </c>
      <c r="D348" s="68" t="inlineStr">
        <is>
          <t>01</t>
        </is>
      </c>
      <c r="E348" s="68" t="inlineStr">
        <is>
          <t>6 物业施工费</t>
        </is>
      </c>
      <c r="F348" s="68" t="inlineStr">
        <is>
          <t>6.1 总承包工程</t>
        </is>
      </c>
      <c r="G348" s="68" t="inlineStr">
        <is>
          <t>6.1.1 内部装修工程</t>
        </is>
      </c>
      <c r="H348" s="68" t="inlineStr">
        <is>
          <t>卫生间墙面</t>
        </is>
      </c>
      <c r="I348" s="69" t="inlineStr">
        <is>
          <t>1000021711</t>
        </is>
      </c>
      <c r="J348" s="69" t="inlineStr">
        <is>
          <t>100*300mm白色哑光面砖（共荣，Ray)</t>
        </is>
      </c>
      <c r="K348" s="70" t="n"/>
      <c r="L348" s="70" t="n"/>
      <c r="M348" s="71" t="inlineStr">
        <is>
          <t>m2</t>
        </is>
      </c>
      <c r="N348" s="72" t="n">
        <v>166.22</v>
      </c>
      <c r="O348" s="72">
        <f>ROUND(N348*(1+$F$10),2)</f>
        <v/>
      </c>
      <c r="P348" s="73">
        <f>ROUND(K348*N348,2)</f>
        <v/>
      </c>
      <c r="Q348" s="74">
        <f>ROUND(L348*N348,2)</f>
        <v/>
      </c>
      <c r="R348" s="75" t="n"/>
      <c r="S348" s="76" t="n"/>
      <c r="T348" s="77">
        <f>K348-L348</f>
        <v/>
      </c>
      <c r="U348" s="77">
        <f>P348-Q348</f>
        <v/>
      </c>
      <c r="V348" s="77">
        <f>ABS(U348)</f>
        <v/>
      </c>
      <c r="W348" s="78">
        <f>T348/L348</f>
        <v/>
      </c>
      <c r="X348" s="79">
        <f>ABS(W348)</f>
        <v/>
      </c>
      <c r="AG348" s="6" t="inlineStr">
        <is>
          <t>基本墙面积</t>
        </is>
      </c>
    </row>
    <row r="349" ht="11.4" customHeight="1">
      <c r="A349" s="67" t="inlineStr">
        <is>
          <t>61</t>
        </is>
      </c>
      <c r="B349" s="67" t="inlineStr">
        <is>
          <t>1059</t>
        </is>
      </c>
      <c r="C349" s="67" t="inlineStr">
        <is>
          <t>1611</t>
        </is>
      </c>
      <c r="D349" s="68" t="inlineStr">
        <is>
          <t>01</t>
        </is>
      </c>
      <c r="E349" s="68" t="inlineStr">
        <is>
          <t>6 物业施工费</t>
        </is>
      </c>
      <c r="F349" s="68" t="inlineStr">
        <is>
          <t>6.1 总承包工程</t>
        </is>
      </c>
      <c r="G349" s="68" t="inlineStr">
        <is>
          <t>6.1.1 内部装修工程</t>
        </is>
      </c>
      <c r="H349" s="68" t="inlineStr">
        <is>
          <t>卫生间墙面</t>
        </is>
      </c>
      <c r="I349" s="69" t="inlineStr">
        <is>
          <t>1000021517</t>
        </is>
      </c>
      <c r="J349" s="69" t="inlineStr">
        <is>
          <t>室内浅色乳胶漆（含批搪，遮盖）</t>
        </is>
      </c>
      <c r="K349" s="70" t="n"/>
      <c r="L349" s="70" t="n"/>
      <c r="M349" s="71" t="inlineStr">
        <is>
          <t>m2</t>
        </is>
      </c>
      <c r="N349" s="72" t="n">
        <v>58.39</v>
      </c>
      <c r="O349" s="72">
        <f>ROUND(N349*(1+$F$10),2)</f>
        <v/>
      </c>
      <c r="P349" s="73">
        <f>ROUND(K349*N349,2)</f>
        <v/>
      </c>
      <c r="Q349" s="74">
        <f>ROUND(L349*N349,2)</f>
        <v/>
      </c>
      <c r="R349" s="75" t="n"/>
      <c r="S349" s="76" t="n"/>
      <c r="T349" s="77">
        <f>K349-L349</f>
        <v/>
      </c>
      <c r="U349" s="77">
        <f>P349-Q349</f>
        <v/>
      </c>
      <c r="V349" s="77">
        <f>ABS(U349)</f>
        <v/>
      </c>
      <c r="W349" s="78">
        <f>T349/L349</f>
        <v/>
      </c>
      <c r="X349" s="79">
        <f>ABS(W349)</f>
        <v/>
      </c>
      <c r="AG349" s="6" t="inlineStr">
        <is>
          <t>基本墙面积</t>
        </is>
      </c>
    </row>
    <row r="350" ht="11.4" customHeight="1">
      <c r="A350" s="67" t="inlineStr">
        <is>
          <t>61</t>
        </is>
      </c>
      <c r="B350" s="67" t="inlineStr">
        <is>
          <t>1059</t>
        </is>
      </c>
      <c r="C350" s="67" t="inlineStr">
        <is>
          <t>1611</t>
        </is>
      </c>
      <c r="D350" s="68" t="inlineStr">
        <is>
          <t>01</t>
        </is>
      </c>
      <c r="E350" s="68" t="inlineStr">
        <is>
          <t>6 物业施工费</t>
        </is>
      </c>
      <c r="F350" s="68" t="inlineStr">
        <is>
          <t>6.1 总承包工程</t>
        </is>
      </c>
      <c r="G350" s="68" t="inlineStr">
        <is>
          <t>6.1.1 内部装修工程</t>
        </is>
      </c>
      <c r="H350" s="68" t="inlineStr">
        <is>
          <t>卫生间吊顶</t>
        </is>
      </c>
      <c r="I350" s="69" t="inlineStr">
        <is>
          <t>1000021483</t>
        </is>
      </c>
      <c r="J350" s="69" t="inlineStr">
        <is>
          <t>室内深色乳胶漆（含批搪，可擦洗）</t>
        </is>
      </c>
      <c r="K350" s="70" t="n"/>
      <c r="L350" s="70" t="n"/>
      <c r="M350" s="71" t="inlineStr">
        <is>
          <t>m2</t>
        </is>
      </c>
      <c r="N350" s="72" t="n">
        <v>62.19</v>
      </c>
      <c r="O350" s="72">
        <f>ROUND(N350*(1+$F$10),2)</f>
        <v/>
      </c>
      <c r="P350" s="73">
        <f>ROUND(K350*N350,2)</f>
        <v/>
      </c>
      <c r="Q350" s="74">
        <f>ROUND(L350*N350,2)</f>
        <v/>
      </c>
      <c r="R350" s="75" t="n"/>
      <c r="S350" s="76" t="n"/>
      <c r="T350" s="77">
        <f>K350-L350</f>
        <v/>
      </c>
      <c r="U350" s="77">
        <f>P350-Q350</f>
        <v/>
      </c>
      <c r="V350" s="77">
        <f>ABS(U350)</f>
        <v/>
      </c>
      <c r="W350" s="78">
        <f>T350/L350</f>
        <v/>
      </c>
      <c r="X350" s="79">
        <f>ABS(W350)</f>
        <v/>
      </c>
      <c r="AG350" s="80" t="inlineStr">
        <is>
          <t>天花板面积</t>
        </is>
      </c>
    </row>
    <row r="351" ht="11.4" customHeight="1">
      <c r="A351" s="67" t="inlineStr">
        <is>
          <t>61</t>
        </is>
      </c>
      <c r="B351" s="67" t="inlineStr">
        <is>
          <t>1059</t>
        </is>
      </c>
      <c r="C351" s="67" t="inlineStr">
        <is>
          <t>1611</t>
        </is>
      </c>
      <c r="D351" s="68" t="inlineStr">
        <is>
          <t>01</t>
        </is>
      </c>
      <c r="E351" s="68" t="inlineStr">
        <is>
          <t>6 物业施工费</t>
        </is>
      </c>
      <c r="F351" s="68" t="inlineStr">
        <is>
          <t>6.1 总承包工程</t>
        </is>
      </c>
      <c r="G351" s="68" t="inlineStr">
        <is>
          <t>6.1.1 内部装修工程</t>
        </is>
      </c>
      <c r="H351" s="68" t="inlineStr">
        <is>
          <t>卫生间吊顶</t>
        </is>
      </c>
      <c r="I351" s="69" t="inlineStr">
        <is>
          <t>1000022179</t>
        </is>
      </c>
      <c r="J351" s="69" t="inlineStr">
        <is>
          <t>卫生间轻钢龙骨石膏板天花</t>
        </is>
      </c>
      <c r="K351" s="70" t="n"/>
      <c r="L351" s="70" t="n"/>
      <c r="M351" s="71" t="inlineStr">
        <is>
          <t>m2</t>
        </is>
      </c>
      <c r="N351" s="72" t="n">
        <v>139.73</v>
      </c>
      <c r="O351" s="72">
        <f>ROUND(N351*(1+$F$10),2)</f>
        <v/>
      </c>
      <c r="P351" s="73">
        <f>ROUND(K351*N351,2)</f>
        <v/>
      </c>
      <c r="Q351" s="74">
        <f>ROUND(L351*N351,2)</f>
        <v/>
      </c>
      <c r="R351" s="75" t="n"/>
      <c r="S351" s="76" t="n"/>
      <c r="T351" s="77">
        <f>K351-L351</f>
        <v/>
      </c>
      <c r="U351" s="77">
        <f>P351-Q351</f>
        <v/>
      </c>
      <c r="V351" s="77">
        <f>ABS(U351)</f>
        <v/>
      </c>
      <c r="W351" s="78">
        <f>T351/L351</f>
        <v/>
      </c>
      <c r="X351" s="79">
        <f>ABS(W351)</f>
        <v/>
      </c>
      <c r="AG351" s="80" t="inlineStr">
        <is>
          <t>天花板面积</t>
        </is>
      </c>
    </row>
    <row r="352" ht="11.4" customHeight="1">
      <c r="A352" s="67" t="inlineStr">
        <is>
          <t>61</t>
        </is>
      </c>
      <c r="B352" s="67" t="inlineStr">
        <is>
          <t>1059</t>
        </is>
      </c>
      <c r="C352" s="67" t="inlineStr">
        <is>
          <t>1611</t>
        </is>
      </c>
      <c r="D352" s="68" t="inlineStr">
        <is>
          <t>01</t>
        </is>
      </c>
      <c r="E352" s="68" t="inlineStr">
        <is>
          <t>6 物业施工费</t>
        </is>
      </c>
      <c r="F352" s="68" t="inlineStr">
        <is>
          <t>6.1 总承包工程</t>
        </is>
      </c>
      <c r="G352" s="68" t="inlineStr">
        <is>
          <t>6.1.1 内部装修工程</t>
        </is>
      </c>
      <c r="H352" s="68" t="inlineStr">
        <is>
          <t>卫生间吊顶</t>
        </is>
      </c>
      <c r="I352" s="69" t="inlineStr">
        <is>
          <t>1000021803</t>
        </is>
      </c>
      <c r="J352" s="84" t="inlineStr">
        <is>
          <t>叠级天花与墙体收口凹槽</t>
        </is>
      </c>
      <c r="K352" s="70" t="n"/>
      <c r="L352" s="70" t="n"/>
      <c r="M352" s="71" t="inlineStr">
        <is>
          <t>米</t>
        </is>
      </c>
      <c r="N352" s="72" t="n">
        <v>93.70999999999999</v>
      </c>
      <c r="O352" s="72">
        <f>ROUND(N352*(1+$F$10),2)</f>
        <v/>
      </c>
      <c r="P352" s="73">
        <f>ROUND(K352*N352,2)</f>
        <v/>
      </c>
      <c r="Q352" s="74">
        <f>ROUND(L352*N352,2)</f>
        <v/>
      </c>
      <c r="R352" s="75" t="n"/>
      <c r="S352" s="76" t="n"/>
      <c r="T352" s="77">
        <f>K352-L352</f>
        <v/>
      </c>
      <c r="U352" s="77">
        <f>P352-Q352</f>
        <v/>
      </c>
      <c r="V352" s="77">
        <f>ABS(U352)</f>
        <v/>
      </c>
      <c r="W352" s="78">
        <f>T352/L352</f>
        <v/>
      </c>
      <c r="X352" s="79">
        <f>ABS(W352)</f>
        <v/>
      </c>
    </row>
    <row r="353" ht="11.4" customHeight="1">
      <c r="A353" s="67" t="inlineStr">
        <is>
          <t>61</t>
        </is>
      </c>
      <c r="B353" s="67" t="inlineStr">
        <is>
          <t>1059</t>
        </is>
      </c>
      <c r="C353" s="67" t="inlineStr">
        <is>
          <t>1611</t>
        </is>
      </c>
      <c r="D353" s="68" t="inlineStr">
        <is>
          <t>01</t>
        </is>
      </c>
      <c r="E353" s="68" t="inlineStr">
        <is>
          <t>6 物业施工费</t>
        </is>
      </c>
      <c r="F353" s="68" t="inlineStr">
        <is>
          <t>6.1 总承包工程</t>
        </is>
      </c>
      <c r="G353" s="68" t="inlineStr">
        <is>
          <t>6.1.1 内部装修工程</t>
        </is>
      </c>
      <c r="H353" s="68" t="inlineStr">
        <is>
          <t>卫生间洗手台</t>
        </is>
      </c>
      <c r="I353" s="69" t="inlineStr">
        <is>
          <t>1000021804</t>
        </is>
      </c>
      <c r="J353" s="69" t="inlineStr">
        <is>
          <t>卫生间钢木洗手台架连人造石（高低隔）</t>
        </is>
      </c>
      <c r="K353" s="70" t="n"/>
      <c r="L353" s="70" t="n"/>
      <c r="M353" s="71" t="inlineStr">
        <is>
          <t>米</t>
        </is>
      </c>
      <c r="N353" s="72" t="n">
        <v>2589.58</v>
      </c>
      <c r="O353" s="72">
        <f>ROUND(N353*(1+$F$10),2)</f>
        <v/>
      </c>
      <c r="P353" s="73">
        <f>ROUND(K353*N353,2)</f>
        <v/>
      </c>
      <c r="Q353" s="74">
        <f>ROUND(L353*N353,2)</f>
        <v/>
      </c>
      <c r="R353" s="75" t="n"/>
      <c r="S353" s="76" t="n"/>
      <c r="T353" s="77">
        <f>K353-L353</f>
        <v/>
      </c>
      <c r="U353" s="77">
        <f>P353-Q353</f>
        <v/>
      </c>
      <c r="V353" s="77">
        <f>ABS(U353)</f>
        <v/>
      </c>
      <c r="W353" s="78">
        <f>T353/L353</f>
        <v/>
      </c>
      <c r="X353" s="79">
        <f>ABS(W353)</f>
        <v/>
      </c>
      <c r="AG353" s="80" t="inlineStr">
        <is>
          <t>自建族增加长度参数</t>
        </is>
      </c>
    </row>
    <row r="354" ht="11.4" customHeight="1">
      <c r="A354" s="67" t="inlineStr">
        <is>
          <t>61</t>
        </is>
      </c>
      <c r="B354" s="67" t="inlineStr">
        <is>
          <t>1059</t>
        </is>
      </c>
      <c r="C354" s="67" t="inlineStr">
        <is>
          <t>1611</t>
        </is>
      </c>
      <c r="D354" s="68" t="inlineStr">
        <is>
          <t>01</t>
        </is>
      </c>
      <c r="E354" s="68" t="inlineStr">
        <is>
          <t>6 物业施工费</t>
        </is>
      </c>
      <c r="F354" s="68" t="inlineStr">
        <is>
          <t>6.1 总承包工程</t>
        </is>
      </c>
      <c r="G354" s="68" t="inlineStr">
        <is>
          <t>6.1.1 内部装修工程</t>
        </is>
      </c>
      <c r="H354" s="68" t="inlineStr">
        <is>
          <t>卫生间洗手台</t>
        </is>
      </c>
      <c r="I354" s="69" t="inlineStr">
        <is>
          <t>1000021805</t>
        </is>
      </c>
      <c r="J354" s="69" t="inlineStr">
        <is>
          <t>卫生间钢木洗手台架连人造石（直条型）</t>
        </is>
      </c>
      <c r="K354" s="70" t="n">
        <v>0.9</v>
      </c>
      <c r="L354" s="70" t="n">
        <v>0.9</v>
      </c>
      <c r="M354" s="71" t="inlineStr">
        <is>
          <t>米</t>
        </is>
      </c>
      <c r="N354" s="72" t="n">
        <v>1470.3</v>
      </c>
      <c r="O354" s="72">
        <f>ROUND(N354*(1+$F$10),2)</f>
        <v/>
      </c>
      <c r="P354" s="73">
        <f>ROUND(K354*N354,2)</f>
        <v/>
      </c>
      <c r="Q354" s="74">
        <f>ROUND(L354*N354,2)</f>
        <v/>
      </c>
      <c r="R354" s="75" t="n"/>
      <c r="S354" s="76" t="n"/>
      <c r="T354" s="77">
        <f>K354-L354</f>
        <v/>
      </c>
      <c r="U354" s="77">
        <f>P354-Q354</f>
        <v/>
      </c>
      <c r="V354" s="77">
        <f>ABS(U354)</f>
        <v/>
      </c>
      <c r="W354" s="78">
        <f>T354/L354</f>
        <v/>
      </c>
      <c r="X354" s="79">
        <f>ABS(W354)</f>
        <v/>
      </c>
      <c r="AG354" s="80" t="inlineStr">
        <is>
          <t>自建族增加长度参数</t>
        </is>
      </c>
    </row>
    <row r="355" ht="11.4" customHeight="1">
      <c r="A355" s="67" t="inlineStr">
        <is>
          <t>61</t>
        </is>
      </c>
      <c r="B355" s="67" t="inlineStr">
        <is>
          <t>1059</t>
        </is>
      </c>
      <c r="C355" s="67" t="inlineStr">
        <is>
          <t>1611</t>
        </is>
      </c>
      <c r="D355" s="68" t="inlineStr">
        <is>
          <t>01</t>
        </is>
      </c>
      <c r="E355" s="68" t="inlineStr">
        <is>
          <t>6 物业施工费</t>
        </is>
      </c>
      <c r="F355" s="68" t="inlineStr">
        <is>
          <t>6.1 总承包工程</t>
        </is>
      </c>
      <c r="G355" s="68" t="inlineStr">
        <is>
          <t>6.1.1 内部装修工程</t>
        </is>
      </c>
      <c r="H355" s="68" t="inlineStr">
        <is>
          <t>卫生间洗手台</t>
        </is>
      </c>
      <c r="I355" s="69" t="inlineStr">
        <is>
          <t>1000021501</t>
        </is>
      </c>
      <c r="J355" s="69" t="inlineStr">
        <is>
          <t>卫生间钢木洗手台架连仿水磨石台面（成品定制）</t>
        </is>
      </c>
      <c r="K355" s="70" t="n"/>
      <c r="L355" s="70" t="n"/>
      <c r="M355" s="71" t="inlineStr">
        <is>
          <t>套</t>
        </is>
      </c>
      <c r="N355" s="72" t="n">
        <v>2108.28</v>
      </c>
      <c r="O355" s="72">
        <f>ROUND(N355*(1+$F$10),2)</f>
        <v/>
      </c>
      <c r="P355" s="73">
        <f>ROUND(K355*N355,2)</f>
        <v/>
      </c>
      <c r="Q355" s="74">
        <f>ROUND(L355*N355,2)</f>
        <v/>
      </c>
      <c r="R355" s="75" t="n"/>
      <c r="S355" s="76" t="n"/>
      <c r="T355" s="77">
        <f>K355-L355</f>
        <v/>
      </c>
      <c r="U355" s="77">
        <f>P355-Q355</f>
        <v/>
      </c>
      <c r="V355" s="77">
        <f>ABS(U355)</f>
        <v/>
      </c>
      <c r="W355" s="78">
        <f>T355/L355</f>
        <v/>
      </c>
      <c r="X355" s="79">
        <f>ABS(W355)</f>
        <v/>
      </c>
    </row>
    <row r="356" ht="11.4" customHeight="1">
      <c r="A356" s="67" t="inlineStr">
        <is>
          <t>61</t>
        </is>
      </c>
      <c r="B356" s="67" t="inlineStr">
        <is>
          <t>1059</t>
        </is>
      </c>
      <c r="C356" s="67" t="inlineStr">
        <is>
          <t>1611</t>
        </is>
      </c>
      <c r="D356" s="68" t="inlineStr">
        <is>
          <t>01</t>
        </is>
      </c>
      <c r="E356" s="68" t="inlineStr">
        <is>
          <t>6 物业施工费</t>
        </is>
      </c>
      <c r="F356" s="68" t="inlineStr">
        <is>
          <t>6.1 总承包工程</t>
        </is>
      </c>
      <c r="G356" s="68" t="inlineStr">
        <is>
          <t>6.1.1 内部装修工程</t>
        </is>
      </c>
      <c r="H356" s="68" t="inlineStr">
        <is>
          <t>卫生间洗手台</t>
        </is>
      </c>
      <c r="I356" s="69" t="inlineStr">
        <is>
          <t>1000021502</t>
        </is>
      </c>
      <c r="J356" s="69" t="inlineStr">
        <is>
          <t>卫生间钢木洗手台架连仿水磨石台面（直条型）</t>
        </is>
      </c>
      <c r="K356" s="70" t="n"/>
      <c r="L356" s="70" t="n"/>
      <c r="M356" s="71" t="inlineStr">
        <is>
          <t>米</t>
        </is>
      </c>
      <c r="N356" s="72" t="n">
        <v>2215.04</v>
      </c>
      <c r="O356" s="72">
        <f>ROUND(N356*(1+$F$10),2)</f>
        <v/>
      </c>
      <c r="P356" s="73">
        <f>ROUND(K356*N356,2)</f>
        <v/>
      </c>
      <c r="Q356" s="74">
        <f>ROUND(L356*N356,2)</f>
        <v/>
      </c>
      <c r="R356" s="75" t="n"/>
      <c r="S356" s="76" t="n"/>
      <c r="T356" s="77">
        <f>K356-L356</f>
        <v/>
      </c>
      <c r="U356" s="77">
        <f>P356-Q356</f>
        <v/>
      </c>
      <c r="V356" s="77">
        <f>ABS(U356)</f>
        <v/>
      </c>
      <c r="W356" s="78">
        <f>T356/L356</f>
        <v/>
      </c>
      <c r="X356" s="79">
        <f>ABS(W356)</f>
        <v/>
      </c>
      <c r="AG356" s="80" t="inlineStr">
        <is>
          <t>自建族增加长度参数</t>
        </is>
      </c>
    </row>
    <row r="357" ht="11.4" customHeight="1">
      <c r="A357" s="67" t="inlineStr">
        <is>
          <t>61</t>
        </is>
      </c>
      <c r="B357" s="67" t="inlineStr">
        <is>
          <t>1059</t>
        </is>
      </c>
      <c r="C357" s="67" t="inlineStr">
        <is>
          <t>1611</t>
        </is>
      </c>
      <c r="D357" s="68" t="inlineStr">
        <is>
          <t>01</t>
        </is>
      </c>
      <c r="E357" s="68" t="inlineStr">
        <is>
          <t>6 物业施工费</t>
        </is>
      </c>
      <c r="F357" s="68" t="inlineStr">
        <is>
          <t>6.1 总承包工程</t>
        </is>
      </c>
      <c r="G357" s="68" t="inlineStr">
        <is>
          <t>6.1.1 内部装修工程</t>
        </is>
      </c>
      <c r="H357" s="68" t="inlineStr">
        <is>
          <t>卫生间洗手台</t>
        </is>
      </c>
      <c r="I357" s="69" t="inlineStr">
        <is>
          <t>1000021503</t>
        </is>
      </c>
      <c r="J357" s="84" t="inlineStr">
        <is>
          <t>卫生间钢木洗手台架连仿水磨石台面（高低隔）</t>
        </is>
      </c>
      <c r="K357" s="70" t="n"/>
      <c r="L357" s="70" t="n"/>
      <c r="M357" s="71" t="inlineStr">
        <is>
          <t>米</t>
        </is>
      </c>
      <c r="N357" s="72" t="n">
        <v>3467.2</v>
      </c>
      <c r="O357" s="72">
        <f>ROUND(N357*(1+$F$10),2)</f>
        <v/>
      </c>
      <c r="P357" s="73">
        <f>ROUND(K357*N357,2)</f>
        <v/>
      </c>
      <c r="Q357" s="74">
        <f>ROUND(L357*N357,2)</f>
        <v/>
      </c>
      <c r="R357" s="75" t="n"/>
      <c r="S357" s="76" t="n"/>
      <c r="T357" s="77">
        <f>K357-L357</f>
        <v/>
      </c>
      <c r="U357" s="77">
        <f>P357-Q357</f>
        <v/>
      </c>
      <c r="V357" s="77">
        <f>ABS(U357)</f>
        <v/>
      </c>
      <c r="W357" s="78">
        <f>T357/L357</f>
        <v/>
      </c>
      <c r="X357" s="79">
        <f>ABS(W357)</f>
        <v/>
      </c>
      <c r="AG357" s="80" t="inlineStr">
        <is>
          <t>自建族增加长度参数</t>
        </is>
      </c>
    </row>
    <row r="358" ht="11.4" customHeight="1">
      <c r="A358" s="67" t="inlineStr">
        <is>
          <t>61</t>
        </is>
      </c>
      <c r="B358" s="67" t="inlineStr">
        <is>
          <t>1059</t>
        </is>
      </c>
      <c r="C358" s="67" t="inlineStr">
        <is>
          <t>1611</t>
        </is>
      </c>
      <c r="D358" s="68" t="inlineStr">
        <is>
          <t>01</t>
        </is>
      </c>
      <c r="E358" s="68" t="inlineStr">
        <is>
          <t>6 物业施工费</t>
        </is>
      </c>
      <c r="F358" s="68" t="inlineStr">
        <is>
          <t>6.1 总承包工程</t>
        </is>
      </c>
      <c r="G358" s="68" t="inlineStr">
        <is>
          <t>6.1.1 内部装修工程</t>
        </is>
      </c>
      <c r="H358" s="68" t="inlineStr">
        <is>
          <t>卫生间洗手台</t>
        </is>
      </c>
      <c r="I358" s="69" t="inlineStr">
        <is>
          <t>1000021806</t>
        </is>
      </c>
      <c r="J358" s="69" t="inlineStr">
        <is>
          <t>不锈钢包边镜面</t>
        </is>
      </c>
      <c r="K358" s="70" t="n">
        <v>1</v>
      </c>
      <c r="L358" s="70" t="n">
        <v>1</v>
      </c>
      <c r="M358" s="71" t="inlineStr">
        <is>
          <t>块</t>
        </is>
      </c>
      <c r="N358" s="72" t="n">
        <v>667.8099999999999</v>
      </c>
      <c r="O358" s="72">
        <f>ROUND(N358*(1+$F$10),2)</f>
        <v/>
      </c>
      <c r="P358" s="73">
        <f>ROUND(K358*N358,2)</f>
        <v/>
      </c>
      <c r="Q358" s="74">
        <f>ROUND(L358*N358,2)</f>
        <v/>
      </c>
      <c r="R358" s="75" t="n"/>
      <c r="S358" s="76" t="n"/>
      <c r="T358" s="77">
        <f>K358-L358</f>
        <v/>
      </c>
      <c r="U358" s="77">
        <f>P358-Q358</f>
        <v/>
      </c>
      <c r="V358" s="77">
        <f>ABS(U358)</f>
        <v/>
      </c>
      <c r="W358" s="78">
        <f>T358/L358</f>
        <v/>
      </c>
      <c r="X358" s="79">
        <f>ABS(W358)</f>
        <v/>
      </c>
      <c r="AG358" s="80" t="inlineStr">
        <is>
          <t>个数</t>
        </is>
      </c>
    </row>
    <row r="359" ht="11.4" customHeight="1">
      <c r="A359" s="67" t="inlineStr">
        <is>
          <t>61</t>
        </is>
      </c>
      <c r="B359" s="67" t="inlineStr">
        <is>
          <t>1059</t>
        </is>
      </c>
      <c r="C359" s="67" t="inlineStr">
        <is>
          <t>1611</t>
        </is>
      </c>
      <c r="D359" s="68" t="inlineStr">
        <is>
          <t>01</t>
        </is>
      </c>
      <c r="E359" s="68" t="inlineStr">
        <is>
          <t>6 物业施工费</t>
        </is>
      </c>
      <c r="F359" s="68" t="inlineStr">
        <is>
          <t>6.1 总承包工程</t>
        </is>
      </c>
      <c r="G359" s="68" t="inlineStr">
        <is>
          <t>6.1.1 内部装修工程</t>
        </is>
      </c>
      <c r="H359" s="68" t="inlineStr">
        <is>
          <t>卫生间洗手台</t>
        </is>
      </c>
      <c r="I359" s="69" t="inlineStr">
        <is>
          <t>1000022162</t>
        </is>
      </c>
      <c r="J359" s="69" t="inlineStr">
        <is>
          <t>不包边镜子</t>
        </is>
      </c>
      <c r="K359" s="70" t="n"/>
      <c r="L359" s="70" t="n"/>
      <c r="M359" s="71" t="inlineStr">
        <is>
          <t>个</t>
        </is>
      </c>
      <c r="N359" s="72" t="n">
        <v>202</v>
      </c>
      <c r="O359" s="72">
        <f>ROUND(N359*(1+$F$10),2)</f>
        <v/>
      </c>
      <c r="P359" s="73">
        <f>ROUND(K359*N359,2)</f>
        <v/>
      </c>
      <c r="Q359" s="74">
        <f>ROUND(L359*N359,2)</f>
        <v/>
      </c>
      <c r="R359" s="75" t="n"/>
      <c r="S359" s="76" t="n"/>
      <c r="T359" s="77">
        <f>K359-L359</f>
        <v/>
      </c>
      <c r="U359" s="77">
        <f>P359-Q359</f>
        <v/>
      </c>
      <c r="V359" s="77">
        <f>ABS(U359)</f>
        <v/>
      </c>
      <c r="W359" s="78">
        <f>T359/L359</f>
        <v/>
      </c>
      <c r="X359" s="79">
        <f>ABS(W359)</f>
        <v/>
      </c>
    </row>
    <row r="360" ht="11.4" customHeight="1">
      <c r="A360" s="67" t="inlineStr">
        <is>
          <t>61</t>
        </is>
      </c>
      <c r="B360" s="67" t="inlineStr">
        <is>
          <t>1059</t>
        </is>
      </c>
      <c r="C360" s="67" t="inlineStr">
        <is>
          <t>1611</t>
        </is>
      </c>
      <c r="D360" s="68" t="inlineStr">
        <is>
          <t>01</t>
        </is>
      </c>
      <c r="E360" s="68" t="inlineStr">
        <is>
          <t>6 物业施工费</t>
        </is>
      </c>
      <c r="F360" s="68" t="inlineStr">
        <is>
          <t>6.1 总承包工程</t>
        </is>
      </c>
      <c r="G360" s="68" t="inlineStr">
        <is>
          <t>6.1.1 内部装修工程</t>
        </is>
      </c>
      <c r="H360" s="68" t="inlineStr">
        <is>
          <t>卫生间洗手台</t>
        </is>
      </c>
      <c r="I360" s="69" t="inlineStr">
        <is>
          <t>1000051725</t>
        </is>
      </c>
      <c r="J360" s="69" t="inlineStr">
        <is>
          <t>洗手台下方不锈钢挡板</t>
        </is>
      </c>
      <c r="K360" s="70" t="n"/>
      <c r="L360" s="70" t="n"/>
      <c r="M360" s="71" t="inlineStr">
        <is>
          <t>项</t>
        </is>
      </c>
      <c r="N360" s="72" t="n">
        <v>350</v>
      </c>
      <c r="O360" s="72">
        <f>ROUND(N360*(1+$F$10),2)</f>
        <v/>
      </c>
      <c r="P360" s="73">
        <f>ROUND(K360*N360,2)</f>
        <v/>
      </c>
      <c r="Q360" s="74">
        <f>ROUND(L360*N360,2)</f>
        <v/>
      </c>
      <c r="R360" s="75" t="n"/>
      <c r="S360" s="76" t="n"/>
      <c r="T360" s="77">
        <f>K360-L360</f>
        <v/>
      </c>
      <c r="U360" s="77">
        <f>P360-Q360</f>
        <v/>
      </c>
      <c r="V360" s="77">
        <f>ABS(U360)</f>
        <v/>
      </c>
      <c r="W360" s="78">
        <f>T360/L360</f>
        <v/>
      </c>
      <c r="X360" s="79">
        <f>ABS(W360)</f>
        <v/>
      </c>
      <c r="AH360" s="80" t="inlineStr">
        <is>
          <t>调整\市场特性</t>
        </is>
      </c>
    </row>
    <row r="361" ht="11.4" customHeight="1">
      <c r="A361" s="67" t="inlineStr">
        <is>
          <t>61</t>
        </is>
      </c>
      <c r="B361" s="67" t="inlineStr">
        <is>
          <t>1059</t>
        </is>
      </c>
      <c r="C361" s="67" t="inlineStr">
        <is>
          <t>1611</t>
        </is>
      </c>
      <c r="D361" s="68" t="inlineStr">
        <is>
          <t>01</t>
        </is>
      </c>
      <c r="E361" s="68" t="inlineStr">
        <is>
          <t>6 物业施工费</t>
        </is>
      </c>
      <c r="F361" s="68" t="inlineStr">
        <is>
          <t>6.1 总承包工程</t>
        </is>
      </c>
      <c r="G361" s="68" t="inlineStr">
        <is>
          <t>6.1.1 内部装修工程</t>
        </is>
      </c>
      <c r="H361" s="68" t="inlineStr">
        <is>
          <t>卫生间</t>
        </is>
      </c>
      <c r="I361" s="69" t="inlineStr">
        <is>
          <t>1000021807</t>
        </is>
      </c>
      <c r="J361" s="69" t="inlineStr">
        <is>
          <t>卫生间不锈钢拉手</t>
        </is>
      </c>
      <c r="K361" s="70" t="n"/>
      <c r="L361" s="70" t="n"/>
      <c r="M361" s="71" t="inlineStr">
        <is>
          <t>套</t>
        </is>
      </c>
      <c r="N361" s="72" t="n">
        <v>168.19</v>
      </c>
      <c r="O361" s="72">
        <f>ROUND(N361*(1+$F$10),2)</f>
        <v/>
      </c>
      <c r="P361" s="73">
        <f>ROUND(K361*N361,2)</f>
        <v/>
      </c>
      <c r="Q361" s="74">
        <f>ROUND(L361*N361,2)</f>
        <v/>
      </c>
      <c r="R361" s="75" t="n"/>
      <c r="S361" s="76" t="n"/>
      <c r="T361" s="77">
        <f>K361-L361</f>
        <v/>
      </c>
      <c r="U361" s="77">
        <f>P361-Q361</f>
        <v/>
      </c>
      <c r="V361" s="77">
        <f>ABS(U361)</f>
        <v/>
      </c>
      <c r="W361" s="78">
        <f>T361/L361</f>
        <v/>
      </c>
      <c r="X361" s="79">
        <f>ABS(W361)</f>
        <v/>
      </c>
      <c r="AG361" s="80" t="inlineStr">
        <is>
          <t>个数</t>
        </is>
      </c>
    </row>
    <row r="362" ht="11.4" customHeight="1">
      <c r="A362" s="67" t="inlineStr">
        <is>
          <t>61</t>
        </is>
      </c>
      <c r="B362" s="67" t="inlineStr">
        <is>
          <t>1059</t>
        </is>
      </c>
      <c r="C362" s="67" t="inlineStr">
        <is>
          <t>1611</t>
        </is>
      </c>
      <c r="D362" s="68" t="inlineStr">
        <is>
          <t>01</t>
        </is>
      </c>
      <c r="E362" s="68" t="inlineStr">
        <is>
          <t>6 物业施工费</t>
        </is>
      </c>
      <c r="F362" s="68" t="inlineStr">
        <is>
          <t>6.1 总承包工程</t>
        </is>
      </c>
      <c r="G362" s="68" t="inlineStr">
        <is>
          <t>6.1.1 内部装修工程</t>
        </is>
      </c>
      <c r="H362" s="68" t="inlineStr">
        <is>
          <t>卫生间</t>
        </is>
      </c>
      <c r="I362" s="69" t="inlineStr">
        <is>
          <t>1000021808</t>
        </is>
      </c>
      <c r="J362" s="84" t="inlineStr">
        <is>
          <t>不锈钢分隔条</t>
        </is>
      </c>
      <c r="K362" s="70" t="n"/>
      <c r="L362" s="70" t="n"/>
      <c r="M362" s="71" t="inlineStr">
        <is>
          <t>米</t>
        </is>
      </c>
      <c r="N362" s="72" t="n">
        <v>40.03</v>
      </c>
      <c r="O362" s="72">
        <f>ROUND(N362*(1+$F$10),2)</f>
        <v/>
      </c>
      <c r="P362" s="73">
        <f>ROUND(K362*N362,2)</f>
        <v/>
      </c>
      <c r="Q362" s="74">
        <f>ROUND(L362*N362,2)</f>
        <v/>
      </c>
      <c r="R362" s="75" t="n"/>
      <c r="S362" s="76" t="n"/>
      <c r="T362" s="77">
        <f>K362-L362</f>
        <v/>
      </c>
      <c r="U362" s="77">
        <f>P362-Q362</f>
        <v/>
      </c>
      <c r="V362" s="77">
        <f>ABS(U362)</f>
        <v/>
      </c>
      <c r="W362" s="78">
        <f>T362/L362</f>
        <v/>
      </c>
      <c r="X362" s="79">
        <f>ABS(W362)</f>
        <v/>
      </c>
      <c r="AG362" s="6" t="inlineStr">
        <is>
          <t>系统族单边长度，类似防滑条</t>
        </is>
      </c>
    </row>
    <row r="363" ht="11.4" customHeight="1">
      <c r="A363" s="67" t="inlineStr">
        <is>
          <t>61</t>
        </is>
      </c>
      <c r="B363" s="67" t="inlineStr">
        <is>
          <t>1059</t>
        </is>
      </c>
      <c r="C363" s="67" t="inlineStr">
        <is>
          <t>1611</t>
        </is>
      </c>
      <c r="D363" s="68" t="inlineStr">
        <is>
          <t>01</t>
        </is>
      </c>
      <c r="E363" s="68" t="inlineStr">
        <is>
          <t>6 物业施工费</t>
        </is>
      </c>
      <c r="F363" s="68" t="inlineStr">
        <is>
          <t>6.1 总承包工程</t>
        </is>
      </c>
      <c r="G363" s="68" t="inlineStr">
        <is>
          <t>6.1.1 内部装修工程</t>
        </is>
      </c>
      <c r="H363" s="68" t="inlineStr">
        <is>
          <t>卫生间</t>
        </is>
      </c>
      <c r="I363" s="69" t="inlineStr">
        <is>
          <t>1000021504</t>
        </is>
      </c>
      <c r="J363" s="69" t="inlineStr">
        <is>
          <t>手机承载平台</t>
        </is>
      </c>
      <c r="K363" s="70" t="n"/>
      <c r="L363" s="70" t="n"/>
      <c r="M363" s="71" t="inlineStr">
        <is>
          <t>个</t>
        </is>
      </c>
      <c r="N363" s="72" t="n">
        <v>60.02</v>
      </c>
      <c r="O363" s="72">
        <f>ROUND(N363*(1+$F$10),2)</f>
        <v/>
      </c>
      <c r="P363" s="73">
        <f>ROUND(K363*N363,2)</f>
        <v/>
      </c>
      <c r="Q363" s="74">
        <f>ROUND(L363*N363,2)</f>
        <v/>
      </c>
      <c r="R363" s="75" t="n"/>
      <c r="S363" s="76" t="n"/>
      <c r="T363" s="77">
        <f>K363-L363</f>
        <v/>
      </c>
      <c r="U363" s="77">
        <f>P363-Q363</f>
        <v/>
      </c>
      <c r="V363" s="77">
        <f>ABS(U363)</f>
        <v/>
      </c>
      <c r="W363" s="78">
        <f>T363/L363</f>
        <v/>
      </c>
      <c r="X363" s="79">
        <f>ABS(W363)</f>
        <v/>
      </c>
      <c r="AG363" s="80" t="inlineStr">
        <is>
          <t>个数</t>
        </is>
      </c>
    </row>
    <row r="364" ht="11.4" customHeight="1">
      <c r="A364" s="67" t="inlineStr">
        <is>
          <t>61</t>
        </is>
      </c>
      <c r="B364" s="67" t="inlineStr">
        <is>
          <t>1059</t>
        </is>
      </c>
      <c r="C364" s="67" t="inlineStr">
        <is>
          <t>1611</t>
        </is>
      </c>
      <c r="D364" s="68" t="inlineStr">
        <is>
          <t>01</t>
        </is>
      </c>
      <c r="E364" s="68" t="inlineStr">
        <is>
          <t>6 物业施工费</t>
        </is>
      </c>
      <c r="F364" s="68" t="inlineStr">
        <is>
          <t>6.1 总承包工程</t>
        </is>
      </c>
      <c r="G364" s="68" t="inlineStr">
        <is>
          <t>6.1.1 内部装修工程</t>
        </is>
      </c>
      <c r="H364" s="68" t="inlineStr">
        <is>
          <t>卫生间隔断</t>
        </is>
      </c>
      <c r="I364" s="69" t="inlineStr">
        <is>
          <t>1000021505</t>
        </is>
      </c>
      <c r="J364" s="69" t="inlineStr">
        <is>
          <t>卫生间   防潮隔断板连门</t>
        </is>
      </c>
      <c r="K364" s="70" t="n"/>
      <c r="L364" s="70" t="n"/>
      <c r="M364" s="71" t="inlineStr">
        <is>
          <t>m2</t>
        </is>
      </c>
      <c r="N364" s="72" t="n">
        <v>618.3</v>
      </c>
      <c r="O364" s="72">
        <f>ROUND(N364*(1+$F$10),2)</f>
        <v/>
      </c>
      <c r="P364" s="73">
        <f>ROUND(K364*N364,2)</f>
        <v/>
      </c>
      <c r="Q364" s="74">
        <f>ROUND(L364*N364,2)</f>
        <v/>
      </c>
      <c r="R364" s="75" t="n"/>
      <c r="S364" s="76" t="n"/>
      <c r="T364" s="77">
        <f>K364-L364</f>
        <v/>
      </c>
      <c r="U364" s="77">
        <f>P364-Q364</f>
        <v/>
      </c>
      <c r="V364" s="77">
        <f>ABS(U364)</f>
        <v/>
      </c>
      <c r="W364" s="78">
        <f>T364/L364</f>
        <v/>
      </c>
      <c r="X364" s="79">
        <f>ABS(W364)</f>
        <v/>
      </c>
      <c r="AG364" s="80" t="inlineStr">
        <is>
          <t>基本墙面积</t>
        </is>
      </c>
    </row>
    <row r="365" ht="11.4" customHeight="1">
      <c r="A365" s="67" t="inlineStr">
        <is>
          <t>61</t>
        </is>
      </c>
      <c r="B365" s="67" t="inlineStr">
        <is>
          <t>1059</t>
        </is>
      </c>
      <c r="C365" s="67" t="inlineStr">
        <is>
          <t>1611</t>
        </is>
      </c>
      <c r="D365" s="68" t="inlineStr">
        <is>
          <t>01</t>
        </is>
      </c>
      <c r="E365" s="68" t="inlineStr">
        <is>
          <t>6 物业施工费</t>
        </is>
      </c>
      <c r="F365" s="68" t="inlineStr">
        <is>
          <t>6.1 总承包工程</t>
        </is>
      </c>
      <c r="G365" s="68" t="inlineStr">
        <is>
          <t>6.1.1 内部装修工程</t>
        </is>
      </c>
      <c r="H365" s="68" t="inlineStr">
        <is>
          <t>卫生间隔断</t>
        </is>
      </c>
      <c r="I365" s="69" t="inlineStr">
        <is>
          <t>1000021506</t>
        </is>
      </c>
      <c r="J365" s="69" t="inlineStr">
        <is>
          <t>卫生间   防潮隔断五金件</t>
        </is>
      </c>
      <c r="K365" s="70" t="n"/>
      <c r="L365" s="70" t="n"/>
      <c r="M365" s="71" t="inlineStr">
        <is>
          <t>套</t>
        </is>
      </c>
      <c r="N365" s="72" t="n">
        <v>432.3</v>
      </c>
      <c r="O365" s="72">
        <f>ROUND(N365*(1+$F$10),2)</f>
        <v/>
      </c>
      <c r="P365" s="73">
        <f>ROUND(K365*N365,2)</f>
        <v/>
      </c>
      <c r="Q365" s="74">
        <f>ROUND(L365*N365,2)</f>
        <v/>
      </c>
      <c r="R365" s="75" t="n"/>
      <c r="S365" s="76" t="n"/>
      <c r="T365" s="77">
        <f>K365-L365</f>
        <v/>
      </c>
      <c r="U365" s="77">
        <f>P365-Q365</f>
        <v/>
      </c>
      <c r="V365" s="77">
        <f>ABS(U365)</f>
        <v/>
      </c>
      <c r="W365" s="78">
        <f>T365/L365</f>
        <v/>
      </c>
      <c r="X365" s="79">
        <f>ABS(W365)</f>
        <v/>
      </c>
      <c r="AG365" s="80" t="inlineStr">
        <is>
          <t>个数</t>
        </is>
      </c>
    </row>
    <row r="366" ht="11.4" customHeight="1">
      <c r="A366" s="67" t="inlineStr">
        <is>
          <t>61</t>
        </is>
      </c>
      <c r="B366" s="67" t="inlineStr">
        <is>
          <t>1059</t>
        </is>
      </c>
      <c r="C366" s="67" t="inlineStr">
        <is>
          <t>1611</t>
        </is>
      </c>
      <c r="D366" s="68" t="inlineStr">
        <is>
          <t>01</t>
        </is>
      </c>
      <c r="E366" s="68" t="inlineStr">
        <is>
          <t>6 物业施工费</t>
        </is>
      </c>
      <c r="F366" s="68" t="inlineStr">
        <is>
          <t>6.1 总承包工程</t>
        </is>
      </c>
      <c r="G366" s="68" t="inlineStr">
        <is>
          <t>6.1.1 内部装修工程</t>
        </is>
      </c>
      <c r="H366" s="68" t="inlineStr">
        <is>
          <t>卫生间隔断</t>
        </is>
      </c>
      <c r="I366" s="69" t="inlineStr">
        <is>
          <t>1000021650</t>
        </is>
      </c>
      <c r="J366" s="69" t="inlineStr">
        <is>
          <t>卫生间防潮隔断板连门（远达供应）</t>
        </is>
      </c>
      <c r="K366" s="70" t="n"/>
      <c r="L366" s="70" t="n"/>
      <c r="M366" s="71" t="inlineStr">
        <is>
          <t>m2</t>
        </is>
      </c>
      <c r="N366" s="72" t="n">
        <v>618.3</v>
      </c>
      <c r="O366" s="72">
        <f>ROUND(N366*(1+$F$10),2)</f>
        <v/>
      </c>
      <c r="P366" s="73">
        <f>ROUND(K366*N366,2)</f>
        <v/>
      </c>
      <c r="Q366" s="74">
        <f>ROUND(L366*N366,2)</f>
        <v/>
      </c>
      <c r="R366" s="75" t="n"/>
      <c r="S366" s="76" t="n"/>
      <c r="T366" s="77">
        <f>K366-L366</f>
        <v/>
      </c>
      <c r="U366" s="77">
        <f>P366-Q366</f>
        <v/>
      </c>
      <c r="V366" s="77">
        <f>ABS(U366)</f>
        <v/>
      </c>
      <c r="W366" s="78">
        <f>T366/L366</f>
        <v/>
      </c>
      <c r="X366" s="79">
        <f>ABS(W366)</f>
        <v/>
      </c>
      <c r="AG366" s="80" t="inlineStr">
        <is>
          <t>基本墙面积</t>
        </is>
      </c>
    </row>
    <row r="367" ht="11.4" customHeight="1">
      <c r="A367" s="67" t="inlineStr">
        <is>
          <t>61</t>
        </is>
      </c>
      <c r="B367" s="67" t="inlineStr">
        <is>
          <t>1059</t>
        </is>
      </c>
      <c r="C367" s="67" t="inlineStr">
        <is>
          <t>1611</t>
        </is>
      </c>
      <c r="D367" s="68" t="inlineStr">
        <is>
          <t>01</t>
        </is>
      </c>
      <c r="E367" s="68" t="inlineStr">
        <is>
          <t>6 物业施工费</t>
        </is>
      </c>
      <c r="F367" s="68" t="inlineStr">
        <is>
          <t>6.1 总承包工程</t>
        </is>
      </c>
      <c r="G367" s="68" t="inlineStr">
        <is>
          <t>6.1.1 内部装修工程</t>
        </is>
      </c>
      <c r="H367" s="68" t="inlineStr">
        <is>
          <t>卫生间隔断</t>
        </is>
      </c>
      <c r="I367" s="69" t="inlineStr">
        <is>
          <t>1000021651</t>
        </is>
      </c>
      <c r="J367" s="69" t="inlineStr">
        <is>
          <t>卫生间防潮隔断五金件（远达供应）</t>
        </is>
      </c>
      <c r="K367" s="70" t="n"/>
      <c r="L367" s="70" t="n"/>
      <c r="M367" s="71" t="inlineStr">
        <is>
          <t>套</t>
        </is>
      </c>
      <c r="N367" s="72" t="n">
        <v>432.3</v>
      </c>
      <c r="O367" s="72">
        <f>ROUND(N367*(1+$F$10),2)</f>
        <v/>
      </c>
      <c r="P367" s="73">
        <f>ROUND(K367*N367,2)</f>
        <v/>
      </c>
      <c r="Q367" s="74">
        <f>ROUND(L367*N367,2)</f>
        <v/>
      </c>
      <c r="R367" s="75" t="n"/>
      <c r="S367" s="76" t="n"/>
      <c r="T367" s="77">
        <f>K367-L367</f>
        <v/>
      </c>
      <c r="U367" s="77">
        <f>P367-Q367</f>
        <v/>
      </c>
      <c r="V367" s="77">
        <f>ABS(U367)</f>
        <v/>
      </c>
      <c r="W367" s="78">
        <f>T367/L367</f>
        <v/>
      </c>
      <c r="X367" s="79">
        <f>ABS(W367)</f>
        <v/>
      </c>
      <c r="AG367" s="80" t="inlineStr">
        <is>
          <t>个数</t>
        </is>
      </c>
    </row>
    <row r="368" ht="11.4" customHeight="1">
      <c r="A368" s="67" t="inlineStr">
        <is>
          <t>61</t>
        </is>
      </c>
      <c r="B368" s="67" t="inlineStr">
        <is>
          <t>1059</t>
        </is>
      </c>
      <c r="C368" s="67" t="inlineStr">
        <is>
          <t>1611</t>
        </is>
      </c>
      <c r="D368" s="68" t="inlineStr">
        <is>
          <t>01</t>
        </is>
      </c>
      <c r="E368" s="68" t="inlineStr">
        <is>
          <t>6 物业施工费</t>
        </is>
      </c>
      <c r="F368" s="68" t="inlineStr">
        <is>
          <t>6.1 总承包工程</t>
        </is>
      </c>
      <c r="G368" s="68" t="inlineStr">
        <is>
          <t>6.1.1 内部装修工程</t>
        </is>
      </c>
      <c r="H368" s="68" t="inlineStr">
        <is>
          <t>卫生间隔断</t>
        </is>
      </c>
      <c r="I368" s="69" t="inlineStr">
        <is>
          <t>1000053615</t>
        </is>
      </c>
      <c r="J368" s="69" t="inlineStr">
        <is>
          <t>卫生间防潮隔断板连门（航凯供应）</t>
        </is>
      </c>
      <c r="K368" s="70" t="n"/>
      <c r="L368" s="70" t="n"/>
      <c r="M368" s="71" t="inlineStr">
        <is>
          <t>m2</t>
        </is>
      </c>
      <c r="N368" s="72" t="n">
        <v>661.33</v>
      </c>
      <c r="O368" s="72">
        <f>ROUND(N368*(1+$F$10),2)</f>
        <v/>
      </c>
      <c r="P368" s="73">
        <f>ROUND(K368*N368,2)</f>
        <v/>
      </c>
      <c r="Q368" s="74">
        <f>ROUND(L368*N368,2)</f>
        <v/>
      </c>
      <c r="R368" s="75" t="n"/>
      <c r="S368" s="76" t="n"/>
      <c r="T368" s="77">
        <f>K368-L368</f>
        <v/>
      </c>
      <c r="U368" s="77">
        <f>P368-Q368</f>
        <v/>
      </c>
      <c r="V368" s="77">
        <f>ABS(U368)</f>
        <v/>
      </c>
      <c r="W368" s="78">
        <f>T368/L368</f>
        <v/>
      </c>
      <c r="X368" s="79">
        <f>ABS(W368)</f>
        <v/>
      </c>
      <c r="AG368" s="80" t="inlineStr">
        <is>
          <t>基本墙面积</t>
        </is>
      </c>
    </row>
    <row r="369" ht="11.4" customHeight="1">
      <c r="A369" s="67" t="inlineStr">
        <is>
          <t>61</t>
        </is>
      </c>
      <c r="B369" s="67" t="inlineStr">
        <is>
          <t>1059</t>
        </is>
      </c>
      <c r="C369" s="67" t="inlineStr">
        <is>
          <t>1611</t>
        </is>
      </c>
      <c r="D369" s="68" t="inlineStr">
        <is>
          <t>01</t>
        </is>
      </c>
      <c r="E369" s="68" t="inlineStr">
        <is>
          <t>6 物业施工费</t>
        </is>
      </c>
      <c r="F369" s="68" t="inlineStr">
        <is>
          <t>6.1 总承包工程</t>
        </is>
      </c>
      <c r="G369" s="68" t="inlineStr">
        <is>
          <t>6.1.1 内部装修工程</t>
        </is>
      </c>
      <c r="H369" s="68" t="inlineStr">
        <is>
          <t>卫生间隔断</t>
        </is>
      </c>
      <c r="I369" s="69" t="inlineStr">
        <is>
          <t>1000053616</t>
        </is>
      </c>
      <c r="J369" s="69" t="inlineStr">
        <is>
          <t>卫生间防潮隔断五金件（航凯供应）</t>
        </is>
      </c>
      <c r="K369" s="70" t="n"/>
      <c r="L369" s="70" t="n"/>
      <c r="M369" s="71" t="inlineStr">
        <is>
          <t>套</t>
        </is>
      </c>
      <c r="N369" s="72" t="n">
        <v>466.75</v>
      </c>
      <c r="O369" s="72">
        <f>ROUND(N369*(1+$F$10),2)</f>
        <v/>
      </c>
      <c r="P369" s="73">
        <f>ROUND(K369*N369,2)</f>
        <v/>
      </c>
      <c r="Q369" s="74">
        <f>ROUND(L369*N369,2)</f>
        <v/>
      </c>
      <c r="R369" s="75" t="n"/>
      <c r="S369" s="76" t="n"/>
      <c r="T369" s="77">
        <f>K369-L369</f>
        <v/>
      </c>
      <c r="U369" s="77">
        <f>P369-Q369</f>
        <v/>
      </c>
      <c r="V369" s="77">
        <f>ABS(U369)</f>
        <v/>
      </c>
      <c r="W369" s="78">
        <f>T369/L369</f>
        <v/>
      </c>
      <c r="X369" s="79">
        <f>ABS(W369)</f>
        <v/>
      </c>
      <c r="AG369" s="80" t="inlineStr">
        <is>
          <t>个数</t>
        </is>
      </c>
    </row>
    <row r="370" ht="11.4" customHeight="1">
      <c r="A370" s="67" t="inlineStr">
        <is>
          <t>67</t>
        </is>
      </c>
      <c r="B370" s="67" t="inlineStr">
        <is>
          <t>1065</t>
        </is>
      </c>
      <c r="C370" s="67" t="inlineStr">
        <is>
          <t>1645</t>
        </is>
      </c>
      <c r="D370" s="68" t="inlineStr">
        <is>
          <t>01</t>
        </is>
      </c>
      <c r="E370" s="68" t="inlineStr">
        <is>
          <t>6 物业施工费</t>
        </is>
      </c>
      <c r="F370" s="68" t="inlineStr">
        <is>
          <t>6.1 总承包工程</t>
        </is>
      </c>
      <c r="G370" s="68" t="inlineStr">
        <is>
          <t>6.1.1 内部装修工程</t>
        </is>
      </c>
      <c r="H370" s="68" t="inlineStr">
        <is>
          <t>卫生间洁具</t>
        </is>
      </c>
      <c r="I370" s="69" t="inlineStr">
        <is>
          <t>1000021809</t>
        </is>
      </c>
      <c r="J370" s="69" t="inlineStr">
        <is>
          <t>台下盆连感应龙头</t>
        </is>
      </c>
      <c r="K370" s="70" t="n"/>
      <c r="L370" s="70" t="n"/>
      <c r="M370" s="71" t="inlineStr">
        <is>
          <t>套</t>
        </is>
      </c>
      <c r="N370" s="72" t="n">
        <v>1581.68</v>
      </c>
      <c r="O370" s="72">
        <f>ROUND(N370*(1+$F$10),2)</f>
        <v/>
      </c>
      <c r="P370" s="73">
        <f>ROUND(K370*N370,2)</f>
        <v/>
      </c>
      <c r="Q370" s="74">
        <f>ROUND(L370*N370,2)</f>
        <v/>
      </c>
      <c r="R370" s="75" t="n"/>
      <c r="S370" s="76" t="n"/>
      <c r="T370" s="77">
        <f>K370-L370</f>
        <v/>
      </c>
      <c r="U370" s="77">
        <f>P370-Q370</f>
        <v/>
      </c>
      <c r="V370" s="77">
        <f>ABS(U370)</f>
        <v/>
      </c>
      <c r="W370" s="78">
        <f>T370/L370</f>
        <v/>
      </c>
      <c r="X370" s="79">
        <f>ABS(W370)</f>
        <v/>
      </c>
      <c r="AG370" s="80" t="inlineStr">
        <is>
          <t>是=卫生间钢木洗手台架连仿水磨石台面(高低隔)</t>
        </is>
      </c>
    </row>
    <row r="371" ht="11.4" customHeight="1">
      <c r="A371" s="67" t="inlineStr">
        <is>
          <t>67</t>
        </is>
      </c>
      <c r="B371" s="67" t="inlineStr">
        <is>
          <t>1065</t>
        </is>
      </c>
      <c r="C371" s="67" t="inlineStr">
        <is>
          <t>1645</t>
        </is>
      </c>
      <c r="D371" s="68" t="inlineStr">
        <is>
          <t>01</t>
        </is>
      </c>
      <c r="E371" s="68" t="inlineStr">
        <is>
          <t>6 物业施工费</t>
        </is>
      </c>
      <c r="F371" s="68" t="inlineStr">
        <is>
          <t>6.1 总承包工程</t>
        </is>
      </c>
      <c r="G371" s="68" t="inlineStr">
        <is>
          <t>6.1.1 内部装修工程</t>
        </is>
      </c>
      <c r="H371" s="68" t="inlineStr">
        <is>
          <t>卫生间洁具</t>
        </is>
      </c>
      <c r="I371" s="69" t="inlineStr">
        <is>
          <t>1000021810</t>
        </is>
      </c>
      <c r="J371" s="69" t="inlineStr">
        <is>
          <t>坐便器</t>
        </is>
      </c>
      <c r="K371" s="70" t="n"/>
      <c r="L371" s="70" t="n"/>
      <c r="M371" s="71" t="inlineStr">
        <is>
          <t>套</t>
        </is>
      </c>
      <c r="N371" s="72" t="n">
        <v>1331.19</v>
      </c>
      <c r="O371" s="72">
        <f>ROUND(N371*(1+$F$10),2)</f>
        <v/>
      </c>
      <c r="P371" s="73">
        <f>ROUND(K371*N371,2)</f>
        <v/>
      </c>
      <c r="Q371" s="74">
        <f>ROUND(L371*N371,2)</f>
        <v/>
      </c>
      <c r="R371" s="75" t="n"/>
      <c r="S371" s="76" t="n"/>
      <c r="T371" s="77">
        <f>K371-L371</f>
        <v/>
      </c>
      <c r="U371" s="77">
        <f>P371-Q371</f>
        <v/>
      </c>
      <c r="V371" s="77">
        <f>ABS(U371)</f>
        <v/>
      </c>
      <c r="W371" s="78">
        <f>T371/L371</f>
        <v/>
      </c>
      <c r="X371" s="79">
        <f>ABS(W371)</f>
        <v/>
      </c>
      <c r="AG371" s="80" t="inlineStr">
        <is>
          <t>个数</t>
        </is>
      </c>
    </row>
    <row r="372" ht="11.4" customHeight="1">
      <c r="A372" s="67" t="inlineStr">
        <is>
          <t>67</t>
        </is>
      </c>
      <c r="B372" s="67" t="inlineStr">
        <is>
          <t>1065</t>
        </is>
      </c>
      <c r="C372" s="67" t="inlineStr">
        <is>
          <t>1645</t>
        </is>
      </c>
      <c r="D372" s="68" t="inlineStr">
        <is>
          <t>01</t>
        </is>
      </c>
      <c r="E372" s="68" t="inlineStr">
        <is>
          <t>6 物业施工费</t>
        </is>
      </c>
      <c r="F372" s="68" t="inlineStr">
        <is>
          <t>6.1 总承包工程</t>
        </is>
      </c>
      <c r="G372" s="68" t="inlineStr">
        <is>
          <t>6.1.1 内部装修工程</t>
        </is>
      </c>
      <c r="H372" s="68" t="inlineStr">
        <is>
          <t>卫生间洁具</t>
        </is>
      </c>
      <c r="I372" s="69" t="inlineStr">
        <is>
          <t>1000021811</t>
        </is>
      </c>
      <c r="J372" s="69" t="inlineStr">
        <is>
          <t>蹲便器连冲洗阀</t>
        </is>
      </c>
      <c r="K372" s="70" t="n"/>
      <c r="L372" s="70" t="n"/>
      <c r="M372" s="71" t="inlineStr">
        <is>
          <t>套</t>
        </is>
      </c>
      <c r="N372" s="72" t="n">
        <v>789.14</v>
      </c>
      <c r="O372" s="72">
        <f>ROUND(N372*(1+$F$10),2)</f>
        <v/>
      </c>
      <c r="P372" s="73">
        <f>ROUND(K372*N372,2)</f>
        <v/>
      </c>
      <c r="Q372" s="74">
        <f>ROUND(L372*N372,2)</f>
        <v/>
      </c>
      <c r="R372" s="75" t="n"/>
      <c r="S372" s="76" t="n"/>
      <c r="T372" s="77">
        <f>K372-L372</f>
        <v/>
      </c>
      <c r="U372" s="77">
        <f>P372-Q372</f>
        <v/>
      </c>
      <c r="V372" s="77">
        <f>ABS(U372)</f>
        <v/>
      </c>
      <c r="W372" s="78">
        <f>T372/L372</f>
        <v/>
      </c>
      <c r="X372" s="79">
        <f>ABS(W372)</f>
        <v/>
      </c>
      <c r="AG372" s="80" t="inlineStr">
        <is>
          <t>个数</t>
        </is>
      </c>
    </row>
    <row r="373" ht="11.4" customHeight="1">
      <c r="A373" s="67" t="inlineStr">
        <is>
          <t>67</t>
        </is>
      </c>
      <c r="B373" s="67" t="inlineStr">
        <is>
          <t>1065</t>
        </is>
      </c>
      <c r="C373" s="67" t="inlineStr">
        <is>
          <t>1645</t>
        </is>
      </c>
      <c r="D373" s="68" t="inlineStr">
        <is>
          <t>01</t>
        </is>
      </c>
      <c r="E373" s="68" t="inlineStr">
        <is>
          <t>6 物业施工费</t>
        </is>
      </c>
      <c r="F373" s="68" t="inlineStr">
        <is>
          <t>6.1 总承包工程</t>
        </is>
      </c>
      <c r="G373" s="68" t="inlineStr">
        <is>
          <t>6.1.1 内部装修工程</t>
        </is>
      </c>
      <c r="H373" s="68" t="inlineStr">
        <is>
          <t>卫生间洁具</t>
        </is>
      </c>
      <c r="I373" s="69" t="inlineStr">
        <is>
          <t>1000021812</t>
        </is>
      </c>
      <c r="J373" s="69" t="inlineStr">
        <is>
          <t>小便器连感应器</t>
        </is>
      </c>
      <c r="K373" s="70" t="n"/>
      <c r="L373" s="70" t="n"/>
      <c r="M373" s="71" t="inlineStr">
        <is>
          <t>套</t>
        </is>
      </c>
      <c r="N373" s="72" t="n">
        <v>1271.27</v>
      </c>
      <c r="O373" s="72">
        <f>ROUND(N373*(1+$F$10),2)</f>
        <v/>
      </c>
      <c r="P373" s="73">
        <f>ROUND(K373*N373,2)</f>
        <v/>
      </c>
      <c r="Q373" s="74">
        <f>ROUND(L373*N373,2)</f>
        <v/>
      </c>
      <c r="R373" s="75" t="n"/>
      <c r="S373" s="76" t="n"/>
      <c r="T373" s="77">
        <f>K373-L373</f>
        <v/>
      </c>
      <c r="U373" s="77">
        <f>P373-Q373</f>
        <v/>
      </c>
      <c r="V373" s="77">
        <f>ABS(U373)</f>
        <v/>
      </c>
      <c r="W373" s="78">
        <f>T373/L373</f>
        <v/>
      </c>
      <c r="X373" s="79">
        <f>ABS(W373)</f>
        <v/>
      </c>
      <c r="AG373" s="80" t="inlineStr">
        <is>
          <t>个数</t>
        </is>
      </c>
    </row>
    <row r="374" ht="11.4" customHeight="1">
      <c r="A374" s="67" t="inlineStr">
        <is>
          <t>67</t>
        </is>
      </c>
      <c r="B374" s="67" t="inlineStr">
        <is>
          <t>1065</t>
        </is>
      </c>
      <c r="C374" s="67" t="inlineStr">
        <is>
          <t>1645</t>
        </is>
      </c>
      <c r="D374" s="68" t="inlineStr">
        <is>
          <t>01</t>
        </is>
      </c>
      <c r="E374" s="68" t="inlineStr">
        <is>
          <t>6 物业施工费</t>
        </is>
      </c>
      <c r="F374" s="68" t="inlineStr">
        <is>
          <t>6.1 总承包工程</t>
        </is>
      </c>
      <c r="G374" s="68" t="inlineStr">
        <is>
          <t>6.1.1 内部装修工程</t>
        </is>
      </c>
      <c r="H374" s="68" t="inlineStr">
        <is>
          <t>卫生间洁具</t>
        </is>
      </c>
      <c r="I374" s="69" t="inlineStr">
        <is>
          <t>1000021507</t>
        </is>
      </c>
      <c r="J374" s="69" t="inlineStr">
        <is>
          <t>台下盆连感应龙头-LEED认证</t>
        </is>
      </c>
      <c r="K374" s="70" t="n">
        <v>1</v>
      </c>
      <c r="L374" s="70" t="n">
        <v>1</v>
      </c>
      <c r="M374" s="71" t="inlineStr">
        <is>
          <t>套</t>
        </is>
      </c>
      <c r="N374" s="72" t="n">
        <v>2120.68</v>
      </c>
      <c r="O374" s="72">
        <f>ROUND(N374*(1+$F$10),2)</f>
        <v/>
      </c>
      <c r="P374" s="73">
        <f>ROUND(K374*N374,2)</f>
        <v/>
      </c>
      <c r="Q374" s="74">
        <f>ROUND(L374*N374,2)</f>
        <v/>
      </c>
      <c r="R374" s="75" t="n"/>
      <c r="S374" s="76" t="n"/>
      <c r="T374" s="77">
        <f>K374-L374</f>
        <v/>
      </c>
      <c r="U374" s="77">
        <f>P374-Q374</f>
        <v/>
      </c>
      <c r="V374" s="77">
        <f>ABS(U374)</f>
        <v/>
      </c>
      <c r="W374" s="78">
        <f>T374/L374</f>
        <v/>
      </c>
      <c r="X374" s="79">
        <f>ABS(W374)</f>
        <v/>
      </c>
      <c r="AG374" s="80" t="inlineStr">
        <is>
          <t>个数</t>
        </is>
      </c>
    </row>
    <row r="375" ht="11.4" customHeight="1">
      <c r="A375" s="67" t="inlineStr">
        <is>
          <t>67</t>
        </is>
      </c>
      <c r="B375" s="67" t="inlineStr">
        <is>
          <t>1065</t>
        </is>
      </c>
      <c r="C375" s="67" t="inlineStr">
        <is>
          <t>1645</t>
        </is>
      </c>
      <c r="D375" s="68" t="inlineStr">
        <is>
          <t>01</t>
        </is>
      </c>
      <c r="E375" s="68" t="inlineStr">
        <is>
          <t>6 物业施工费</t>
        </is>
      </c>
      <c r="F375" s="68" t="inlineStr">
        <is>
          <t>6.1 总承包工程</t>
        </is>
      </c>
      <c r="G375" s="68" t="inlineStr">
        <is>
          <t>6.1.1 内部装修工程</t>
        </is>
      </c>
      <c r="H375" s="68" t="inlineStr">
        <is>
          <t>卫生间洁具</t>
        </is>
      </c>
      <c r="I375" s="69" t="inlineStr">
        <is>
          <t>1000021508</t>
        </is>
      </c>
      <c r="J375" s="69" t="inlineStr">
        <is>
          <t>坐便器-LEED认证</t>
        </is>
      </c>
      <c r="K375" s="70" t="n"/>
      <c r="L375" s="70" t="n"/>
      <c r="M375" s="71" t="inlineStr">
        <is>
          <t>套</t>
        </is>
      </c>
      <c r="N375" s="72" t="n">
        <v>1842.69</v>
      </c>
      <c r="O375" s="72">
        <f>ROUND(N375*(1+$F$10),2)</f>
        <v/>
      </c>
      <c r="P375" s="73">
        <f>ROUND(K375*N375,2)</f>
        <v/>
      </c>
      <c r="Q375" s="74">
        <f>ROUND(L375*N375,2)</f>
        <v/>
      </c>
      <c r="R375" s="75" t="n"/>
      <c r="S375" s="76" t="n"/>
      <c r="T375" s="77">
        <f>K375-L375</f>
        <v/>
      </c>
      <c r="U375" s="77">
        <f>P375-Q375</f>
        <v/>
      </c>
      <c r="V375" s="77">
        <f>ABS(U375)</f>
        <v/>
      </c>
      <c r="W375" s="78">
        <f>T375/L375</f>
        <v/>
      </c>
      <c r="X375" s="79">
        <f>ABS(W375)</f>
        <v/>
      </c>
      <c r="AG375" s="80" t="inlineStr">
        <is>
          <t>个数</t>
        </is>
      </c>
    </row>
    <row r="376" ht="11.4" customHeight="1">
      <c r="A376" s="67" t="inlineStr">
        <is>
          <t>67</t>
        </is>
      </c>
      <c r="B376" s="67" t="inlineStr">
        <is>
          <t>1065</t>
        </is>
      </c>
      <c r="C376" s="67" t="inlineStr">
        <is>
          <t>1645</t>
        </is>
      </c>
      <c r="D376" s="68" t="inlineStr">
        <is>
          <t>01</t>
        </is>
      </c>
      <c r="E376" s="68" t="inlineStr">
        <is>
          <t>6 物业施工费</t>
        </is>
      </c>
      <c r="F376" s="68" t="inlineStr">
        <is>
          <t>6.1 总承包工程</t>
        </is>
      </c>
      <c r="G376" s="68" t="inlineStr">
        <is>
          <t>6.1.1 内部装修工程</t>
        </is>
      </c>
      <c r="H376" s="68" t="inlineStr">
        <is>
          <t>卫生间洁具</t>
        </is>
      </c>
      <c r="I376" s="69" t="inlineStr">
        <is>
          <t>1000040120</t>
        </is>
      </c>
      <c r="J376" s="69" t="inlineStr">
        <is>
          <t>蹲便器配隐藏式水箱-LEED认证</t>
        </is>
      </c>
      <c r="K376" s="70" t="n"/>
      <c r="L376" s="70" t="n"/>
      <c r="M376" s="71" t="inlineStr">
        <is>
          <t>套</t>
        </is>
      </c>
      <c r="N376" s="72" t="n">
        <v>2194.94</v>
      </c>
      <c r="O376" s="72">
        <f>ROUND(N376*(1+$F$10),2)</f>
        <v/>
      </c>
      <c r="P376" s="73">
        <f>ROUND(K376*N376,2)</f>
        <v/>
      </c>
      <c r="Q376" s="74">
        <f>ROUND(L376*N376,2)</f>
        <v/>
      </c>
      <c r="R376" s="75" t="n"/>
      <c r="S376" s="76" t="n"/>
      <c r="T376" s="77">
        <f>K376-L376</f>
        <v/>
      </c>
      <c r="U376" s="77">
        <f>P376-Q376</f>
        <v/>
      </c>
      <c r="V376" s="77">
        <f>ABS(U376)</f>
        <v/>
      </c>
      <c r="W376" s="78">
        <f>T376/L376</f>
        <v/>
      </c>
      <c r="X376" s="79">
        <f>ABS(W376)</f>
        <v/>
      </c>
      <c r="AG376" s="80" t="inlineStr">
        <is>
          <t>个数</t>
        </is>
      </c>
    </row>
    <row r="377" ht="11.4" customHeight="1">
      <c r="A377" s="67" t="inlineStr">
        <is>
          <t>67</t>
        </is>
      </c>
      <c r="B377" s="67" t="inlineStr">
        <is>
          <t>1065</t>
        </is>
      </c>
      <c r="C377" s="67" t="inlineStr">
        <is>
          <t>1645</t>
        </is>
      </c>
      <c r="D377" s="68" t="inlineStr">
        <is>
          <t>01</t>
        </is>
      </c>
      <c r="E377" s="68" t="inlineStr">
        <is>
          <t>6 物业施工费</t>
        </is>
      </c>
      <c r="F377" s="68" t="inlineStr">
        <is>
          <t>6.1 总承包工程</t>
        </is>
      </c>
      <c r="G377" s="68" t="inlineStr">
        <is>
          <t>6.1.1 内部装修工程</t>
        </is>
      </c>
      <c r="H377" s="68" t="inlineStr">
        <is>
          <t>卫生间洁具</t>
        </is>
      </c>
      <c r="I377" s="69" t="inlineStr">
        <is>
          <t>1000021510</t>
        </is>
      </c>
      <c r="J377" s="69" t="inlineStr">
        <is>
          <t>小便器连感应器-LEED认证</t>
        </is>
      </c>
      <c r="K377" s="70" t="n"/>
      <c r="L377" s="70" t="n"/>
      <c r="M377" s="71" t="inlineStr">
        <is>
          <t>套</t>
        </is>
      </c>
      <c r="N377" s="72" t="n">
        <v>2552.77</v>
      </c>
      <c r="O377" s="72">
        <f>ROUND(N377*(1+$F$10),2)</f>
        <v/>
      </c>
      <c r="P377" s="73">
        <f>ROUND(K377*N377,2)</f>
        <v/>
      </c>
      <c r="Q377" s="74">
        <f>ROUND(L377*N377,2)</f>
        <v/>
      </c>
      <c r="R377" s="75" t="n"/>
      <c r="S377" s="76" t="n"/>
      <c r="T377" s="77">
        <f>K377-L377</f>
        <v/>
      </c>
      <c r="U377" s="77">
        <f>P377-Q377</f>
        <v/>
      </c>
      <c r="V377" s="77">
        <f>ABS(U377)</f>
        <v/>
      </c>
      <c r="W377" s="78">
        <f>T377/L377</f>
        <v/>
      </c>
      <c r="X377" s="79">
        <f>ABS(W377)</f>
        <v/>
      </c>
      <c r="AG377" s="80" t="inlineStr">
        <is>
          <t>个数</t>
        </is>
      </c>
    </row>
    <row r="378" ht="11.4" customHeight="1">
      <c r="A378" s="67" t="inlineStr">
        <is>
          <t>62</t>
        </is>
      </c>
      <c r="B378" s="67" t="inlineStr">
        <is>
          <t>1060</t>
        </is>
      </c>
      <c r="C378" s="67" t="inlineStr">
        <is>
          <t>1611</t>
        </is>
      </c>
      <c r="D378" s="68" t="inlineStr">
        <is>
          <t>01</t>
        </is>
      </c>
      <c r="E378" s="68" t="inlineStr">
        <is>
          <t>6 物业施工费</t>
        </is>
      </c>
      <c r="F378" s="68" t="inlineStr">
        <is>
          <t>6.1 总承包工程</t>
        </is>
      </c>
      <c r="G378" s="68" t="inlineStr">
        <is>
          <t>6.1.1 内部装修工程</t>
        </is>
      </c>
      <c r="H378" s="68" t="inlineStr">
        <is>
          <t>楼梯装修</t>
        </is>
      </c>
      <c r="I378" s="69" t="inlineStr">
        <is>
          <t>1000021511</t>
        </is>
      </c>
      <c r="J378" s="69" t="inlineStr">
        <is>
          <t>国产同质砖（琛雄，含不超过50mm厚的找平层，楼梯）</t>
        </is>
      </c>
      <c r="K378" s="70" t="n"/>
      <c r="L378" s="70" t="n"/>
      <c r="M378" s="71" t="inlineStr">
        <is>
          <t>m2</t>
        </is>
      </c>
      <c r="N378" s="72" t="n">
        <v>272.28</v>
      </c>
      <c r="O378" s="72">
        <f>ROUND(N378*(1+$F$10),2)</f>
        <v/>
      </c>
      <c r="P378" s="73">
        <f>ROUND(K378*N378,2)</f>
        <v/>
      </c>
      <c r="Q378" s="74">
        <f>ROUND(L378*N378,2)</f>
        <v/>
      </c>
      <c r="R378" s="75" t="n"/>
      <c r="S378" s="76" t="n"/>
      <c r="T378" s="77">
        <f>K378-L378</f>
        <v/>
      </c>
      <c r="U378" s="77">
        <f>P378-Q378</f>
        <v/>
      </c>
      <c r="V378" s="77">
        <f>ABS(U378)</f>
        <v/>
      </c>
      <c r="W378" s="78">
        <f>T378/L378</f>
        <v/>
      </c>
      <c r="X378" s="79">
        <f>ABS(W378)</f>
        <v/>
      </c>
      <c r="AH378" s="80" t="inlineStr">
        <is>
          <t>不建模</t>
        </is>
      </c>
    </row>
    <row r="379" ht="11.4" customHeight="1">
      <c r="A379" s="67" t="inlineStr">
        <is>
          <t>62</t>
        </is>
      </c>
      <c r="B379" s="67" t="inlineStr">
        <is>
          <t>1060</t>
        </is>
      </c>
      <c r="C379" s="67" t="inlineStr">
        <is>
          <t>1611</t>
        </is>
      </c>
      <c r="D379" s="68" t="inlineStr">
        <is>
          <t>01</t>
        </is>
      </c>
      <c r="E379" s="68" t="inlineStr">
        <is>
          <t>6 物业施工费</t>
        </is>
      </c>
      <c r="F379" s="68" t="inlineStr">
        <is>
          <t>6.1 总承包工程</t>
        </is>
      </c>
      <c r="G379" s="68" t="inlineStr">
        <is>
          <t>6.1.1 内部装修工程</t>
        </is>
      </c>
      <c r="H379" s="68" t="inlineStr">
        <is>
          <t>楼梯装修</t>
        </is>
      </c>
      <c r="I379" s="69" t="inlineStr">
        <is>
          <t>1000021673</t>
        </is>
      </c>
      <c r="J379" s="69" t="inlineStr">
        <is>
          <t>国产同质砖踢脚（琛雄，楼梯）</t>
        </is>
      </c>
      <c r="K379" s="70" t="n"/>
      <c r="L379" s="70" t="n"/>
      <c r="M379" s="71" t="inlineStr">
        <is>
          <t>米</t>
        </is>
      </c>
      <c r="N379" s="72" t="n">
        <v>51.4</v>
      </c>
      <c r="O379" s="72">
        <f>ROUND(N379*(1+$F$10),2)</f>
        <v/>
      </c>
      <c r="P379" s="73">
        <f>ROUND(K379*N379,2)</f>
        <v/>
      </c>
      <c r="Q379" s="74">
        <f>ROUND(L379*N379,2)</f>
        <v/>
      </c>
      <c r="R379" s="75" t="n"/>
      <c r="S379" s="76" t="n"/>
      <c r="T379" s="77">
        <f>K379-L379</f>
        <v/>
      </c>
      <c r="U379" s="77">
        <f>P379-Q379</f>
        <v/>
      </c>
      <c r="V379" s="77">
        <f>ABS(U379)</f>
        <v/>
      </c>
      <c r="W379" s="78">
        <f>T379/L379</f>
        <v/>
      </c>
      <c r="X379" s="79">
        <f>ABS(W379)</f>
        <v/>
      </c>
      <c r="AH379" s="80" t="inlineStr">
        <is>
          <t>不建模</t>
        </is>
      </c>
    </row>
    <row r="380" ht="11.4" customHeight="1">
      <c r="A380" s="67" t="inlineStr">
        <is>
          <t>62</t>
        </is>
      </c>
      <c r="B380" s="67" t="inlineStr">
        <is>
          <t>1060</t>
        </is>
      </c>
      <c r="C380" s="67" t="inlineStr">
        <is>
          <t>1611</t>
        </is>
      </c>
      <c r="D380" s="68" t="inlineStr">
        <is>
          <t>01</t>
        </is>
      </c>
      <c r="E380" s="68" t="inlineStr">
        <is>
          <t>6 物业施工费</t>
        </is>
      </c>
      <c r="F380" s="68" t="inlineStr">
        <is>
          <t>6.1 总承包工程</t>
        </is>
      </c>
      <c r="G380" s="68" t="inlineStr">
        <is>
          <t>6.1.1 内部装修工程</t>
        </is>
      </c>
      <c r="H380" s="68" t="inlineStr">
        <is>
          <t>楼梯装修</t>
        </is>
      </c>
      <c r="I380" s="69" t="inlineStr">
        <is>
          <t>1000021652</t>
        </is>
      </c>
      <c r="J380" s="69" t="inlineStr">
        <is>
          <t>国产同质砖（共荣，含不超过50mm厚的找平层，楼梯）</t>
        </is>
      </c>
      <c r="K380" s="70" t="n"/>
      <c r="L380" s="70" t="n"/>
      <c r="M380" s="71" t="inlineStr">
        <is>
          <t>m2</t>
        </is>
      </c>
      <c r="N380" s="72" t="n">
        <v>247.97</v>
      </c>
      <c r="O380" s="72">
        <f>ROUND(N380*(1+$F$10),2)</f>
        <v/>
      </c>
      <c r="P380" s="73">
        <f>ROUND(K380*N380,2)</f>
        <v/>
      </c>
      <c r="Q380" s="74">
        <f>ROUND(L380*N380,2)</f>
        <v/>
      </c>
      <c r="R380" s="75" t="n"/>
      <c r="S380" s="76" t="n"/>
      <c r="T380" s="77">
        <f>K380-L380</f>
        <v/>
      </c>
      <c r="U380" s="77">
        <f>P380-Q380</f>
        <v/>
      </c>
      <c r="V380" s="77">
        <f>ABS(U380)</f>
        <v/>
      </c>
      <c r="W380" s="78">
        <f>T380/L380</f>
        <v/>
      </c>
      <c r="X380" s="79">
        <f>ABS(W380)</f>
        <v/>
      </c>
      <c r="AH380" s="80" t="inlineStr">
        <is>
          <t>不建模</t>
        </is>
      </c>
    </row>
    <row r="381" ht="11.4" customHeight="1">
      <c r="A381" s="67" t="inlineStr">
        <is>
          <t>62</t>
        </is>
      </c>
      <c r="B381" s="67" t="inlineStr">
        <is>
          <t>1060</t>
        </is>
      </c>
      <c r="C381" s="67" t="inlineStr">
        <is>
          <t>1611</t>
        </is>
      </c>
      <c r="D381" s="68" t="inlineStr">
        <is>
          <t>01</t>
        </is>
      </c>
      <c r="E381" s="68" t="inlineStr">
        <is>
          <t>6 物业施工费</t>
        </is>
      </c>
      <c r="F381" s="68" t="inlineStr">
        <is>
          <t>6.1 总承包工程</t>
        </is>
      </c>
      <c r="G381" s="68" t="inlineStr">
        <is>
          <t>6.1.1 内部装修工程</t>
        </is>
      </c>
      <c r="H381" s="68" t="inlineStr">
        <is>
          <t>楼梯装修</t>
        </is>
      </c>
      <c r="I381" s="69" t="inlineStr">
        <is>
          <t>1000021653</t>
        </is>
      </c>
      <c r="J381" s="69" t="inlineStr">
        <is>
          <t>国产同质砖踢脚（共荣，楼梯）</t>
        </is>
      </c>
      <c r="K381" s="70" t="n"/>
      <c r="L381" s="70" t="n"/>
      <c r="M381" s="71" t="inlineStr">
        <is>
          <t>米</t>
        </is>
      </c>
      <c r="N381" s="72" t="n">
        <v>48.54</v>
      </c>
      <c r="O381" s="72">
        <f>ROUND(N381*(1+$F$10),2)</f>
        <v/>
      </c>
      <c r="P381" s="73">
        <f>ROUND(K381*N381,2)</f>
        <v/>
      </c>
      <c r="Q381" s="74">
        <f>ROUND(L381*N381,2)</f>
        <v/>
      </c>
      <c r="R381" s="75" t="n"/>
      <c r="S381" s="76" t="n"/>
      <c r="T381" s="77">
        <f>K381-L381</f>
        <v/>
      </c>
      <c r="U381" s="77">
        <f>P381-Q381</f>
        <v/>
      </c>
      <c r="V381" s="77">
        <f>ABS(U381)</f>
        <v/>
      </c>
      <c r="W381" s="78">
        <f>T381/L381</f>
        <v/>
      </c>
      <c r="X381" s="79">
        <f>ABS(W381)</f>
        <v/>
      </c>
      <c r="AH381" s="80" t="inlineStr">
        <is>
          <t>不建模</t>
        </is>
      </c>
    </row>
    <row r="382" ht="11.4" customHeight="1">
      <c r="A382" s="67" t="inlineStr">
        <is>
          <t>62</t>
        </is>
      </c>
      <c r="B382" s="67" t="inlineStr">
        <is>
          <t>1060</t>
        </is>
      </c>
      <c r="C382" s="67" t="inlineStr">
        <is>
          <t>1611</t>
        </is>
      </c>
      <c r="D382" s="68" t="inlineStr">
        <is>
          <t>01</t>
        </is>
      </c>
      <c r="E382" s="68" t="inlineStr">
        <is>
          <t>6 物业施工费</t>
        </is>
      </c>
      <c r="F382" s="68" t="inlineStr">
        <is>
          <t>6.1 总承包工程</t>
        </is>
      </c>
      <c r="G382" s="68" t="inlineStr">
        <is>
          <t>6.1.1 内部装修工程</t>
        </is>
      </c>
      <c r="H382" s="68" t="inlineStr">
        <is>
          <t>楼梯装修</t>
        </is>
      </c>
      <c r="I382" s="69" t="inlineStr">
        <is>
          <t>1000021512</t>
        </is>
      </c>
      <c r="J382" s="69" t="inlineStr">
        <is>
          <t>国产同质砖（冠军，含不超过50mm厚的找平层，楼梯）</t>
        </is>
      </c>
      <c r="K382" s="70" t="n"/>
      <c r="L382" s="70" t="n"/>
      <c r="M382" s="71" t="inlineStr">
        <is>
          <t>m2</t>
        </is>
      </c>
      <c r="N382" s="72" t="n">
        <v>273.71</v>
      </c>
      <c r="O382" s="72">
        <f>ROUND(N382*(1+$F$10),2)</f>
        <v/>
      </c>
      <c r="P382" s="73">
        <f>ROUND(K382*N382,2)</f>
        <v/>
      </c>
      <c r="Q382" s="74">
        <f>ROUND(L382*N382,2)</f>
        <v/>
      </c>
      <c r="R382" s="75" t="n"/>
      <c r="S382" s="76" t="n"/>
      <c r="T382" s="77">
        <f>K382-L382</f>
        <v/>
      </c>
      <c r="U382" s="77">
        <f>P382-Q382</f>
        <v/>
      </c>
      <c r="V382" s="77">
        <f>ABS(U382)</f>
        <v/>
      </c>
      <c r="W382" s="78">
        <f>T382/L382</f>
        <v/>
      </c>
      <c r="X382" s="79">
        <f>ABS(W382)</f>
        <v/>
      </c>
      <c r="AH382" s="80" t="inlineStr">
        <is>
          <t>不建模</t>
        </is>
      </c>
    </row>
    <row r="383" ht="11.4" customHeight="1">
      <c r="A383" s="67" t="inlineStr">
        <is>
          <t>62</t>
        </is>
      </c>
      <c r="B383" s="67" t="inlineStr">
        <is>
          <t>1060</t>
        </is>
      </c>
      <c r="C383" s="67" t="inlineStr">
        <is>
          <t>1611</t>
        </is>
      </c>
      <c r="D383" s="68" t="inlineStr">
        <is>
          <t>01</t>
        </is>
      </c>
      <c r="E383" s="68" t="inlineStr">
        <is>
          <t>6 物业施工费</t>
        </is>
      </c>
      <c r="F383" s="68" t="inlineStr">
        <is>
          <t>6.1 总承包工程</t>
        </is>
      </c>
      <c r="G383" s="68" t="inlineStr">
        <is>
          <t>6.1.1 内部装修工程</t>
        </is>
      </c>
      <c r="H383" s="68" t="inlineStr">
        <is>
          <t>楼梯装修</t>
        </is>
      </c>
      <c r="I383" s="69" t="inlineStr">
        <is>
          <t>1000021513</t>
        </is>
      </c>
      <c r="J383" s="69" t="inlineStr">
        <is>
          <t>国产同质砖踢脚（冠军，楼梯）</t>
        </is>
      </c>
      <c r="K383" s="70" t="n"/>
      <c r="L383" s="70" t="n"/>
      <c r="M383" s="71" t="inlineStr">
        <is>
          <t>米</t>
        </is>
      </c>
      <c r="N383" s="72" t="n">
        <v>52.83</v>
      </c>
      <c r="O383" s="72">
        <f>ROUND(N383*(1+$F$10),2)</f>
        <v/>
      </c>
      <c r="P383" s="73">
        <f>ROUND(K383*N383,2)</f>
        <v/>
      </c>
      <c r="Q383" s="74">
        <f>ROUND(L383*N383,2)</f>
        <v/>
      </c>
      <c r="R383" s="75" t="n"/>
      <c r="S383" s="76" t="n"/>
      <c r="T383" s="77">
        <f>K383-L383</f>
        <v/>
      </c>
      <c r="U383" s="77">
        <f>P383-Q383</f>
        <v/>
      </c>
      <c r="V383" s="77">
        <f>ABS(U383)</f>
        <v/>
      </c>
      <c r="W383" s="78">
        <f>T383/L383</f>
        <v/>
      </c>
      <c r="X383" s="79">
        <f>ABS(W383)</f>
        <v/>
      </c>
      <c r="AH383" s="80" t="inlineStr">
        <is>
          <t>不建模</t>
        </is>
      </c>
    </row>
    <row r="384" ht="11.4" customHeight="1">
      <c r="A384" s="67" t="inlineStr">
        <is>
          <t>62</t>
        </is>
      </c>
      <c r="B384" s="67" t="inlineStr">
        <is>
          <t>1060</t>
        </is>
      </c>
      <c r="C384" s="67" t="inlineStr">
        <is>
          <t>1611</t>
        </is>
      </c>
      <c r="D384" s="68" t="inlineStr">
        <is>
          <t>01</t>
        </is>
      </c>
      <c r="E384" s="68" t="inlineStr">
        <is>
          <t>6 物业施工费</t>
        </is>
      </c>
      <c r="F384" s="68" t="inlineStr">
        <is>
          <t>6.1 总承包工程</t>
        </is>
      </c>
      <c r="G384" s="68" t="inlineStr">
        <is>
          <t>6.1.1 内部装修工程</t>
        </is>
      </c>
      <c r="H384" s="68" t="inlineStr">
        <is>
          <t>楼梯装修</t>
        </is>
      </c>
      <c r="I384" s="69" t="inlineStr">
        <is>
          <t>1000053618</t>
        </is>
      </c>
      <c r="J384" s="69" t="inlineStr">
        <is>
          <t>600*600mm灰色水泥地砖（琛雄，含不超过50mm厚的找平层，楼梯）</t>
        </is>
      </c>
      <c r="K384" s="70" t="n"/>
      <c r="L384" s="70" t="n"/>
      <c r="M384" s="71" t="inlineStr">
        <is>
          <t>m2</t>
        </is>
      </c>
      <c r="N384" s="72" t="n">
        <v>289.46</v>
      </c>
      <c r="O384" s="72">
        <f>ROUND(N384*(1+$F$10),2)</f>
        <v/>
      </c>
      <c r="P384" s="73">
        <f>ROUND(K384*N384,2)</f>
        <v/>
      </c>
      <c r="Q384" s="74">
        <f>ROUND(L384*N384,2)</f>
        <v/>
      </c>
      <c r="R384" s="75" t="n"/>
      <c r="S384" s="76" t="n"/>
      <c r="T384" s="77">
        <f>K384-L384</f>
        <v/>
      </c>
      <c r="U384" s="77">
        <f>P384-Q384</f>
        <v/>
      </c>
      <c r="V384" s="77">
        <f>ABS(U384)</f>
        <v/>
      </c>
      <c r="W384" s="78">
        <f>T384/L384</f>
        <v/>
      </c>
      <c r="X384" s="79">
        <f>ABS(W384)</f>
        <v/>
      </c>
      <c r="AH384" s="80" t="inlineStr">
        <is>
          <t>不建模</t>
        </is>
      </c>
    </row>
    <row r="385" ht="11.4" customHeight="1">
      <c r="A385" s="67" t="inlineStr">
        <is>
          <t>62</t>
        </is>
      </c>
      <c r="B385" s="67" t="inlineStr">
        <is>
          <t>1060</t>
        </is>
      </c>
      <c r="C385" s="67" t="inlineStr">
        <is>
          <t>1611</t>
        </is>
      </c>
      <c r="D385" s="68" t="inlineStr">
        <is>
          <t>01</t>
        </is>
      </c>
      <c r="E385" s="68" t="inlineStr">
        <is>
          <t>6 物业施工费</t>
        </is>
      </c>
      <c r="F385" s="68" t="inlineStr">
        <is>
          <t>6.1 总承包工程</t>
        </is>
      </c>
      <c r="G385" s="68" t="inlineStr">
        <is>
          <t>6.1.1 内部装修工程</t>
        </is>
      </c>
      <c r="H385" s="68" t="inlineStr">
        <is>
          <t>楼梯装修</t>
        </is>
      </c>
      <c r="I385" s="69" t="inlineStr">
        <is>
          <t>1000053621</t>
        </is>
      </c>
      <c r="J385" s="69" t="inlineStr">
        <is>
          <t>灰色水泥纹踢脚（琛雄，楼梯）</t>
        </is>
      </c>
      <c r="K385" s="70" t="n"/>
      <c r="L385" s="70" t="n"/>
      <c r="M385" s="71" t="inlineStr">
        <is>
          <t>m2</t>
        </is>
      </c>
      <c r="N385" s="72" t="n">
        <v>49.86</v>
      </c>
      <c r="O385" s="72">
        <f>ROUND(N385*(1+$F$10),2)</f>
        <v/>
      </c>
      <c r="P385" s="73">
        <f>ROUND(K385*N385,2)</f>
        <v/>
      </c>
      <c r="Q385" s="74">
        <f>ROUND(L385*N385,2)</f>
        <v/>
      </c>
      <c r="R385" s="75" t="n"/>
      <c r="S385" s="76" t="n"/>
      <c r="T385" s="77">
        <f>K385-L385</f>
        <v/>
      </c>
      <c r="U385" s="77">
        <f>P385-Q385</f>
        <v/>
      </c>
      <c r="V385" s="77">
        <f>ABS(U385)</f>
        <v/>
      </c>
      <c r="W385" s="78">
        <f>T385/L385</f>
        <v/>
      </c>
      <c r="X385" s="79">
        <f>ABS(W385)</f>
        <v/>
      </c>
      <c r="AH385" s="80" t="inlineStr">
        <is>
          <t>不建模</t>
        </is>
      </c>
    </row>
    <row r="386" ht="11.4" customHeight="1">
      <c r="A386" s="67" t="inlineStr">
        <is>
          <t>62</t>
        </is>
      </c>
      <c r="B386" s="67" t="inlineStr">
        <is>
          <t>1060</t>
        </is>
      </c>
      <c r="C386" s="67" t="inlineStr">
        <is>
          <t>1611</t>
        </is>
      </c>
      <c r="D386" s="68" t="inlineStr">
        <is>
          <t>01</t>
        </is>
      </c>
      <c r="E386" s="68" t="inlineStr">
        <is>
          <t>6 物业施工费</t>
        </is>
      </c>
      <c r="F386" s="68" t="inlineStr">
        <is>
          <t>6.1 总承包工程</t>
        </is>
      </c>
      <c r="G386" s="68" t="inlineStr">
        <is>
          <t>6.1.1 内部装修工程</t>
        </is>
      </c>
      <c r="H386" s="68" t="inlineStr">
        <is>
          <t>楼梯装修</t>
        </is>
      </c>
      <c r="I386" s="69" t="inlineStr">
        <is>
          <t>1000053619</t>
        </is>
      </c>
      <c r="J386" s="69" t="inlineStr">
        <is>
          <t>600*600mm灰色水泥地砖（共荣，含不超过50mm厚的找平层，楼梯）</t>
        </is>
      </c>
      <c r="K386" s="70" t="n"/>
      <c r="L386" s="70" t="n"/>
      <c r="M386" s="71" t="inlineStr">
        <is>
          <t>m2</t>
        </is>
      </c>
      <c r="N386" s="72" t="n">
        <v>249.51</v>
      </c>
      <c r="O386" s="72">
        <f>ROUND(N386*(1+$F$10),2)</f>
        <v/>
      </c>
      <c r="P386" s="73">
        <f>ROUND(K386*N386,2)</f>
        <v/>
      </c>
      <c r="Q386" s="74">
        <f>ROUND(L386*N386,2)</f>
        <v/>
      </c>
      <c r="R386" s="75" t="n"/>
      <c r="S386" s="76" t="n"/>
      <c r="T386" s="77">
        <f>K386-L386</f>
        <v/>
      </c>
      <c r="U386" s="77">
        <f>P386-Q386</f>
        <v/>
      </c>
      <c r="V386" s="77">
        <f>ABS(U386)</f>
        <v/>
      </c>
      <c r="W386" s="78">
        <f>T386/L386</f>
        <v/>
      </c>
      <c r="X386" s="79">
        <f>ABS(W386)</f>
        <v/>
      </c>
      <c r="AH386" s="80" t="inlineStr">
        <is>
          <t>不建模</t>
        </is>
      </c>
    </row>
    <row r="387" ht="11.4" customHeight="1">
      <c r="A387" s="67" t="inlineStr">
        <is>
          <t>62</t>
        </is>
      </c>
      <c r="B387" s="67" t="inlineStr">
        <is>
          <t>1060</t>
        </is>
      </c>
      <c r="C387" s="67" t="inlineStr">
        <is>
          <t>1611</t>
        </is>
      </c>
      <c r="D387" s="68" t="inlineStr">
        <is>
          <t>01</t>
        </is>
      </c>
      <c r="E387" s="68" t="inlineStr">
        <is>
          <t>6 物业施工费</t>
        </is>
      </c>
      <c r="F387" s="68" t="inlineStr">
        <is>
          <t>6.1 总承包工程</t>
        </is>
      </c>
      <c r="G387" s="68" t="inlineStr">
        <is>
          <t>6.1.1 内部装修工程</t>
        </is>
      </c>
      <c r="H387" s="68" t="inlineStr">
        <is>
          <t>楼梯装修</t>
        </is>
      </c>
      <c r="I387" s="69" t="inlineStr">
        <is>
          <t>1000053622</t>
        </is>
      </c>
      <c r="J387" s="69" t="inlineStr">
        <is>
          <t>灰色水泥纹踢脚（共荣，楼梯）</t>
        </is>
      </c>
      <c r="K387" s="70" t="n"/>
      <c r="L387" s="70" t="n"/>
      <c r="M387" s="71" t="inlineStr">
        <is>
          <t>米</t>
        </is>
      </c>
      <c r="N387" s="72" t="n">
        <v>47.44</v>
      </c>
      <c r="O387" s="72">
        <f>ROUND(N387*(1+$F$10),2)</f>
        <v/>
      </c>
      <c r="P387" s="73">
        <f>ROUND(K387*N387,2)</f>
        <v/>
      </c>
      <c r="Q387" s="74">
        <f>ROUND(L387*N387,2)</f>
        <v/>
      </c>
      <c r="R387" s="75" t="n"/>
      <c r="S387" s="76" t="n"/>
      <c r="T387" s="77">
        <f>K387-L387</f>
        <v/>
      </c>
      <c r="U387" s="77">
        <f>P387-Q387</f>
        <v/>
      </c>
      <c r="V387" s="77">
        <f>ABS(U387)</f>
        <v/>
      </c>
      <c r="W387" s="78">
        <f>T387/L387</f>
        <v/>
      </c>
      <c r="X387" s="79">
        <f>ABS(W387)</f>
        <v/>
      </c>
      <c r="AH387" s="80" t="inlineStr">
        <is>
          <t>不建模</t>
        </is>
      </c>
    </row>
    <row r="388" ht="11.4" customHeight="1">
      <c r="A388" s="67" t="inlineStr">
        <is>
          <t>62</t>
        </is>
      </c>
      <c r="B388" s="67" t="inlineStr">
        <is>
          <t>1060</t>
        </is>
      </c>
      <c r="C388" s="67" t="inlineStr">
        <is>
          <t>1611</t>
        </is>
      </c>
      <c r="D388" s="68" t="inlineStr">
        <is>
          <t>01</t>
        </is>
      </c>
      <c r="E388" s="68" t="inlineStr">
        <is>
          <t>6 物业施工费</t>
        </is>
      </c>
      <c r="F388" s="68" t="inlineStr">
        <is>
          <t>6.1 总承包工程</t>
        </is>
      </c>
      <c r="G388" s="68" t="inlineStr">
        <is>
          <t>6.1.1 内部装修工程</t>
        </is>
      </c>
      <c r="H388" s="68" t="inlineStr">
        <is>
          <t>楼梯装修</t>
        </is>
      </c>
      <c r="I388" s="69" t="inlineStr">
        <is>
          <t>1000053620</t>
        </is>
      </c>
      <c r="J388" s="69" t="inlineStr">
        <is>
          <t>600*600mm灰色水泥地砖（冠军，含不超过50mm厚的找平层，楼梯）</t>
        </is>
      </c>
      <c r="K388" s="70" t="n"/>
      <c r="L388" s="70" t="n"/>
      <c r="M388" s="71" t="inlineStr">
        <is>
          <t>m2</t>
        </is>
      </c>
      <c r="N388" s="72" t="n">
        <v>290.89</v>
      </c>
      <c r="O388" s="72">
        <f>ROUND(N388*(1+$F$10),2)</f>
        <v/>
      </c>
      <c r="P388" s="73">
        <f>ROUND(K388*N388,2)</f>
        <v/>
      </c>
      <c r="Q388" s="74">
        <f>ROUND(L388*N388,2)</f>
        <v/>
      </c>
      <c r="R388" s="75" t="n"/>
      <c r="S388" s="76" t="n"/>
      <c r="T388" s="77">
        <f>K388-L388</f>
        <v/>
      </c>
      <c r="U388" s="77">
        <f>P388-Q388</f>
        <v/>
      </c>
      <c r="V388" s="77">
        <f>ABS(U388)</f>
        <v/>
      </c>
      <c r="W388" s="78">
        <f>T388/L388</f>
        <v/>
      </c>
      <c r="X388" s="79">
        <f>ABS(W388)</f>
        <v/>
      </c>
      <c r="AH388" s="80" t="inlineStr">
        <is>
          <t>不建模</t>
        </is>
      </c>
    </row>
    <row r="389" ht="11.4" customHeight="1">
      <c r="A389" s="67" t="inlineStr">
        <is>
          <t>62</t>
        </is>
      </c>
      <c r="B389" s="67" t="inlineStr">
        <is>
          <t>1060</t>
        </is>
      </c>
      <c r="C389" s="67" t="inlineStr">
        <is>
          <t>1611</t>
        </is>
      </c>
      <c r="D389" s="68" t="inlineStr">
        <is>
          <t>01</t>
        </is>
      </c>
      <c r="E389" s="68" t="inlineStr">
        <is>
          <t>6 物业施工费</t>
        </is>
      </c>
      <c r="F389" s="68" t="inlineStr">
        <is>
          <t>6.1 总承包工程</t>
        </is>
      </c>
      <c r="G389" s="68" t="inlineStr">
        <is>
          <t>6.1.1 内部装修工程</t>
        </is>
      </c>
      <c r="H389" s="68" t="inlineStr">
        <is>
          <t>楼梯装修</t>
        </is>
      </c>
      <c r="I389" s="69" t="inlineStr">
        <is>
          <t>1000053623</t>
        </is>
      </c>
      <c r="J389" s="69" t="inlineStr">
        <is>
          <t>灰色水泥纹踢脚（冠军，楼梯）</t>
        </is>
      </c>
      <c r="K389" s="70" t="n"/>
      <c r="L389" s="70" t="n"/>
      <c r="M389" s="71" t="inlineStr">
        <is>
          <t>米</t>
        </is>
      </c>
      <c r="N389" s="72" t="n">
        <v>48.65</v>
      </c>
      <c r="O389" s="72">
        <f>ROUND(N389*(1+$F$10),2)</f>
        <v/>
      </c>
      <c r="P389" s="73">
        <f>ROUND(K389*N389,2)</f>
        <v/>
      </c>
      <c r="Q389" s="74">
        <f>ROUND(L389*N389,2)</f>
        <v/>
      </c>
      <c r="R389" s="75" t="n"/>
      <c r="S389" s="76" t="n"/>
      <c r="T389" s="77">
        <f>K389-L389</f>
        <v/>
      </c>
      <c r="U389" s="77">
        <f>P389-Q389</f>
        <v/>
      </c>
      <c r="V389" s="77">
        <f>ABS(U389)</f>
        <v/>
      </c>
      <c r="W389" s="78">
        <f>T389/L389</f>
        <v/>
      </c>
      <c r="X389" s="79">
        <f>ABS(W389)</f>
        <v/>
      </c>
      <c r="AH389" s="80" t="inlineStr">
        <is>
          <t>不建模</t>
        </is>
      </c>
    </row>
    <row r="390" ht="11.4" customHeight="1">
      <c r="A390" s="67" t="inlineStr">
        <is>
          <t>62</t>
        </is>
      </c>
      <c r="B390" s="67" t="inlineStr">
        <is>
          <t>1060</t>
        </is>
      </c>
      <c r="C390" s="67" t="inlineStr">
        <is>
          <t>1611</t>
        </is>
      </c>
      <c r="D390" s="68" t="inlineStr">
        <is>
          <t>01</t>
        </is>
      </c>
      <c r="E390" s="68" t="inlineStr">
        <is>
          <t>6 物业施工费</t>
        </is>
      </c>
      <c r="F390" s="68" t="inlineStr">
        <is>
          <t>6.1 总承包工程</t>
        </is>
      </c>
      <c r="G390" s="68" t="inlineStr">
        <is>
          <t>6.1.1 内部装修工程</t>
        </is>
      </c>
      <c r="H390" s="68" t="inlineStr">
        <is>
          <t>楼梯装修</t>
        </is>
      </c>
      <c r="I390" s="69" t="inlineStr">
        <is>
          <t>1000021700</t>
        </is>
      </c>
      <c r="J390" s="69" t="inlineStr">
        <is>
          <t>600*600mm黄色水磨石地砖（琛雄，含不超过50mm厚的找平层）</t>
        </is>
      </c>
      <c r="K390" s="70" t="n"/>
      <c r="L390" s="70" t="n"/>
      <c r="M390" s="71" t="inlineStr">
        <is>
          <t>m2</t>
        </is>
      </c>
      <c r="N390" s="72" t="n">
        <v>203.51</v>
      </c>
      <c r="O390" s="72">
        <f>ROUND(N390*(1+$F$10),2)</f>
        <v/>
      </c>
      <c r="P390" s="73">
        <f>ROUND(K390*N390,2)</f>
        <v/>
      </c>
      <c r="Q390" s="74">
        <f>ROUND(L390*N390,2)</f>
        <v/>
      </c>
      <c r="R390" s="75" t="n"/>
      <c r="S390" s="76" t="n"/>
      <c r="T390" s="77">
        <f>K390-L390</f>
        <v/>
      </c>
      <c r="U390" s="77">
        <f>P390-Q390</f>
        <v/>
      </c>
      <c r="V390" s="77">
        <f>ABS(U390)</f>
        <v/>
      </c>
      <c r="W390" s="78">
        <f>T390/L390</f>
        <v/>
      </c>
      <c r="X390" s="79">
        <f>ABS(W390)</f>
        <v/>
      </c>
      <c r="AH390" s="80" t="inlineStr">
        <is>
          <t>不建模</t>
        </is>
      </c>
    </row>
    <row r="391" ht="11.4" customHeight="1">
      <c r="A391" s="67" t="inlineStr">
        <is>
          <t>62</t>
        </is>
      </c>
      <c r="B391" s="67" t="inlineStr">
        <is>
          <t>1060</t>
        </is>
      </c>
      <c r="C391" s="67" t="inlineStr">
        <is>
          <t>1611</t>
        </is>
      </c>
      <c r="D391" s="68" t="inlineStr">
        <is>
          <t>01</t>
        </is>
      </c>
      <c r="E391" s="68" t="inlineStr">
        <is>
          <t>6 物业施工费</t>
        </is>
      </c>
      <c r="F391" s="68" t="inlineStr">
        <is>
          <t>6.1 总承包工程</t>
        </is>
      </c>
      <c r="G391" s="68" t="inlineStr">
        <is>
          <t>6.1.1 内部装修工程</t>
        </is>
      </c>
      <c r="H391" s="68" t="inlineStr">
        <is>
          <t>楼梯装修</t>
        </is>
      </c>
      <c r="I391" s="69" t="inlineStr">
        <is>
          <t>1000021702</t>
        </is>
      </c>
      <c r="J391" s="69" t="inlineStr">
        <is>
          <t>黄色水磨石踢脚（琛雄）</t>
        </is>
      </c>
      <c r="K391" s="70" t="n"/>
      <c r="L391" s="70" t="n"/>
      <c r="M391" s="71" t="inlineStr">
        <is>
          <t>米</t>
        </is>
      </c>
      <c r="N391" s="72" t="n">
        <v>41.69</v>
      </c>
      <c r="O391" s="72">
        <f>ROUND(N391*(1+$F$10),2)</f>
        <v/>
      </c>
      <c r="P391" s="73">
        <f>ROUND(K391*N391,2)</f>
        <v/>
      </c>
      <c r="Q391" s="74">
        <f>ROUND(L391*N391,2)</f>
        <v/>
      </c>
      <c r="R391" s="75" t="n"/>
      <c r="S391" s="76" t="n"/>
      <c r="T391" s="77">
        <f>K391-L391</f>
        <v/>
      </c>
      <c r="U391" s="77">
        <f>P391-Q391</f>
        <v/>
      </c>
      <c r="V391" s="77">
        <f>ABS(U391)</f>
        <v/>
      </c>
      <c r="W391" s="78">
        <f>T391/L391</f>
        <v/>
      </c>
      <c r="X391" s="79">
        <f>ABS(W391)</f>
        <v/>
      </c>
      <c r="AH391" s="80" t="inlineStr">
        <is>
          <t>不建模</t>
        </is>
      </c>
    </row>
    <row r="392" ht="11.4" customHeight="1">
      <c r="A392" s="67" t="inlineStr">
        <is>
          <t>62</t>
        </is>
      </c>
      <c r="B392" s="67" t="inlineStr">
        <is>
          <t>1060</t>
        </is>
      </c>
      <c r="C392" s="67" t="inlineStr">
        <is>
          <t>1611</t>
        </is>
      </c>
      <c r="D392" s="68" t="inlineStr">
        <is>
          <t>01</t>
        </is>
      </c>
      <c r="E392" s="68" t="inlineStr">
        <is>
          <t>6 物业施工费</t>
        </is>
      </c>
      <c r="F392" s="68" t="inlineStr">
        <is>
          <t>6.1 总承包工程</t>
        </is>
      </c>
      <c r="G392" s="68" t="inlineStr">
        <is>
          <t>6.1.1 内部装修工程</t>
        </is>
      </c>
      <c r="H392" s="68" t="inlineStr">
        <is>
          <t>楼梯装修</t>
        </is>
      </c>
      <c r="I392" s="69" t="inlineStr">
        <is>
          <t>1000021514</t>
        </is>
      </c>
      <c r="J392" s="69" t="inlineStr">
        <is>
          <t>600*600mm黄色水磨石地砖（共荣，含不超过50mm厚的找平层）</t>
        </is>
      </c>
      <c r="K392" s="70" t="n"/>
      <c r="L392" s="70" t="n"/>
      <c r="M392" s="71" t="inlineStr">
        <is>
          <t>m2</t>
        </is>
      </c>
      <c r="N392" s="72" t="n">
        <v>180.15</v>
      </c>
      <c r="O392" s="72">
        <f>ROUND(N392*(1+$F$10),2)</f>
        <v/>
      </c>
      <c r="P392" s="73">
        <f>ROUND(K392*N392,2)</f>
        <v/>
      </c>
      <c r="Q392" s="74">
        <f>ROUND(L392*N392,2)</f>
        <v/>
      </c>
      <c r="R392" s="75" t="n"/>
      <c r="S392" s="76" t="n"/>
      <c r="T392" s="77">
        <f>K392-L392</f>
        <v/>
      </c>
      <c r="U392" s="77">
        <f>P392-Q392</f>
        <v/>
      </c>
      <c r="V392" s="77">
        <f>ABS(U392)</f>
        <v/>
      </c>
      <c r="W392" s="78">
        <f>T392/L392</f>
        <v/>
      </c>
      <c r="X392" s="79">
        <f>ABS(W392)</f>
        <v/>
      </c>
      <c r="AH392" s="80" t="inlineStr">
        <is>
          <t>不建模</t>
        </is>
      </c>
    </row>
    <row r="393" ht="11.4" customHeight="1">
      <c r="A393" s="67" t="inlineStr">
        <is>
          <t>62</t>
        </is>
      </c>
      <c r="B393" s="67" t="inlineStr">
        <is>
          <t>1060</t>
        </is>
      </c>
      <c r="C393" s="67" t="inlineStr">
        <is>
          <t>1611</t>
        </is>
      </c>
      <c r="D393" s="68" t="inlineStr">
        <is>
          <t>01</t>
        </is>
      </c>
      <c r="E393" s="68" t="inlineStr">
        <is>
          <t>6 物业施工费</t>
        </is>
      </c>
      <c r="F393" s="68" t="inlineStr">
        <is>
          <t>6.1 总承包工程</t>
        </is>
      </c>
      <c r="G393" s="68" t="inlineStr">
        <is>
          <t>6.1.1 内部装修工程</t>
        </is>
      </c>
      <c r="H393" s="68" t="inlineStr">
        <is>
          <t>楼梯装修</t>
        </is>
      </c>
      <c r="I393" s="69" t="inlineStr">
        <is>
          <t>1000021515</t>
        </is>
      </c>
      <c r="J393" s="69" t="inlineStr">
        <is>
          <t>黄色水磨石踢脚（共荣）</t>
        </is>
      </c>
      <c r="K393" s="70" t="n"/>
      <c r="L393" s="70" t="n"/>
      <c r="M393" s="71" t="inlineStr">
        <is>
          <t>米</t>
        </is>
      </c>
      <c r="N393" s="72" t="n">
        <v>39.27</v>
      </c>
      <c r="O393" s="72">
        <f>ROUND(N393*(1+$F$10),2)</f>
        <v/>
      </c>
      <c r="P393" s="73">
        <f>ROUND(K393*N393,2)</f>
        <v/>
      </c>
      <c r="Q393" s="74">
        <f>ROUND(L393*N393,2)</f>
        <v/>
      </c>
      <c r="R393" s="75" t="n"/>
      <c r="S393" s="76" t="n"/>
      <c r="T393" s="77">
        <f>K393-L393</f>
        <v/>
      </c>
      <c r="U393" s="77">
        <f>P393-Q393</f>
        <v/>
      </c>
      <c r="V393" s="77">
        <f>ABS(U393)</f>
        <v/>
      </c>
      <c r="W393" s="78">
        <f>T393/L393</f>
        <v/>
      </c>
      <c r="X393" s="79">
        <f>ABS(W393)</f>
        <v/>
      </c>
      <c r="AH393" s="80" t="inlineStr">
        <is>
          <t>不建模</t>
        </is>
      </c>
    </row>
    <row r="394" ht="11.4" customHeight="1">
      <c r="A394" s="67" t="inlineStr">
        <is>
          <t>62</t>
        </is>
      </c>
      <c r="B394" s="67" t="inlineStr">
        <is>
          <t>1060</t>
        </is>
      </c>
      <c r="C394" s="67" t="inlineStr">
        <is>
          <t>1611</t>
        </is>
      </c>
      <c r="D394" s="68" t="inlineStr">
        <is>
          <t>01</t>
        </is>
      </c>
      <c r="E394" s="68" t="inlineStr">
        <is>
          <t>6 物业施工费</t>
        </is>
      </c>
      <c r="F394" s="68" t="inlineStr">
        <is>
          <t>6.1 总承包工程</t>
        </is>
      </c>
      <c r="G394" s="68" t="inlineStr">
        <is>
          <t>6.1.1 内部装修工程</t>
        </is>
      </c>
      <c r="H394" s="68" t="inlineStr">
        <is>
          <t>楼梯装修</t>
        </is>
      </c>
      <c r="I394" s="69" t="inlineStr">
        <is>
          <t>1000021699</t>
        </is>
      </c>
      <c r="J394" s="69" t="inlineStr">
        <is>
          <t>600*600mm黄色水磨石地砖（冠军，含不超过50mm厚的找平层）</t>
        </is>
      </c>
      <c r="K394" s="70" t="n"/>
      <c r="L394" s="70" t="n"/>
      <c r="M394" s="71" t="inlineStr">
        <is>
          <t>m2</t>
        </is>
      </c>
      <c r="N394" s="72" t="n">
        <v>215.19</v>
      </c>
      <c r="O394" s="72">
        <f>ROUND(N394*(1+$F$10),2)</f>
        <v/>
      </c>
      <c r="P394" s="73">
        <f>ROUND(K394*N394,2)</f>
        <v/>
      </c>
      <c r="Q394" s="74">
        <f>ROUND(L394*N394,2)</f>
        <v/>
      </c>
      <c r="R394" s="75" t="n"/>
      <c r="S394" s="76" t="n"/>
      <c r="T394" s="77">
        <f>K394-L394</f>
        <v/>
      </c>
      <c r="U394" s="77">
        <f>P394-Q394</f>
        <v/>
      </c>
      <c r="V394" s="77">
        <f>ABS(U394)</f>
        <v/>
      </c>
      <c r="W394" s="78">
        <f>T394/L394</f>
        <v/>
      </c>
      <c r="X394" s="79">
        <f>ABS(W394)</f>
        <v/>
      </c>
      <c r="AH394" s="80" t="inlineStr">
        <is>
          <t>不建模</t>
        </is>
      </c>
    </row>
    <row r="395" ht="11.4" customHeight="1">
      <c r="A395" s="67" t="inlineStr">
        <is>
          <t>62</t>
        </is>
      </c>
      <c r="B395" s="67" t="inlineStr">
        <is>
          <t>1060</t>
        </is>
      </c>
      <c r="C395" s="67" t="inlineStr">
        <is>
          <t>1611</t>
        </is>
      </c>
      <c r="D395" s="68" t="inlineStr">
        <is>
          <t>01</t>
        </is>
      </c>
      <c r="E395" s="68" t="inlineStr">
        <is>
          <t>6 物业施工费</t>
        </is>
      </c>
      <c r="F395" s="68" t="inlineStr">
        <is>
          <t>6.1 总承包工程</t>
        </is>
      </c>
      <c r="G395" s="68" t="inlineStr">
        <is>
          <t>6.1.1 内部装修工程</t>
        </is>
      </c>
      <c r="H395" s="68" t="inlineStr">
        <is>
          <t>楼梯装修</t>
        </is>
      </c>
      <c r="I395" s="69" t="inlineStr">
        <is>
          <t>1000021701</t>
        </is>
      </c>
      <c r="J395" s="69" t="inlineStr">
        <is>
          <t>黄色水磨石踢脚（冠军）</t>
        </is>
      </c>
      <c r="K395" s="70" t="n"/>
      <c r="L395" s="70" t="n"/>
      <c r="M395" s="71" t="inlineStr">
        <is>
          <t>米</t>
        </is>
      </c>
      <c r="N395" s="72" t="n">
        <v>41.69</v>
      </c>
      <c r="O395" s="72">
        <f>ROUND(N395*(1+$F$10),2)</f>
        <v/>
      </c>
      <c r="P395" s="73">
        <f>ROUND(K395*N395,2)</f>
        <v/>
      </c>
      <c r="Q395" s="74">
        <f>ROUND(L395*N395,2)</f>
        <v/>
      </c>
      <c r="R395" s="75" t="n"/>
      <c r="S395" s="76" t="n"/>
      <c r="T395" s="77">
        <f>K395-L395</f>
        <v/>
      </c>
      <c r="U395" s="77">
        <f>P395-Q395</f>
        <v/>
      </c>
      <c r="V395" s="77">
        <f>ABS(U395)</f>
        <v/>
      </c>
      <c r="W395" s="78">
        <f>T395/L395</f>
        <v/>
      </c>
      <c r="X395" s="79">
        <f>ABS(W395)</f>
        <v/>
      </c>
      <c r="AH395" s="80" t="inlineStr">
        <is>
          <t>不建模</t>
        </is>
      </c>
    </row>
    <row r="396" ht="11.4" customHeight="1">
      <c r="A396" s="67" t="inlineStr">
        <is>
          <t>62</t>
        </is>
      </c>
      <c r="B396" s="67" t="inlineStr">
        <is>
          <t>1060</t>
        </is>
      </c>
      <c r="C396" s="67" t="inlineStr">
        <is>
          <t>1611</t>
        </is>
      </c>
      <c r="D396" s="68" t="inlineStr">
        <is>
          <t>01</t>
        </is>
      </c>
      <c r="E396" s="68" t="inlineStr">
        <is>
          <t>6 物业施工费</t>
        </is>
      </c>
      <c r="F396" s="68" t="inlineStr">
        <is>
          <t>6.1 总承包工程</t>
        </is>
      </c>
      <c r="G396" s="68" t="inlineStr">
        <is>
          <t>6.1.1 内部装修工程</t>
        </is>
      </c>
      <c r="H396" s="68" t="inlineStr">
        <is>
          <t>楼梯装修</t>
        </is>
      </c>
      <c r="I396" s="69" t="inlineStr">
        <is>
          <t>1000051733</t>
        </is>
      </c>
      <c r="J396" s="69" t="inlineStr">
        <is>
          <t>混凝土地面砖（琛雄，人字形拼接，楼梯）</t>
        </is>
      </c>
      <c r="K396" s="70" t="n"/>
      <c r="L396" s="70" t="n"/>
      <c r="M396" s="71" t="inlineStr">
        <is>
          <t>m2</t>
        </is>
      </c>
      <c r="N396" s="72" t="n">
        <v>272.28</v>
      </c>
      <c r="O396" s="72">
        <f>ROUND(N396*(1+$F$10),2)</f>
        <v/>
      </c>
      <c r="P396" s="73">
        <f>ROUND(K396*N396,2)</f>
        <v/>
      </c>
      <c r="Q396" s="74">
        <f>ROUND(L396*N396,2)</f>
        <v/>
      </c>
      <c r="R396" s="75" t="n"/>
      <c r="S396" s="76" t="n"/>
      <c r="T396" s="77">
        <f>K396-L396</f>
        <v/>
      </c>
      <c r="U396" s="77">
        <f>P396-Q396</f>
        <v/>
      </c>
      <c r="V396" s="77">
        <f>ABS(U396)</f>
        <v/>
      </c>
      <c r="W396" s="78">
        <f>T396/L396</f>
        <v/>
      </c>
      <c r="X396" s="79">
        <f>ABS(W396)</f>
        <v/>
      </c>
      <c r="AH396" s="80" t="inlineStr">
        <is>
          <t>不建模</t>
        </is>
      </c>
    </row>
    <row r="397" ht="11.4" customHeight="1">
      <c r="A397" s="67" t="inlineStr">
        <is>
          <t>62</t>
        </is>
      </c>
      <c r="B397" s="67" t="inlineStr">
        <is>
          <t>1060</t>
        </is>
      </c>
      <c r="C397" s="67" t="inlineStr">
        <is>
          <t>1611</t>
        </is>
      </c>
      <c r="D397" s="68" t="inlineStr">
        <is>
          <t>01</t>
        </is>
      </c>
      <c r="E397" s="68" t="inlineStr">
        <is>
          <t>6 物业施工费</t>
        </is>
      </c>
      <c r="F397" s="68" t="inlineStr">
        <is>
          <t>6.1 总承包工程</t>
        </is>
      </c>
      <c r="G397" s="68" t="inlineStr">
        <is>
          <t>6.1.1 内部装修工程</t>
        </is>
      </c>
      <c r="H397" s="68" t="inlineStr">
        <is>
          <t>楼梯装修</t>
        </is>
      </c>
      <c r="I397" s="69" t="inlineStr">
        <is>
          <t>1000051734</t>
        </is>
      </c>
      <c r="J397" s="69" t="inlineStr">
        <is>
          <t>混凝土地面砖（共荣，人字形拼接，楼梯）</t>
        </is>
      </c>
      <c r="K397" s="70" t="n"/>
      <c r="L397" s="70" t="n"/>
      <c r="M397" s="71" t="inlineStr">
        <is>
          <t>m2</t>
        </is>
      </c>
      <c r="N397" s="72" t="n">
        <v>253.69</v>
      </c>
      <c r="O397" s="72">
        <f>ROUND(N397*(1+$F$10),2)</f>
        <v/>
      </c>
      <c r="P397" s="73">
        <f>ROUND(K397*N397,2)</f>
        <v/>
      </c>
      <c r="Q397" s="74">
        <f>ROUND(L397*N397,2)</f>
        <v/>
      </c>
      <c r="R397" s="75" t="n"/>
      <c r="S397" s="76" t="n"/>
      <c r="T397" s="77">
        <f>K397-L397</f>
        <v/>
      </c>
      <c r="U397" s="77">
        <f>P397-Q397</f>
        <v/>
      </c>
      <c r="V397" s="77">
        <f>ABS(U397)</f>
        <v/>
      </c>
      <c r="W397" s="78">
        <f>T397/L397</f>
        <v/>
      </c>
      <c r="X397" s="79">
        <f>ABS(W397)</f>
        <v/>
      </c>
      <c r="AH397" s="80" t="inlineStr">
        <is>
          <t>不建模</t>
        </is>
      </c>
    </row>
    <row r="398" ht="11.4" customHeight="1">
      <c r="A398" s="67" t="inlineStr">
        <is>
          <t>62</t>
        </is>
      </c>
      <c r="B398" s="67" t="inlineStr">
        <is>
          <t>1060</t>
        </is>
      </c>
      <c r="C398" s="67" t="inlineStr">
        <is>
          <t>1611</t>
        </is>
      </c>
      <c r="D398" s="68" t="inlineStr">
        <is>
          <t>01</t>
        </is>
      </c>
      <c r="E398" s="68" t="inlineStr">
        <is>
          <t>6 物业施工费</t>
        </is>
      </c>
      <c r="F398" s="68" t="inlineStr">
        <is>
          <t>6.1 总承包工程</t>
        </is>
      </c>
      <c r="G398" s="68" t="inlineStr">
        <is>
          <t>6.1.1 内部装修工程</t>
        </is>
      </c>
      <c r="H398" s="68" t="inlineStr">
        <is>
          <t>楼梯装修</t>
        </is>
      </c>
      <c r="I398" s="69" t="inlineStr">
        <is>
          <t>1000051735</t>
        </is>
      </c>
      <c r="J398" s="69" t="inlineStr">
        <is>
          <t>混凝土地面砖（冠军，人字形拼接，楼梯）</t>
        </is>
      </c>
      <c r="K398" s="70" t="n"/>
      <c r="L398" s="70" t="n"/>
      <c r="M398" s="71" t="inlineStr">
        <is>
          <t>m2</t>
        </is>
      </c>
      <c r="N398" s="72" t="n">
        <v>275.14</v>
      </c>
      <c r="O398" s="72">
        <f>ROUND(N398*(1+$F$10),2)</f>
        <v/>
      </c>
      <c r="P398" s="73">
        <f>ROUND(K398*N398,2)</f>
        <v/>
      </c>
      <c r="Q398" s="74">
        <f>ROUND(L398*N398,2)</f>
        <v/>
      </c>
      <c r="R398" s="75" t="n"/>
      <c r="S398" s="76" t="n"/>
      <c r="T398" s="77">
        <f>K398-L398</f>
        <v/>
      </c>
      <c r="U398" s="77">
        <f>P398-Q398</f>
        <v/>
      </c>
      <c r="V398" s="77">
        <f>ABS(U398)</f>
        <v/>
      </c>
      <c r="W398" s="78">
        <f>T398/L398</f>
        <v/>
      </c>
      <c r="X398" s="79">
        <f>ABS(W398)</f>
        <v/>
      </c>
      <c r="AH398" s="80" t="inlineStr">
        <is>
          <t>不建模</t>
        </is>
      </c>
    </row>
    <row r="399" ht="11.4" customHeight="1">
      <c r="A399" s="67" t="inlineStr">
        <is>
          <t>62</t>
        </is>
      </c>
      <c r="B399" s="67" t="inlineStr">
        <is>
          <t>1060</t>
        </is>
      </c>
      <c r="C399" s="67" t="inlineStr">
        <is>
          <t>1611</t>
        </is>
      </c>
      <c r="D399" s="68" t="inlineStr">
        <is>
          <t>01</t>
        </is>
      </c>
      <c r="E399" s="68" t="inlineStr">
        <is>
          <t>6 物业施工费</t>
        </is>
      </c>
      <c r="F399" s="68" t="inlineStr">
        <is>
          <t>6.1 总承包工程</t>
        </is>
      </c>
      <c r="G399" s="68" t="inlineStr">
        <is>
          <t>6.1.1 内部装修工程</t>
        </is>
      </c>
      <c r="H399" s="68" t="inlineStr">
        <is>
          <t>楼梯装修</t>
        </is>
      </c>
      <c r="I399" s="69" t="inlineStr">
        <is>
          <t>1000051742</t>
        </is>
      </c>
      <c r="J399" s="69" t="inlineStr">
        <is>
          <t>黑色踢脚（琛雄，Geometry，楼梯）</t>
        </is>
      </c>
      <c r="K399" s="70" t="n"/>
      <c r="L399" s="70" t="n"/>
      <c r="M399" s="71" t="inlineStr">
        <is>
          <t>米</t>
        </is>
      </c>
      <c r="N399" s="72" t="n">
        <v>49.86</v>
      </c>
      <c r="O399" s="72">
        <f>ROUND(N399*(1+$F$10),2)</f>
        <v/>
      </c>
      <c r="P399" s="73">
        <f>ROUND(K399*N399,2)</f>
        <v/>
      </c>
      <c r="Q399" s="74">
        <f>ROUND(L399*N399,2)</f>
        <v/>
      </c>
      <c r="R399" s="75" t="n"/>
      <c r="S399" s="76" t="n"/>
      <c r="T399" s="77">
        <f>K399-L399</f>
        <v/>
      </c>
      <c r="U399" s="77">
        <f>P399-Q399</f>
        <v/>
      </c>
      <c r="V399" s="77">
        <f>ABS(U399)</f>
        <v/>
      </c>
      <c r="W399" s="78">
        <f>T399/L399</f>
        <v/>
      </c>
      <c r="X399" s="79">
        <f>ABS(W399)</f>
        <v/>
      </c>
      <c r="AH399" s="80" t="inlineStr">
        <is>
          <t>不建模</t>
        </is>
      </c>
    </row>
    <row r="400" ht="11.4" customHeight="1">
      <c r="A400" s="67" t="inlineStr">
        <is>
          <t>62</t>
        </is>
      </c>
      <c r="B400" s="67" t="inlineStr">
        <is>
          <t>1060</t>
        </is>
      </c>
      <c r="C400" s="67" t="inlineStr">
        <is>
          <t>1611</t>
        </is>
      </c>
      <c r="D400" s="68" t="inlineStr">
        <is>
          <t>01</t>
        </is>
      </c>
      <c r="E400" s="68" t="inlineStr">
        <is>
          <t>6 物业施工费</t>
        </is>
      </c>
      <c r="F400" s="68" t="inlineStr">
        <is>
          <t>6.1 总承包工程</t>
        </is>
      </c>
      <c r="G400" s="68" t="inlineStr">
        <is>
          <t>6.1.1 内部装修工程</t>
        </is>
      </c>
      <c r="H400" s="68" t="inlineStr">
        <is>
          <t>楼梯装修</t>
        </is>
      </c>
      <c r="I400" s="69" t="inlineStr">
        <is>
          <t>1000051743</t>
        </is>
      </c>
      <c r="J400" s="69" t="inlineStr">
        <is>
          <t>黑色踢脚（共荣，Geometry，楼梯）</t>
        </is>
      </c>
      <c r="K400" s="70" t="n"/>
      <c r="L400" s="70" t="n"/>
      <c r="M400" s="71" t="inlineStr">
        <is>
          <t>米</t>
        </is>
      </c>
      <c r="N400" s="72" t="n">
        <v>48.65</v>
      </c>
      <c r="O400" s="72">
        <f>ROUND(N400*(1+$F$10),2)</f>
        <v/>
      </c>
      <c r="P400" s="73">
        <f>ROUND(K400*N400,2)</f>
        <v/>
      </c>
      <c r="Q400" s="74">
        <f>ROUND(L400*N400,2)</f>
        <v/>
      </c>
      <c r="R400" s="75" t="n"/>
      <c r="S400" s="76" t="n"/>
      <c r="T400" s="77">
        <f>K400-L400</f>
        <v/>
      </c>
      <c r="U400" s="77">
        <f>P400-Q400</f>
        <v/>
      </c>
      <c r="V400" s="77">
        <f>ABS(U400)</f>
        <v/>
      </c>
      <c r="W400" s="78">
        <f>T400/L400</f>
        <v/>
      </c>
      <c r="X400" s="79">
        <f>ABS(W400)</f>
        <v/>
      </c>
      <c r="AH400" s="80" t="inlineStr">
        <is>
          <t>不建模</t>
        </is>
      </c>
    </row>
    <row r="401" ht="11.4" customHeight="1">
      <c r="A401" s="67" t="inlineStr">
        <is>
          <t>62</t>
        </is>
      </c>
      <c r="B401" s="67" t="inlineStr">
        <is>
          <t>1060</t>
        </is>
      </c>
      <c r="C401" s="67" t="inlineStr">
        <is>
          <t>1611</t>
        </is>
      </c>
      <c r="D401" s="68" t="inlineStr">
        <is>
          <t>01</t>
        </is>
      </c>
      <c r="E401" s="68" t="inlineStr">
        <is>
          <t>6 物业施工费</t>
        </is>
      </c>
      <c r="F401" s="68" t="inlineStr">
        <is>
          <t>6.1 总承包工程</t>
        </is>
      </c>
      <c r="G401" s="68" t="inlineStr">
        <is>
          <t>6.1.1 内部装修工程</t>
        </is>
      </c>
      <c r="H401" s="68" t="inlineStr">
        <is>
          <t>楼梯装修</t>
        </is>
      </c>
      <c r="I401" s="69" t="inlineStr">
        <is>
          <t>1000051744</t>
        </is>
      </c>
      <c r="J401" s="69" t="inlineStr">
        <is>
          <t>黑色踢脚（冠军，Geometry，楼梯）</t>
        </is>
      </c>
      <c r="K401" s="70" t="n"/>
      <c r="L401" s="70" t="n"/>
      <c r="M401" s="71" t="inlineStr">
        <is>
          <t>米</t>
        </is>
      </c>
      <c r="N401" s="72" t="n">
        <v>49.86</v>
      </c>
      <c r="O401" s="72">
        <f>ROUND(N401*(1+$F$10),2)</f>
        <v/>
      </c>
      <c r="P401" s="73">
        <f>ROUND(K401*N401,2)</f>
        <v/>
      </c>
      <c r="Q401" s="74">
        <f>ROUND(L401*N401,2)</f>
        <v/>
      </c>
      <c r="R401" s="75" t="n"/>
      <c r="S401" s="76" t="n"/>
      <c r="T401" s="77">
        <f>K401-L401</f>
        <v/>
      </c>
      <c r="U401" s="77">
        <f>P401-Q401</f>
        <v/>
      </c>
      <c r="V401" s="77">
        <f>ABS(U401)</f>
        <v/>
      </c>
      <c r="W401" s="78">
        <f>T401/L401</f>
        <v/>
      </c>
      <c r="X401" s="79">
        <f>ABS(W401)</f>
        <v/>
      </c>
      <c r="AH401" s="80" t="inlineStr">
        <is>
          <t>不建模</t>
        </is>
      </c>
    </row>
    <row r="402" ht="11.4" customHeight="1">
      <c r="A402" s="67" t="inlineStr">
        <is>
          <t>62</t>
        </is>
      </c>
      <c r="B402" s="67" t="inlineStr">
        <is>
          <t>1060</t>
        </is>
      </c>
      <c r="C402" s="67" t="inlineStr">
        <is>
          <t>1611</t>
        </is>
      </c>
      <c r="D402" s="68" t="inlineStr">
        <is>
          <t>01</t>
        </is>
      </c>
      <c r="E402" s="68" t="inlineStr">
        <is>
          <t>6 物业施工费</t>
        </is>
      </c>
      <c r="F402" s="68" t="inlineStr">
        <is>
          <t>6.1 总承包工程</t>
        </is>
      </c>
      <c r="G402" s="68" t="inlineStr">
        <is>
          <t>6.1.1 内部装修工程</t>
        </is>
      </c>
      <c r="H402" s="68" t="inlineStr">
        <is>
          <t>楼梯装修</t>
        </is>
      </c>
      <c r="I402" s="69" t="inlineStr">
        <is>
          <t>1000051736</t>
        </is>
      </c>
      <c r="J402" s="69" t="inlineStr">
        <is>
          <t>木纹砖(琛雄，含不超过50mm厚的找平层，楼梯)</t>
        </is>
      </c>
      <c r="K402" s="70" t="n"/>
      <c r="L402" s="70" t="n"/>
      <c r="M402" s="71" t="inlineStr">
        <is>
          <t>m2</t>
        </is>
      </c>
      <c r="N402" s="72" t="n">
        <v>275.14</v>
      </c>
      <c r="O402" s="72">
        <f>ROUND(N402*(1+$F$10),2)</f>
        <v/>
      </c>
      <c r="P402" s="73">
        <f>ROUND(K402*N402,2)</f>
        <v/>
      </c>
      <c r="Q402" s="74">
        <f>ROUND(L402*N402,2)</f>
        <v/>
      </c>
      <c r="R402" s="75" t="n"/>
      <c r="S402" s="76" t="n"/>
      <c r="T402" s="77">
        <f>K402-L402</f>
        <v/>
      </c>
      <c r="U402" s="77">
        <f>P402-Q402</f>
        <v/>
      </c>
      <c r="V402" s="77">
        <f>ABS(U402)</f>
        <v/>
      </c>
      <c r="W402" s="78">
        <f>T402/L402</f>
        <v/>
      </c>
      <c r="X402" s="79">
        <f>ABS(W402)</f>
        <v/>
      </c>
      <c r="AH402" s="80" t="inlineStr">
        <is>
          <t>不建模</t>
        </is>
      </c>
    </row>
    <row r="403" ht="11.4" customHeight="1">
      <c r="A403" s="67" t="inlineStr">
        <is>
          <t>62</t>
        </is>
      </c>
      <c r="B403" s="67" t="inlineStr">
        <is>
          <t>1060</t>
        </is>
      </c>
      <c r="C403" s="67" t="inlineStr">
        <is>
          <t>1611</t>
        </is>
      </c>
      <c r="D403" s="68" t="inlineStr">
        <is>
          <t>01</t>
        </is>
      </c>
      <c r="E403" s="68" t="inlineStr">
        <is>
          <t>6 物业施工费</t>
        </is>
      </c>
      <c r="F403" s="68" t="inlineStr">
        <is>
          <t>6.1 总承包工程</t>
        </is>
      </c>
      <c r="G403" s="68" t="inlineStr">
        <is>
          <t>6.1.1 内部装修工程</t>
        </is>
      </c>
      <c r="H403" s="68" t="inlineStr">
        <is>
          <t>楼梯装修</t>
        </is>
      </c>
      <c r="I403" s="69" t="inlineStr">
        <is>
          <t>1000051737</t>
        </is>
      </c>
      <c r="J403" s="69" t="inlineStr">
        <is>
          <t>木纹砖（共荣，含不超过50mm厚的找平层，楼梯）</t>
        </is>
      </c>
      <c r="K403" s="70" t="n"/>
      <c r="L403" s="70" t="n"/>
      <c r="M403" s="71" t="inlineStr">
        <is>
          <t>m2</t>
        </is>
      </c>
      <c r="N403" s="72" t="n">
        <v>265.9</v>
      </c>
      <c r="O403" s="72">
        <f>ROUND(N403*(1+$F$10),2)</f>
        <v/>
      </c>
      <c r="P403" s="73">
        <f>ROUND(K403*N403,2)</f>
        <v/>
      </c>
      <c r="Q403" s="74">
        <f>ROUND(L403*N403,2)</f>
        <v/>
      </c>
      <c r="R403" s="75" t="n"/>
      <c r="S403" s="76" t="n"/>
      <c r="T403" s="77">
        <f>K403-L403</f>
        <v/>
      </c>
      <c r="U403" s="77">
        <f>P403-Q403</f>
        <v/>
      </c>
      <c r="V403" s="77">
        <f>ABS(U403)</f>
        <v/>
      </c>
      <c r="W403" s="78">
        <f>T403/L403</f>
        <v/>
      </c>
      <c r="X403" s="79">
        <f>ABS(W403)</f>
        <v/>
      </c>
      <c r="AH403" s="80" t="inlineStr">
        <is>
          <t>不建模</t>
        </is>
      </c>
    </row>
    <row r="404" ht="11.4" customHeight="1">
      <c r="A404" s="67" t="inlineStr">
        <is>
          <t>62</t>
        </is>
      </c>
      <c r="B404" s="67" t="inlineStr">
        <is>
          <t>1060</t>
        </is>
      </c>
      <c r="C404" s="67" t="inlineStr">
        <is>
          <t>1611</t>
        </is>
      </c>
      <c r="D404" s="68" t="inlineStr">
        <is>
          <t>01</t>
        </is>
      </c>
      <c r="E404" s="68" t="inlineStr">
        <is>
          <t>6 物业施工费</t>
        </is>
      </c>
      <c r="F404" s="68" t="inlineStr">
        <is>
          <t>6.1 总承包工程</t>
        </is>
      </c>
      <c r="G404" s="68" t="inlineStr">
        <is>
          <t>6.1.1 内部装修工程</t>
        </is>
      </c>
      <c r="H404" s="68" t="inlineStr">
        <is>
          <t>楼梯装修</t>
        </is>
      </c>
      <c r="I404" s="69" t="inlineStr">
        <is>
          <t>1000051738</t>
        </is>
      </c>
      <c r="J404" s="69" t="inlineStr">
        <is>
          <t>木纹砖(冠军，含不超过50mm厚的找平层，楼梯)</t>
        </is>
      </c>
      <c r="K404" s="70" t="n"/>
      <c r="L404" s="70" t="n"/>
      <c r="M404" s="71" t="inlineStr">
        <is>
          <t>m2</t>
        </is>
      </c>
      <c r="N404" s="72" t="n">
        <v>279.43</v>
      </c>
      <c r="O404" s="72">
        <f>ROUND(N404*(1+$F$10),2)</f>
        <v/>
      </c>
      <c r="P404" s="73">
        <f>ROUND(K404*N404,2)</f>
        <v/>
      </c>
      <c r="Q404" s="74">
        <f>ROUND(L404*N404,2)</f>
        <v/>
      </c>
      <c r="R404" s="75" t="n"/>
      <c r="S404" s="76" t="n"/>
      <c r="T404" s="77">
        <f>K404-L404</f>
        <v/>
      </c>
      <c r="U404" s="77">
        <f>P404-Q404</f>
        <v/>
      </c>
      <c r="V404" s="77">
        <f>ABS(U404)</f>
        <v/>
      </c>
      <c r="W404" s="78">
        <f>T404/L404</f>
        <v/>
      </c>
      <c r="X404" s="79">
        <f>ABS(W404)</f>
        <v/>
      </c>
      <c r="AH404" s="80" t="inlineStr">
        <is>
          <t>不建模</t>
        </is>
      </c>
    </row>
    <row r="405" ht="11.4" customHeight="1">
      <c r="A405" s="67" t="inlineStr">
        <is>
          <t>62</t>
        </is>
      </c>
      <c r="B405" s="67" t="inlineStr">
        <is>
          <t>1060</t>
        </is>
      </c>
      <c r="C405" s="67" t="inlineStr">
        <is>
          <t>1611</t>
        </is>
      </c>
      <c r="D405" s="68" t="inlineStr">
        <is>
          <t>01</t>
        </is>
      </c>
      <c r="E405" s="68" t="inlineStr">
        <is>
          <t>6 物业施工费</t>
        </is>
      </c>
      <c r="F405" s="68" t="inlineStr">
        <is>
          <t>6.1 总承包工程</t>
        </is>
      </c>
      <c r="G405" s="68" t="inlineStr">
        <is>
          <t>6.1.1 内部装修工程</t>
        </is>
      </c>
      <c r="H405" s="68" t="inlineStr">
        <is>
          <t>楼梯装修</t>
        </is>
      </c>
      <c r="I405" s="69" t="inlineStr">
        <is>
          <t>1000051739</t>
        </is>
      </c>
      <c r="J405" s="69" t="inlineStr">
        <is>
          <t>地面灰砖（琛雄，Luna，楼梯）</t>
        </is>
      </c>
      <c r="K405" s="70" t="n"/>
      <c r="L405" s="70" t="n"/>
      <c r="M405" s="71" t="inlineStr">
        <is>
          <t>m2</t>
        </is>
      </c>
      <c r="N405" s="72" t="n">
        <v>272.28</v>
      </c>
      <c r="O405" s="72">
        <f>ROUND(N405*(1+$F$10),2)</f>
        <v/>
      </c>
      <c r="P405" s="73">
        <f>ROUND(K405*N405,2)</f>
        <v/>
      </c>
      <c r="Q405" s="74">
        <f>ROUND(L405*N405,2)</f>
        <v/>
      </c>
      <c r="R405" s="75" t="n"/>
      <c r="S405" s="76" t="n"/>
      <c r="T405" s="77">
        <f>K405-L405</f>
        <v/>
      </c>
      <c r="U405" s="77">
        <f>P405-Q405</f>
        <v/>
      </c>
      <c r="V405" s="77">
        <f>ABS(U405)</f>
        <v/>
      </c>
      <c r="W405" s="78">
        <f>T405/L405</f>
        <v/>
      </c>
      <c r="X405" s="79">
        <f>ABS(W405)</f>
        <v/>
      </c>
      <c r="AH405" s="80" t="inlineStr">
        <is>
          <t>不建模</t>
        </is>
      </c>
    </row>
    <row r="406" ht="11.4" customHeight="1">
      <c r="A406" s="67" t="inlineStr">
        <is>
          <t>62</t>
        </is>
      </c>
      <c r="B406" s="67" t="inlineStr">
        <is>
          <t>1060</t>
        </is>
      </c>
      <c r="C406" s="67" t="inlineStr">
        <is>
          <t>1611</t>
        </is>
      </c>
      <c r="D406" s="68" t="inlineStr">
        <is>
          <t>01</t>
        </is>
      </c>
      <c r="E406" s="68" t="inlineStr">
        <is>
          <t>6 物业施工费</t>
        </is>
      </c>
      <c r="F406" s="68" t="inlineStr">
        <is>
          <t>6.1 总承包工程</t>
        </is>
      </c>
      <c r="G406" s="68" t="inlineStr">
        <is>
          <t>6.1.1 内部装修工程</t>
        </is>
      </c>
      <c r="H406" s="68" t="inlineStr">
        <is>
          <t>楼梯装修</t>
        </is>
      </c>
      <c r="I406" s="69" t="inlineStr">
        <is>
          <t>1000051740</t>
        </is>
      </c>
      <c r="J406" s="69" t="inlineStr">
        <is>
          <t>地面灰砖（共荣，Luna，楼梯）</t>
        </is>
      </c>
      <c r="K406" s="70" t="n"/>
      <c r="L406" s="70" t="n"/>
      <c r="M406" s="71" t="inlineStr">
        <is>
          <t>m2</t>
        </is>
      </c>
      <c r="N406" s="72" t="n">
        <v>250.83</v>
      </c>
      <c r="O406" s="72">
        <f>ROUND(N406*(1+$F$10),2)</f>
        <v/>
      </c>
      <c r="P406" s="73">
        <f>ROUND(K406*N406,2)</f>
        <v/>
      </c>
      <c r="Q406" s="74">
        <f>ROUND(L406*N406,2)</f>
        <v/>
      </c>
      <c r="R406" s="75" t="n"/>
      <c r="S406" s="76" t="n"/>
      <c r="T406" s="77">
        <f>K406-L406</f>
        <v/>
      </c>
      <c r="U406" s="77">
        <f>P406-Q406</f>
        <v/>
      </c>
      <c r="V406" s="77">
        <f>ABS(U406)</f>
        <v/>
      </c>
      <c r="W406" s="78">
        <f>T406/L406</f>
        <v/>
      </c>
      <c r="X406" s="79">
        <f>ABS(W406)</f>
        <v/>
      </c>
      <c r="AH406" s="80" t="inlineStr">
        <is>
          <t>不建模</t>
        </is>
      </c>
    </row>
    <row r="407" ht="11.4" customHeight="1">
      <c r="A407" s="67" t="inlineStr">
        <is>
          <t>62</t>
        </is>
      </c>
      <c r="B407" s="67" t="inlineStr">
        <is>
          <t>1060</t>
        </is>
      </c>
      <c r="C407" s="67" t="inlineStr">
        <is>
          <t>1611</t>
        </is>
      </c>
      <c r="D407" s="68" t="inlineStr">
        <is>
          <t>01</t>
        </is>
      </c>
      <c r="E407" s="68" t="inlineStr">
        <is>
          <t>6 物业施工费</t>
        </is>
      </c>
      <c r="F407" s="68" t="inlineStr">
        <is>
          <t>6.1 总承包工程</t>
        </is>
      </c>
      <c r="G407" s="68" t="inlineStr">
        <is>
          <t>6.1.1 内部装修工程</t>
        </is>
      </c>
      <c r="H407" s="68" t="inlineStr">
        <is>
          <t>楼梯装修</t>
        </is>
      </c>
      <c r="I407" s="69" t="inlineStr">
        <is>
          <t>1000051741</t>
        </is>
      </c>
      <c r="J407" s="69" t="inlineStr">
        <is>
          <t>地面灰砖（冠军，Luna，楼梯）</t>
        </is>
      </c>
      <c r="K407" s="70" t="n"/>
      <c r="L407" s="70" t="n"/>
      <c r="M407" s="71" t="inlineStr">
        <is>
          <t>m2</t>
        </is>
      </c>
      <c r="N407" s="72" t="n">
        <v>275.14</v>
      </c>
      <c r="O407" s="72">
        <f>ROUND(N407*(1+$F$10),2)</f>
        <v/>
      </c>
      <c r="P407" s="73">
        <f>ROUND(K407*N407,2)</f>
        <v/>
      </c>
      <c r="Q407" s="74">
        <f>ROUND(L407*N407,2)</f>
        <v/>
      </c>
      <c r="R407" s="75" t="n"/>
      <c r="S407" s="76" t="n"/>
      <c r="T407" s="77">
        <f>K407-L407</f>
        <v/>
      </c>
      <c r="U407" s="77">
        <f>P407-Q407</f>
        <v/>
      </c>
      <c r="V407" s="77">
        <f>ABS(U407)</f>
        <v/>
      </c>
      <c r="W407" s="78">
        <f>T407/L407</f>
        <v/>
      </c>
      <c r="X407" s="79">
        <f>ABS(W407)</f>
        <v/>
      </c>
      <c r="AH407" s="80" t="inlineStr">
        <is>
          <t>不建模</t>
        </is>
      </c>
    </row>
    <row r="408" ht="11.4" customHeight="1">
      <c r="A408" s="67" t="inlineStr">
        <is>
          <t>62</t>
        </is>
      </c>
      <c r="B408" s="67" t="inlineStr">
        <is>
          <t>1060</t>
        </is>
      </c>
      <c r="C408" s="67" t="inlineStr">
        <is>
          <t>1611</t>
        </is>
      </c>
      <c r="D408" s="68" t="inlineStr">
        <is>
          <t>01</t>
        </is>
      </c>
      <c r="E408" s="68" t="inlineStr">
        <is>
          <t>6 物业施工费</t>
        </is>
      </c>
      <c r="F408" s="68" t="inlineStr">
        <is>
          <t>6.1 总承包工程</t>
        </is>
      </c>
      <c r="G408" s="68" t="inlineStr">
        <is>
          <t>6.1.1 内部装修工程</t>
        </is>
      </c>
      <c r="H408" s="68" t="inlineStr">
        <is>
          <t>楼梯装修</t>
        </is>
      </c>
      <c r="I408" s="69" t="inlineStr">
        <is>
          <t>1000021813</t>
        </is>
      </c>
      <c r="J408" s="69" t="inlineStr">
        <is>
          <t>19mm玻璃下口冠军同质砖地台</t>
        </is>
      </c>
      <c r="K408" s="70" t="n"/>
      <c r="L408" s="70" t="n"/>
      <c r="M408" s="71" t="inlineStr">
        <is>
          <t>米</t>
        </is>
      </c>
      <c r="N408" s="72" t="n">
        <v>130.79</v>
      </c>
      <c r="O408" s="72">
        <f>ROUND(N408*(1+$F$10),2)</f>
        <v/>
      </c>
      <c r="P408" s="73">
        <f>ROUND(K408*N408,2)</f>
        <v/>
      </c>
      <c r="Q408" s="74">
        <f>ROUND(L408*N408,2)</f>
        <v/>
      </c>
      <c r="R408" s="75" t="n"/>
      <c r="S408" s="76" t="n"/>
      <c r="T408" s="77">
        <f>K408-L408</f>
        <v/>
      </c>
      <c r="U408" s="77">
        <f>P408-Q408</f>
        <v/>
      </c>
      <c r="V408" s="77">
        <f>ABS(U408)</f>
        <v/>
      </c>
      <c r="W408" s="78">
        <f>T408/L408</f>
        <v/>
      </c>
      <c r="X408" s="79">
        <f>ABS(W408)</f>
        <v/>
      </c>
      <c r="AH408" s="80" t="inlineStr">
        <is>
          <t>不建模</t>
        </is>
      </c>
    </row>
    <row r="409" ht="11.4" customHeight="1">
      <c r="A409" s="67" t="inlineStr">
        <is>
          <t>62</t>
        </is>
      </c>
      <c r="B409" s="67" t="inlineStr">
        <is>
          <t>1060</t>
        </is>
      </c>
      <c r="C409" s="67" t="inlineStr">
        <is>
          <t>1611</t>
        </is>
      </c>
      <c r="D409" s="68" t="inlineStr">
        <is>
          <t>01</t>
        </is>
      </c>
      <c r="E409" s="68" t="inlineStr">
        <is>
          <t>6 物业施工费</t>
        </is>
      </c>
      <c r="F409" s="68" t="inlineStr">
        <is>
          <t>6.1 总承包工程</t>
        </is>
      </c>
      <c r="G409" s="68" t="inlineStr">
        <is>
          <t>6.1.1 内部装修工程</t>
        </is>
      </c>
      <c r="H409" s="68" t="inlineStr">
        <is>
          <t>楼梯装修</t>
        </is>
      </c>
      <c r="I409" s="69" t="inlineStr">
        <is>
          <t>1000021814</t>
        </is>
      </c>
      <c r="J409" s="69" t="inlineStr">
        <is>
          <t>钢结构楼梯钢板网敷设及水泥垫层（按展开面积计算）</t>
        </is>
      </c>
      <c r="K409" s="70" t="n"/>
      <c r="L409" s="70" t="n"/>
      <c r="M409" s="71" t="inlineStr">
        <is>
          <t>m2</t>
        </is>
      </c>
      <c r="N409" s="72" t="n">
        <v>75.79000000000001</v>
      </c>
      <c r="O409" s="72">
        <f>ROUND(N409*(1+$F$10),2)</f>
        <v/>
      </c>
      <c r="P409" s="73">
        <f>ROUND(K409*N409,2)</f>
        <v/>
      </c>
      <c r="Q409" s="74">
        <f>ROUND(L409*N409,2)</f>
        <v/>
      </c>
      <c r="R409" s="75" t="n"/>
      <c r="S409" s="76" t="n"/>
      <c r="T409" s="77">
        <f>K409-L409</f>
        <v/>
      </c>
      <c r="U409" s="77">
        <f>P409-Q409</f>
        <v/>
      </c>
      <c r="V409" s="77">
        <f>ABS(U409)</f>
        <v/>
      </c>
      <c r="W409" s="78">
        <f>T409/L409</f>
        <v/>
      </c>
      <c r="X409" s="79">
        <f>ABS(W409)</f>
        <v/>
      </c>
      <c r="AH409" s="80" t="inlineStr">
        <is>
          <t>不建模</t>
        </is>
      </c>
    </row>
    <row r="410" ht="11.4" customHeight="1">
      <c r="A410" s="67" t="inlineStr">
        <is>
          <t>62</t>
        </is>
      </c>
      <c r="B410" s="67" t="inlineStr">
        <is>
          <t>1060</t>
        </is>
      </c>
      <c r="C410" s="67" t="inlineStr">
        <is>
          <t>1611</t>
        </is>
      </c>
      <c r="D410" s="68" t="inlineStr">
        <is>
          <t>01</t>
        </is>
      </c>
      <c r="E410" s="68" t="inlineStr">
        <is>
          <t>6 物业施工费</t>
        </is>
      </c>
      <c r="F410" s="68" t="inlineStr">
        <is>
          <t>6.1 总承包工程</t>
        </is>
      </c>
      <c r="G410" s="68" t="inlineStr">
        <is>
          <t>6.1.1 内部装修工程</t>
        </is>
      </c>
      <c r="H410" s="68" t="inlineStr">
        <is>
          <t>楼梯装修</t>
        </is>
      </c>
      <c r="I410" s="69" t="inlineStr">
        <is>
          <t>1000021815</t>
        </is>
      </c>
      <c r="J410" s="69" t="inlineStr">
        <is>
          <t>40*4发丝不锈钢靠墙拦河</t>
        </is>
      </c>
      <c r="K410" s="70" t="n"/>
      <c r="L410" s="70" t="n"/>
      <c r="M410" s="71" t="inlineStr">
        <is>
          <t>米</t>
        </is>
      </c>
      <c r="N410" s="72" t="n">
        <v>343.86</v>
      </c>
      <c r="O410" s="72">
        <f>ROUND(N410*(1+$F$10),2)</f>
        <v/>
      </c>
      <c r="P410" s="73">
        <f>ROUND(K410*N410,2)</f>
        <v/>
      </c>
      <c r="Q410" s="74">
        <f>ROUND(L410*N410,2)</f>
        <v/>
      </c>
      <c r="R410" s="75" t="n"/>
      <c r="S410" s="76" t="n"/>
      <c r="T410" s="77">
        <f>K410-L410</f>
        <v/>
      </c>
      <c r="U410" s="77">
        <f>P410-Q410</f>
        <v/>
      </c>
      <c r="V410" s="77">
        <f>ABS(U410)</f>
        <v/>
      </c>
      <c r="W410" s="78">
        <f>T410/L410</f>
        <v/>
      </c>
      <c r="X410" s="79">
        <f>ABS(W410)</f>
        <v/>
      </c>
      <c r="AH410" s="80" t="inlineStr">
        <is>
          <t>不建模</t>
        </is>
      </c>
    </row>
    <row r="411" ht="11.4" customHeight="1">
      <c r="A411" s="67" t="inlineStr">
        <is>
          <t>62</t>
        </is>
      </c>
      <c r="B411" s="67" t="inlineStr">
        <is>
          <t>1060</t>
        </is>
      </c>
      <c r="C411" s="67" t="inlineStr">
        <is>
          <t>1611</t>
        </is>
      </c>
      <c r="D411" s="68" t="inlineStr">
        <is>
          <t>01</t>
        </is>
      </c>
      <c r="E411" s="68" t="inlineStr">
        <is>
          <t>6 物业施工费</t>
        </is>
      </c>
      <c r="F411" s="68" t="inlineStr">
        <is>
          <t>6.1 总承包工程</t>
        </is>
      </c>
      <c r="G411" s="68" t="inlineStr">
        <is>
          <t>6.1.1 内部装修工程</t>
        </is>
      </c>
      <c r="H411" s="68" t="inlineStr">
        <is>
          <t>楼梯装修</t>
        </is>
      </c>
      <c r="I411" s="69" t="inlineStr">
        <is>
          <t>1000021816</t>
        </is>
      </c>
      <c r="J411" s="69" t="inlineStr">
        <is>
          <t>40*4发丝不锈钢弧形拦河</t>
        </is>
      </c>
      <c r="K411" s="70" t="n"/>
      <c r="L411" s="70" t="n"/>
      <c r="M411" s="71" t="inlineStr">
        <is>
          <t>米</t>
        </is>
      </c>
      <c r="N411" s="72" t="n">
        <v>341.66</v>
      </c>
      <c r="O411" s="72">
        <f>ROUND(N411*(1+$F$10),2)</f>
        <v/>
      </c>
      <c r="P411" s="73">
        <f>ROUND(K411*N411,2)</f>
        <v/>
      </c>
      <c r="Q411" s="74">
        <f>ROUND(L411*N411,2)</f>
        <v/>
      </c>
      <c r="R411" s="75" t="n"/>
      <c r="S411" s="76" t="n"/>
      <c r="T411" s="77">
        <f>K411-L411</f>
        <v/>
      </c>
      <c r="U411" s="77">
        <f>P411-Q411</f>
        <v/>
      </c>
      <c r="V411" s="77">
        <f>ABS(U411)</f>
        <v/>
      </c>
      <c r="W411" s="78">
        <f>T411/L411</f>
        <v/>
      </c>
      <c r="X411" s="79">
        <f>ABS(W411)</f>
        <v/>
      </c>
      <c r="AH411" s="80" t="inlineStr">
        <is>
          <t>不建模</t>
        </is>
      </c>
    </row>
    <row r="412" ht="11.4" customHeight="1">
      <c r="A412" s="67" t="inlineStr">
        <is>
          <t>62</t>
        </is>
      </c>
      <c r="B412" s="67" t="inlineStr">
        <is>
          <t>1060</t>
        </is>
      </c>
      <c r="C412" s="67" t="inlineStr">
        <is>
          <t>1611</t>
        </is>
      </c>
      <c r="D412" s="68" t="inlineStr">
        <is>
          <t>01</t>
        </is>
      </c>
      <c r="E412" s="68" t="inlineStr">
        <is>
          <t>6 物业施工费</t>
        </is>
      </c>
      <c r="F412" s="68" t="inlineStr">
        <is>
          <t>6.1 总承包工程</t>
        </is>
      </c>
      <c r="G412" s="68" t="inlineStr">
        <is>
          <t>6.1.1 内部装修工程</t>
        </is>
      </c>
      <c r="H412" s="68" t="inlineStr">
        <is>
          <t>楼梯装修</t>
        </is>
      </c>
      <c r="I412" s="69" t="inlineStr">
        <is>
          <t>1000021662</t>
        </is>
      </c>
      <c r="J412" s="69" t="inlineStr">
        <is>
          <t>楼梯柚木色扶手</t>
        </is>
      </c>
      <c r="K412" s="70" t="n"/>
      <c r="L412" s="70" t="n"/>
      <c r="M412" s="71" t="inlineStr">
        <is>
          <t>米</t>
        </is>
      </c>
      <c r="N412" s="72" t="n">
        <v>481.91</v>
      </c>
      <c r="O412" s="72">
        <f>ROUND(N412*(1+$F$10),2)</f>
        <v/>
      </c>
      <c r="P412" s="73">
        <f>ROUND(K412*N412,2)</f>
        <v/>
      </c>
      <c r="Q412" s="74">
        <f>ROUND(L412*N412,2)</f>
        <v/>
      </c>
      <c r="R412" s="75" t="n"/>
      <c r="S412" s="76" t="n"/>
      <c r="T412" s="77">
        <f>K412-L412</f>
        <v/>
      </c>
      <c r="U412" s="77">
        <f>P412-Q412</f>
        <v/>
      </c>
      <c r="V412" s="77">
        <f>ABS(U412)</f>
        <v/>
      </c>
      <c r="W412" s="78">
        <f>T412/L412</f>
        <v/>
      </c>
      <c r="X412" s="79">
        <f>ABS(W412)</f>
        <v/>
      </c>
      <c r="AH412" s="80" t="inlineStr">
        <is>
          <t>不建模</t>
        </is>
      </c>
    </row>
    <row r="413" ht="11.4" customHeight="1">
      <c r="A413" s="67" t="inlineStr">
        <is>
          <t>62</t>
        </is>
      </c>
      <c r="B413" s="67" t="inlineStr">
        <is>
          <t>1060</t>
        </is>
      </c>
      <c r="C413" s="67" t="inlineStr">
        <is>
          <t>1611</t>
        </is>
      </c>
      <c r="D413" s="68" t="inlineStr">
        <is>
          <t>01</t>
        </is>
      </c>
      <c r="E413" s="68" t="inlineStr">
        <is>
          <t>6 物业施工费</t>
        </is>
      </c>
      <c r="F413" s="68" t="inlineStr">
        <is>
          <t>6.1 总承包工程</t>
        </is>
      </c>
      <c r="G413" s="68" t="inlineStr">
        <is>
          <t>6.1.1 内部装修工程</t>
        </is>
      </c>
      <c r="H413" s="68" t="inlineStr">
        <is>
          <t>楼梯装修</t>
        </is>
      </c>
      <c r="I413" s="69" t="inlineStr">
        <is>
          <t>1000085729</t>
        </is>
      </c>
      <c r="J413" s="69" t="inlineStr">
        <is>
          <t>楼梯柚木扶手钢支架</t>
        </is>
      </c>
      <c r="K413" s="70" t="n"/>
      <c r="L413" s="70" t="n"/>
      <c r="M413" s="71" t="inlineStr">
        <is>
          <t>米</t>
        </is>
      </c>
      <c r="N413" s="72" t="n">
        <v>232.76</v>
      </c>
      <c r="O413" s="72">
        <f>ROUND(N413*(1+$F$10),2)</f>
        <v/>
      </c>
      <c r="P413" s="73">
        <f>ROUND(K413*N413,2)</f>
        <v/>
      </c>
      <c r="Q413" s="74">
        <f>ROUND(L413*N413,2)</f>
        <v/>
      </c>
      <c r="R413" s="75" t="n"/>
      <c r="S413" s="76" t="n"/>
      <c r="T413" s="77">
        <f>K413-L413</f>
        <v/>
      </c>
      <c r="U413" s="77">
        <f>P413-Q413</f>
        <v/>
      </c>
      <c r="V413" s="77">
        <f>ABS(U413)</f>
        <v/>
      </c>
      <c r="W413" s="78">
        <f>T413/L413</f>
        <v/>
      </c>
      <c r="X413" s="79">
        <f>ABS(W413)</f>
        <v/>
      </c>
      <c r="AH413" s="80" t="inlineStr">
        <is>
          <t>不建模</t>
        </is>
      </c>
    </row>
    <row r="414" ht="11.4" customHeight="1">
      <c r="A414" s="67" t="inlineStr">
        <is>
          <t>62</t>
        </is>
      </c>
      <c r="B414" s="67" t="inlineStr">
        <is>
          <t>1060</t>
        </is>
      </c>
      <c r="C414" s="67" t="inlineStr">
        <is>
          <t>1611</t>
        </is>
      </c>
      <c r="D414" s="68" t="inlineStr">
        <is>
          <t>01</t>
        </is>
      </c>
      <c r="E414" s="68" t="inlineStr">
        <is>
          <t>6 物业施工费</t>
        </is>
      </c>
      <c r="F414" s="68" t="inlineStr">
        <is>
          <t>6.1 总承包工程</t>
        </is>
      </c>
      <c r="G414" s="68" t="inlineStr">
        <is>
          <t>6.1.1 内部装修工程</t>
        </is>
      </c>
      <c r="H414" s="68" t="inlineStr">
        <is>
          <t>楼梯装修</t>
        </is>
      </c>
      <c r="I414" s="69" t="inlineStr">
        <is>
          <t>1000045090</t>
        </is>
      </c>
      <c r="J414" s="69" t="inlineStr">
        <is>
          <t>楼梯碳钢护栏（Ray风格）</t>
        </is>
      </c>
      <c r="K414" s="70" t="n"/>
      <c r="L414" s="70" t="n"/>
      <c r="M414" s="71" t="inlineStr">
        <is>
          <t>m2</t>
        </is>
      </c>
      <c r="N414" s="72" t="n">
        <v>606.85</v>
      </c>
      <c r="O414" s="72">
        <f>ROUND(N414*(1+$F$10),2)</f>
        <v/>
      </c>
      <c r="P414" s="73">
        <f>ROUND(K414*N414,2)</f>
        <v/>
      </c>
      <c r="Q414" s="74">
        <f>ROUND(L414*N414,2)</f>
        <v/>
      </c>
      <c r="R414" s="75" t="n"/>
      <c r="S414" s="76" t="n"/>
      <c r="T414" s="77">
        <f>K414-L414</f>
        <v/>
      </c>
      <c r="U414" s="77">
        <f>P414-Q414</f>
        <v/>
      </c>
      <c r="V414" s="77">
        <f>ABS(U414)</f>
        <v/>
      </c>
      <c r="W414" s="78">
        <f>T414/L414</f>
        <v/>
      </c>
      <c r="X414" s="79">
        <f>ABS(W414)</f>
        <v/>
      </c>
      <c r="AH414" s="80" t="inlineStr">
        <is>
          <t>不建模</t>
        </is>
      </c>
    </row>
    <row r="415" ht="11.4" customHeight="1">
      <c r="A415" s="67" t="inlineStr">
        <is>
          <t>62</t>
        </is>
      </c>
      <c r="B415" s="67" t="inlineStr">
        <is>
          <t>1060</t>
        </is>
      </c>
      <c r="C415" s="67" t="inlineStr">
        <is>
          <t>1611</t>
        </is>
      </c>
      <c r="D415" s="68" t="inlineStr">
        <is>
          <t>01</t>
        </is>
      </c>
      <c r="E415" s="68" t="inlineStr">
        <is>
          <t>6 物业施工费</t>
        </is>
      </c>
      <c r="F415" s="68" t="inlineStr">
        <is>
          <t>6.1 总承包工程</t>
        </is>
      </c>
      <c r="G415" s="68" t="inlineStr">
        <is>
          <t>6.1.1 内部装修工程</t>
        </is>
      </c>
      <c r="H415" s="68" t="inlineStr">
        <is>
          <t>楼梯装修</t>
        </is>
      </c>
      <c r="I415" s="69" t="inlineStr">
        <is>
          <t>1000021817</t>
        </is>
      </c>
      <c r="J415" s="69" t="inlineStr">
        <is>
          <t>19mm玻璃护栏</t>
        </is>
      </c>
      <c r="K415" s="70" t="n"/>
      <c r="L415" s="70" t="n"/>
      <c r="M415" s="71" t="inlineStr">
        <is>
          <t>米</t>
        </is>
      </c>
      <c r="N415" s="72" t="n">
        <v>930.48</v>
      </c>
      <c r="O415" s="72">
        <f>ROUND(N415*(1+$F$10),2)</f>
        <v/>
      </c>
      <c r="P415" s="73">
        <f>ROUND(K415*N415,2)</f>
        <v/>
      </c>
      <c r="Q415" s="74">
        <f>ROUND(L415*N415,2)</f>
        <v/>
      </c>
      <c r="R415" s="75" t="n"/>
      <c r="S415" s="76" t="n"/>
      <c r="T415" s="77">
        <f>K415-L415</f>
        <v/>
      </c>
      <c r="U415" s="77">
        <f>P415-Q415</f>
        <v/>
      </c>
      <c r="V415" s="77">
        <f>ABS(U415)</f>
        <v/>
      </c>
      <c r="W415" s="78">
        <f>T415/L415</f>
        <v/>
      </c>
      <c r="X415" s="79">
        <f>ABS(W415)</f>
        <v/>
      </c>
      <c r="AH415" s="80" t="inlineStr">
        <is>
          <t>不建模</t>
        </is>
      </c>
    </row>
    <row r="416" ht="11.4" customHeight="1">
      <c r="A416" s="67" t="inlineStr">
        <is>
          <t>62</t>
        </is>
      </c>
      <c r="B416" s="67" t="inlineStr">
        <is>
          <t>1060</t>
        </is>
      </c>
      <c r="C416" s="67" t="inlineStr">
        <is>
          <t>1611</t>
        </is>
      </c>
      <c r="D416" s="68" t="inlineStr">
        <is>
          <t>01</t>
        </is>
      </c>
      <c r="E416" s="68" t="inlineStr">
        <is>
          <t>6 物业施工费</t>
        </is>
      </c>
      <c r="F416" s="68" t="inlineStr">
        <is>
          <t>6.1 总承包工程</t>
        </is>
      </c>
      <c r="G416" s="68" t="inlineStr">
        <is>
          <t>6.1.1 内部装修工程</t>
        </is>
      </c>
      <c r="H416" s="68" t="inlineStr">
        <is>
          <t>楼梯装修</t>
        </is>
      </c>
      <c r="I416" s="69" t="inlineStr">
        <is>
          <t>1000021818</t>
        </is>
      </c>
      <c r="J416" s="69" t="inlineStr">
        <is>
          <t>楼梯上口石膏板吊顶</t>
        </is>
      </c>
      <c r="K416" s="70" t="n"/>
      <c r="L416" s="70" t="n"/>
      <c r="M416" s="71" t="inlineStr">
        <is>
          <t>m2</t>
        </is>
      </c>
      <c r="N416" s="72" t="n">
        <v>233.36</v>
      </c>
      <c r="O416" s="72">
        <f>ROUND(N416*(1+$F$10),2)</f>
        <v/>
      </c>
      <c r="P416" s="73">
        <f>ROUND(K416*N416,2)</f>
        <v/>
      </c>
      <c r="Q416" s="74">
        <f>ROUND(L416*N416,2)</f>
        <v/>
      </c>
      <c r="R416" s="75" t="n"/>
      <c r="S416" s="76" t="n"/>
      <c r="T416" s="77">
        <f>K416-L416</f>
        <v/>
      </c>
      <c r="U416" s="77">
        <f>P416-Q416</f>
        <v/>
      </c>
      <c r="V416" s="77">
        <f>ABS(U416)</f>
        <v/>
      </c>
      <c r="W416" s="78">
        <f>T416/L416</f>
        <v/>
      </c>
      <c r="X416" s="79">
        <f>ABS(W416)</f>
        <v/>
      </c>
      <c r="AH416" s="80" t="inlineStr">
        <is>
          <t>不建模</t>
        </is>
      </c>
    </row>
    <row r="417" ht="11.4" customHeight="1">
      <c r="A417" s="67" t="inlineStr">
        <is>
          <t>62</t>
        </is>
      </c>
      <c r="B417" s="67" t="inlineStr">
        <is>
          <t>1060</t>
        </is>
      </c>
      <c r="C417" s="67" t="inlineStr">
        <is>
          <t>1611</t>
        </is>
      </c>
      <c r="D417" s="68" t="inlineStr">
        <is>
          <t>01</t>
        </is>
      </c>
      <c r="E417" s="68" t="inlineStr">
        <is>
          <t>6 物业施工费</t>
        </is>
      </c>
      <c r="F417" s="68" t="inlineStr">
        <is>
          <t>6.1 总承包工程</t>
        </is>
      </c>
      <c r="G417" s="68" t="inlineStr">
        <is>
          <t>6.1.1 内部装修工程</t>
        </is>
      </c>
      <c r="H417" s="68" t="inlineStr">
        <is>
          <t>楼梯装修</t>
        </is>
      </c>
      <c r="I417" s="69" t="inlineStr">
        <is>
          <t>1000021922</t>
        </is>
      </c>
      <c r="J417" s="69" t="inlineStr">
        <is>
          <t>黄色水性环氧半光涂料（Ray,楼梯饰面）</t>
        </is>
      </c>
      <c r="K417" s="70" t="n"/>
      <c r="L417" s="70" t="n"/>
      <c r="M417" s="71" t="inlineStr">
        <is>
          <t>m2</t>
        </is>
      </c>
      <c r="N417" s="72" t="n">
        <v>163.76</v>
      </c>
      <c r="O417" s="72">
        <f>ROUND(N417*(1+$F$10),2)</f>
        <v/>
      </c>
      <c r="P417" s="73">
        <f>ROUND(K417*N417,2)</f>
        <v/>
      </c>
      <c r="Q417" s="74">
        <f>ROUND(L417*N417,2)</f>
        <v/>
      </c>
      <c r="R417" s="75" t="n"/>
      <c r="S417" s="76" t="n"/>
      <c r="T417" s="77">
        <f>K417-L417</f>
        <v/>
      </c>
      <c r="U417" s="77">
        <f>P417-Q417</f>
        <v/>
      </c>
      <c r="V417" s="77">
        <f>ABS(U417)</f>
        <v/>
      </c>
      <c r="W417" s="78">
        <f>T417/L417</f>
        <v/>
      </c>
      <c r="X417" s="79">
        <f>ABS(W417)</f>
        <v/>
      </c>
      <c r="AH417" s="80" t="inlineStr">
        <is>
          <t>不建模</t>
        </is>
      </c>
    </row>
    <row r="418" ht="11.4" customHeight="1">
      <c r="A418" s="67" t="inlineStr">
        <is>
          <t>62</t>
        </is>
      </c>
      <c r="B418" s="67" t="inlineStr">
        <is>
          <t>1060</t>
        </is>
      </c>
      <c r="C418" s="67" t="inlineStr">
        <is>
          <t>1611</t>
        </is>
      </c>
      <c r="D418" s="68" t="inlineStr">
        <is>
          <t>01</t>
        </is>
      </c>
      <c r="E418" s="68" t="inlineStr">
        <is>
          <t>6 物业施工费</t>
        </is>
      </c>
      <c r="F418" s="68" t="inlineStr">
        <is>
          <t>6.1 总承包工程</t>
        </is>
      </c>
      <c r="G418" s="68" t="inlineStr">
        <is>
          <t>6.1.1 内部装修工程</t>
        </is>
      </c>
      <c r="H418" s="68" t="inlineStr">
        <is>
          <t>楼梯装修</t>
        </is>
      </c>
      <c r="I418" s="69" t="inlineStr">
        <is>
          <t>1000021483</t>
        </is>
      </c>
      <c r="J418" s="69" t="inlineStr">
        <is>
          <t>室内深色乳胶漆（含批搪，可擦洗）</t>
        </is>
      </c>
      <c r="K418" s="70" t="n"/>
      <c r="L418" s="70" t="n"/>
      <c r="M418" s="71" t="inlineStr">
        <is>
          <t>m2</t>
        </is>
      </c>
      <c r="N418" s="72" t="n">
        <v>62.19</v>
      </c>
      <c r="O418" s="72">
        <f>ROUND(N418*(1+$F$10),2)</f>
        <v/>
      </c>
      <c r="P418" s="73">
        <f>ROUND(K418*N418,2)</f>
        <v/>
      </c>
      <c r="Q418" s="74">
        <f>ROUND(L418*N418,2)</f>
        <v/>
      </c>
      <c r="R418" s="75" t="n"/>
      <c r="S418" s="76" t="n"/>
      <c r="T418" s="77">
        <f>K418-L418</f>
        <v/>
      </c>
      <c r="U418" s="77">
        <f>P418-Q418</f>
        <v/>
      </c>
      <c r="V418" s="77">
        <f>ABS(U418)</f>
        <v/>
      </c>
      <c r="W418" s="78">
        <f>T418/L418</f>
        <v/>
      </c>
      <c r="X418" s="79">
        <f>ABS(W418)</f>
        <v/>
      </c>
      <c r="AH418" s="80" t="inlineStr">
        <is>
          <t>不建模</t>
        </is>
      </c>
    </row>
    <row r="419" ht="11.4" customHeight="1">
      <c r="A419" s="67" t="inlineStr">
        <is>
          <t>63</t>
        </is>
      </c>
      <c r="B419" s="67" t="inlineStr">
        <is>
          <t>1061</t>
        </is>
      </c>
      <c r="C419" s="67" t="inlineStr">
        <is>
          <t>1611</t>
        </is>
      </c>
      <c r="D419" s="68" t="inlineStr">
        <is>
          <t>01</t>
        </is>
      </c>
      <c r="E419" s="68" t="inlineStr">
        <is>
          <t>6 物业施工费</t>
        </is>
      </c>
      <c r="F419" s="68" t="inlineStr">
        <is>
          <t>6.1 总承包工程</t>
        </is>
      </c>
      <c r="G419" s="68" t="inlineStr">
        <is>
          <t>6.1.1 内部装修工程</t>
        </is>
      </c>
      <c r="H419" s="68" t="inlineStr">
        <is>
          <t>员休室地面</t>
        </is>
      </c>
      <c r="I419" s="69" t="inlineStr">
        <is>
          <t>1000021456</t>
        </is>
      </c>
      <c r="J419" s="69" t="inlineStr">
        <is>
          <t>国产同质砖（琛雄，含不超过50mm厚的找平层）</t>
        </is>
      </c>
      <c r="K419" s="70" t="n"/>
      <c r="L419" s="70" t="n"/>
      <c r="M419" s="71" t="inlineStr">
        <is>
          <t>m2</t>
        </is>
      </c>
      <c r="N419" s="72" t="n">
        <v>180.78</v>
      </c>
      <c r="O419" s="72">
        <f>ROUND(N419*(1+$F$10),2)</f>
        <v/>
      </c>
      <c r="P419" s="73">
        <f>ROUND(K419*N419,2)</f>
        <v/>
      </c>
      <c r="Q419" s="74">
        <f>ROUND(L419*N419,2)</f>
        <v/>
      </c>
      <c r="R419" s="75" t="n"/>
      <c r="S419" s="76" t="n"/>
      <c r="T419" s="77">
        <f>K419-L419</f>
        <v/>
      </c>
      <c r="U419" s="77">
        <f>P419-Q419</f>
        <v/>
      </c>
      <c r="V419" s="77">
        <f>ABS(U419)</f>
        <v/>
      </c>
      <c r="W419" s="78">
        <f>T419/L419</f>
        <v/>
      </c>
      <c r="X419" s="79">
        <f>ABS(W419)</f>
        <v/>
      </c>
      <c r="AG419" s="6" t="inlineStr">
        <is>
          <t>楼板面积</t>
        </is>
      </c>
    </row>
    <row r="420" ht="11.4" customHeight="1">
      <c r="A420" s="67" t="inlineStr">
        <is>
          <t>63</t>
        </is>
      </c>
      <c r="B420" s="67" t="inlineStr">
        <is>
          <t>1061</t>
        </is>
      </c>
      <c r="C420" s="67" t="inlineStr">
        <is>
          <t>1611</t>
        </is>
      </c>
      <c r="D420" s="68" t="inlineStr">
        <is>
          <t>01</t>
        </is>
      </c>
      <c r="E420" s="68" t="inlineStr">
        <is>
          <t>6 物业施工费</t>
        </is>
      </c>
      <c r="F420" s="68" t="inlineStr">
        <is>
          <t>6.1 总承包工程</t>
        </is>
      </c>
      <c r="G420" s="68" t="inlineStr">
        <is>
          <t>6.1.1 内部装修工程</t>
        </is>
      </c>
      <c r="H420" s="68" t="inlineStr">
        <is>
          <t>员休室地面</t>
        </is>
      </c>
      <c r="I420" s="69" t="inlineStr">
        <is>
          <t>1000021457</t>
        </is>
      </c>
      <c r="J420" s="69" t="inlineStr">
        <is>
          <t>国产同质砖踢脚（琛雄）</t>
        </is>
      </c>
      <c r="K420" s="70" t="n"/>
      <c r="L420" s="70" t="n"/>
      <c r="M420" s="71" t="inlineStr">
        <is>
          <t>米</t>
        </is>
      </c>
      <c r="N420" s="72" t="n">
        <v>41.36</v>
      </c>
      <c r="O420" s="72">
        <f>ROUND(N420*(1+$F$10),2)</f>
        <v/>
      </c>
      <c r="P420" s="73">
        <f>ROUND(K420*N420,2)</f>
        <v/>
      </c>
      <c r="Q420" s="74">
        <f>ROUND(L420*N420,2)</f>
        <v/>
      </c>
      <c r="R420" s="75" t="n"/>
      <c r="S420" s="76" t="n"/>
      <c r="T420" s="77">
        <f>K420-L420</f>
        <v/>
      </c>
      <c r="U420" s="77">
        <f>P420-Q420</f>
        <v/>
      </c>
      <c r="V420" s="77">
        <f>ABS(U420)</f>
        <v/>
      </c>
      <c r="W420" s="78">
        <f>T420/L420</f>
        <v/>
      </c>
      <c r="X420" s="79">
        <f>ABS(W420)</f>
        <v/>
      </c>
      <c r="AG420" s="80" t="inlineStr">
        <is>
          <t>踢脚线长度</t>
        </is>
      </c>
    </row>
    <row r="421" ht="11.4" customHeight="1">
      <c r="A421" s="67" t="inlineStr">
        <is>
          <t>63</t>
        </is>
      </c>
      <c r="B421" s="67" t="inlineStr">
        <is>
          <t>1061</t>
        </is>
      </c>
      <c r="C421" s="67" t="inlineStr">
        <is>
          <t>1611</t>
        </is>
      </c>
      <c r="D421" s="68" t="inlineStr">
        <is>
          <t>01</t>
        </is>
      </c>
      <c r="E421" s="68" t="inlineStr">
        <is>
          <t>6 物业施工费</t>
        </is>
      </c>
      <c r="F421" s="68" t="inlineStr">
        <is>
          <t>6.1 总承包工程</t>
        </is>
      </c>
      <c r="G421" s="68" t="inlineStr">
        <is>
          <t>6.1.1 内部装修工程</t>
        </is>
      </c>
      <c r="H421" s="68" t="inlineStr">
        <is>
          <t>员休室地面</t>
        </is>
      </c>
      <c r="I421" s="69" t="inlineStr">
        <is>
          <t>1000021643</t>
        </is>
      </c>
      <c r="J421" s="69" t="inlineStr">
        <is>
          <t>国产同质砖（共荣，含不超过50mm厚的找平层）</t>
        </is>
      </c>
      <c r="K421" s="70" t="n"/>
      <c r="L421" s="70" t="n"/>
      <c r="M421" s="71" t="inlineStr">
        <is>
          <t>m2</t>
        </is>
      </c>
      <c r="N421" s="72" t="n">
        <v>160.21</v>
      </c>
      <c r="O421" s="72">
        <f>ROUND(N421*(1+$F$10),2)</f>
        <v/>
      </c>
      <c r="P421" s="73">
        <f>ROUND(K421*N421,2)</f>
        <v/>
      </c>
      <c r="Q421" s="74">
        <f>ROUND(L421*N421,2)</f>
        <v/>
      </c>
      <c r="R421" s="75" t="n"/>
      <c r="S421" s="76" t="n"/>
      <c r="T421" s="77">
        <f>K421-L421</f>
        <v/>
      </c>
      <c r="U421" s="77">
        <f>P421-Q421</f>
        <v/>
      </c>
      <c r="V421" s="77">
        <f>ABS(U421)</f>
        <v/>
      </c>
      <c r="W421" s="78">
        <f>T421/L421</f>
        <v/>
      </c>
      <c r="X421" s="79">
        <f>ABS(W421)</f>
        <v/>
      </c>
      <c r="AG421" s="6" t="inlineStr">
        <is>
          <t>楼板面积</t>
        </is>
      </c>
    </row>
    <row r="422" ht="11.4" customHeight="1">
      <c r="A422" s="67" t="inlineStr">
        <is>
          <t>63</t>
        </is>
      </c>
      <c r="B422" s="67" t="inlineStr">
        <is>
          <t>1061</t>
        </is>
      </c>
      <c r="C422" s="67" t="inlineStr">
        <is>
          <t>1611</t>
        </is>
      </c>
      <c r="D422" s="68" t="inlineStr">
        <is>
          <t>01</t>
        </is>
      </c>
      <c r="E422" s="68" t="inlineStr">
        <is>
          <t>6 物业施工费</t>
        </is>
      </c>
      <c r="F422" s="68" t="inlineStr">
        <is>
          <t>6.1 总承包工程</t>
        </is>
      </c>
      <c r="G422" s="68" t="inlineStr">
        <is>
          <t>6.1.1 内部装修工程</t>
        </is>
      </c>
      <c r="H422" s="68" t="inlineStr">
        <is>
          <t>员休室地面</t>
        </is>
      </c>
      <c r="I422" s="69" t="inlineStr">
        <is>
          <t>1000021644</t>
        </is>
      </c>
      <c r="J422" s="69" t="inlineStr">
        <is>
          <t>国产同质砖踢脚（共荣）</t>
        </is>
      </c>
      <c r="K422" s="70" t="n"/>
      <c r="L422" s="70" t="n"/>
      <c r="M422" s="71" t="inlineStr">
        <is>
          <t>米</t>
        </is>
      </c>
      <c r="N422" s="72" t="n">
        <v>38.94</v>
      </c>
      <c r="O422" s="72">
        <f>ROUND(N422*(1+$F$10),2)</f>
        <v/>
      </c>
      <c r="P422" s="73">
        <f>ROUND(K422*N422,2)</f>
        <v/>
      </c>
      <c r="Q422" s="74">
        <f>ROUND(L422*N422,2)</f>
        <v/>
      </c>
      <c r="R422" s="75" t="n"/>
      <c r="S422" s="76" t="n"/>
      <c r="T422" s="77">
        <f>K422-L422</f>
        <v/>
      </c>
      <c r="U422" s="77">
        <f>P422-Q422</f>
        <v/>
      </c>
      <c r="V422" s="77">
        <f>ABS(U422)</f>
        <v/>
      </c>
      <c r="W422" s="78">
        <f>T422/L422</f>
        <v/>
      </c>
      <c r="X422" s="79">
        <f>ABS(W422)</f>
        <v/>
      </c>
      <c r="AG422" s="80" t="inlineStr">
        <is>
          <t>踢脚线长度</t>
        </is>
      </c>
    </row>
    <row r="423" ht="11.4" customHeight="1">
      <c r="A423" s="67" t="inlineStr">
        <is>
          <t>63</t>
        </is>
      </c>
      <c r="B423" s="67" t="inlineStr">
        <is>
          <t>1061</t>
        </is>
      </c>
      <c r="C423" s="67" t="inlineStr">
        <is>
          <t>1611</t>
        </is>
      </c>
      <c r="D423" s="68" t="inlineStr">
        <is>
          <t>01</t>
        </is>
      </c>
      <c r="E423" s="68" t="inlineStr">
        <is>
          <t>6 物业施工费</t>
        </is>
      </c>
      <c r="F423" s="68" t="inlineStr">
        <is>
          <t>6.1 总承包工程</t>
        </is>
      </c>
      <c r="G423" s="68" t="inlineStr">
        <is>
          <t>6.1.1 内部装修工程</t>
        </is>
      </c>
      <c r="H423" s="68" t="inlineStr">
        <is>
          <t>员休室地面</t>
        </is>
      </c>
      <c r="I423" s="69" t="inlineStr">
        <is>
          <t>1000021622</t>
        </is>
      </c>
      <c r="J423" s="69" t="inlineStr">
        <is>
          <t>国产同质砖（冠军，含不超过50mm厚的找平层）</t>
        </is>
      </c>
      <c r="K423" s="70" t="n">
        <v>4.12</v>
      </c>
      <c r="L423" s="70" t="n">
        <v>4.12</v>
      </c>
      <c r="M423" s="71" t="inlineStr">
        <is>
          <t>m2</t>
        </is>
      </c>
      <c r="N423" s="72" t="n">
        <v>181.99</v>
      </c>
      <c r="O423" s="72">
        <f>ROUND(N423*(1+$F$10),2)</f>
        <v/>
      </c>
      <c r="P423" s="73">
        <f>ROUND(K423*N423,2)</f>
        <v/>
      </c>
      <c r="Q423" s="74">
        <f>ROUND(L423*N423,2)</f>
        <v/>
      </c>
      <c r="R423" s="75" t="n"/>
      <c r="S423" s="76" t="n"/>
      <c r="T423" s="77">
        <f>K423-L423</f>
        <v/>
      </c>
      <c r="U423" s="77">
        <f>P423-Q423</f>
        <v/>
      </c>
      <c r="V423" s="77">
        <f>ABS(U423)</f>
        <v/>
      </c>
      <c r="W423" s="78">
        <f>T423/L423</f>
        <v/>
      </c>
      <c r="X423" s="79">
        <f>ABS(W423)</f>
        <v/>
      </c>
      <c r="AG423" s="6" t="inlineStr">
        <is>
          <t>楼板面积</t>
        </is>
      </c>
    </row>
    <row r="424" ht="11.4" customHeight="1">
      <c r="A424" s="67" t="inlineStr">
        <is>
          <t>63</t>
        </is>
      </c>
      <c r="B424" s="67" t="inlineStr">
        <is>
          <t>1061</t>
        </is>
      </c>
      <c r="C424" s="67" t="inlineStr">
        <is>
          <t>1611</t>
        </is>
      </c>
      <c r="D424" s="68" t="inlineStr">
        <is>
          <t>01</t>
        </is>
      </c>
      <c r="E424" s="68" t="inlineStr">
        <is>
          <t>6 物业施工费</t>
        </is>
      </c>
      <c r="F424" s="68" t="inlineStr">
        <is>
          <t>6.1 总承包工程</t>
        </is>
      </c>
      <c r="G424" s="68" t="inlineStr">
        <is>
          <t>6.1.1 内部装修工程</t>
        </is>
      </c>
      <c r="H424" s="68" t="inlineStr">
        <is>
          <t>员休室地面</t>
        </is>
      </c>
      <c r="I424" s="69" t="inlineStr">
        <is>
          <t>1000021623</t>
        </is>
      </c>
      <c r="J424" s="69" t="inlineStr">
        <is>
          <t>国产同质砖踢脚（冠军）</t>
        </is>
      </c>
      <c r="K424" s="70" t="n"/>
      <c r="L424" s="70" t="n"/>
      <c r="M424" s="71" t="inlineStr">
        <is>
          <t>米</t>
        </is>
      </c>
      <c r="N424" s="72" t="n">
        <v>42.57</v>
      </c>
      <c r="O424" s="72">
        <f>ROUND(N424*(1+$F$10),2)</f>
        <v/>
      </c>
      <c r="P424" s="73">
        <f>ROUND(K424*N424,2)</f>
        <v/>
      </c>
      <c r="Q424" s="74">
        <f>ROUND(L424*N424,2)</f>
        <v/>
      </c>
      <c r="R424" s="75" t="n"/>
      <c r="S424" s="76" t="n"/>
      <c r="T424" s="77">
        <f>K424-L424</f>
        <v/>
      </c>
      <c r="U424" s="77">
        <f>P424-Q424</f>
        <v/>
      </c>
      <c r="V424" s="77">
        <f>ABS(U424)</f>
        <v/>
      </c>
      <c r="W424" s="78">
        <f>T424/L424</f>
        <v/>
      </c>
      <c r="X424" s="79">
        <f>ABS(W424)</f>
        <v/>
      </c>
      <c r="AG424" s="80" t="inlineStr">
        <is>
          <t>踢脚线长度</t>
        </is>
      </c>
    </row>
    <row r="425" ht="11.4" customHeight="1">
      <c r="A425" s="67" t="inlineStr">
        <is>
          <t>63</t>
        </is>
      </c>
      <c r="B425" s="67" t="inlineStr">
        <is>
          <t>1061</t>
        </is>
      </c>
      <c r="C425" s="67" t="inlineStr">
        <is>
          <t>1611</t>
        </is>
      </c>
      <c r="D425" s="68" t="inlineStr">
        <is>
          <t>01</t>
        </is>
      </c>
      <c r="E425" s="68" t="inlineStr">
        <is>
          <t>6 物业施工费</t>
        </is>
      </c>
      <c r="F425" s="68" t="inlineStr">
        <is>
          <t>6.1 总承包工程</t>
        </is>
      </c>
      <c r="G425" s="68" t="inlineStr">
        <is>
          <t>6.1.1 内部装修工程</t>
        </is>
      </c>
      <c r="H425" s="68" t="inlineStr">
        <is>
          <t>员休室地面</t>
        </is>
      </c>
      <c r="I425" s="69" t="inlineStr">
        <is>
          <t>1000051755</t>
        </is>
      </c>
      <c r="J425" s="69" t="inlineStr">
        <is>
          <t>600*600mm灰色水泥地砖（琛雄，含不超过50mm厚的找平层）</t>
        </is>
      </c>
      <c r="K425" s="70" t="n"/>
      <c r="L425" s="70" t="n"/>
      <c r="M425" s="71" t="inlineStr">
        <is>
          <t>m2</t>
        </is>
      </c>
      <c r="N425" s="72" t="n">
        <v>187.98</v>
      </c>
      <c r="O425" s="72">
        <f>ROUND(N425*(1+$F$10),2)</f>
        <v/>
      </c>
      <c r="P425" s="73">
        <f>ROUND(K425*N425,2)</f>
        <v/>
      </c>
      <c r="Q425" s="74">
        <f>ROUND(L425*N425,2)</f>
        <v/>
      </c>
      <c r="R425" s="75" t="n"/>
      <c r="S425" s="76" t="n"/>
      <c r="T425" s="77">
        <f>K425-L425</f>
        <v/>
      </c>
      <c r="U425" s="77">
        <f>P425-Q425</f>
        <v/>
      </c>
      <c r="V425" s="77">
        <f>ABS(U425)</f>
        <v/>
      </c>
      <c r="W425" s="78">
        <f>T425/L425</f>
        <v/>
      </c>
      <c r="X425" s="79">
        <f>ABS(W425)</f>
        <v/>
      </c>
      <c r="AG425" s="6" t="inlineStr">
        <is>
          <t>楼板面积</t>
        </is>
      </c>
    </row>
    <row r="426" ht="11.4" customHeight="1">
      <c r="A426" s="67" t="inlineStr">
        <is>
          <t>63</t>
        </is>
      </c>
      <c r="B426" s="67" t="inlineStr">
        <is>
          <t>1061</t>
        </is>
      </c>
      <c r="C426" s="67" t="inlineStr">
        <is>
          <t>1611</t>
        </is>
      </c>
      <c r="D426" s="68" t="inlineStr">
        <is>
          <t>01</t>
        </is>
      </c>
      <c r="E426" s="68" t="inlineStr">
        <is>
          <t>6 物业施工费</t>
        </is>
      </c>
      <c r="F426" s="68" t="inlineStr">
        <is>
          <t>6.1 总承包工程</t>
        </is>
      </c>
      <c r="G426" s="68" t="inlineStr">
        <is>
          <t>6.1.1 内部装修工程</t>
        </is>
      </c>
      <c r="H426" s="68" t="inlineStr">
        <is>
          <t>员休室地面</t>
        </is>
      </c>
      <c r="I426" s="69" t="inlineStr">
        <is>
          <t>1000051756</t>
        </is>
      </c>
      <c r="J426" s="69" t="inlineStr">
        <is>
          <t>600*600mm灰色水泥地砖（共荣，含不超过50mm厚的找平层）</t>
        </is>
      </c>
      <c r="K426" s="70" t="n"/>
      <c r="L426" s="70" t="n"/>
      <c r="M426" s="71" t="inlineStr">
        <is>
          <t>m2</t>
        </is>
      </c>
      <c r="N426" s="72" t="n">
        <v>171.66</v>
      </c>
      <c r="O426" s="72">
        <f>ROUND(N426*(1+$F$10),2)</f>
        <v/>
      </c>
      <c r="P426" s="73">
        <f>ROUND(K426*N426,2)</f>
        <v/>
      </c>
      <c r="Q426" s="74">
        <f>ROUND(L426*N426,2)</f>
        <v/>
      </c>
      <c r="R426" s="75" t="n"/>
      <c r="S426" s="76" t="n"/>
      <c r="T426" s="77">
        <f>K426-L426</f>
        <v/>
      </c>
      <c r="U426" s="77">
        <f>P426-Q426</f>
        <v/>
      </c>
      <c r="V426" s="77">
        <f>ABS(U426)</f>
        <v/>
      </c>
      <c r="W426" s="78">
        <f>T426/L426</f>
        <v/>
      </c>
      <c r="X426" s="79">
        <f>ABS(W426)</f>
        <v/>
      </c>
    </row>
    <row r="427" ht="11.4" customHeight="1">
      <c r="A427" s="67" t="inlineStr">
        <is>
          <t>63</t>
        </is>
      </c>
      <c r="B427" s="67" t="inlineStr">
        <is>
          <t>1061</t>
        </is>
      </c>
      <c r="C427" s="67" t="inlineStr">
        <is>
          <t>1611</t>
        </is>
      </c>
      <c r="D427" s="68" t="inlineStr">
        <is>
          <t>01</t>
        </is>
      </c>
      <c r="E427" s="68" t="inlineStr">
        <is>
          <t>6 物业施工费</t>
        </is>
      </c>
      <c r="F427" s="68" t="inlineStr">
        <is>
          <t>6.1 总承包工程</t>
        </is>
      </c>
      <c r="G427" s="68" t="inlineStr">
        <is>
          <t>6.1.1 内部装修工程</t>
        </is>
      </c>
      <c r="H427" s="68" t="inlineStr">
        <is>
          <t>员休室地面</t>
        </is>
      </c>
      <c r="I427" s="69" t="inlineStr">
        <is>
          <t>1000051757</t>
        </is>
      </c>
      <c r="J427" s="69" t="inlineStr">
        <is>
          <t>600*600mm灰色水泥地砖（冠军，含不超过50mm厚的找平层）</t>
        </is>
      </c>
      <c r="K427" s="70" t="n"/>
      <c r="L427" s="70" t="n"/>
      <c r="M427" s="71" t="inlineStr">
        <is>
          <t>m2</t>
        </is>
      </c>
      <c r="N427" s="72" t="n">
        <v>189.15</v>
      </c>
      <c r="O427" s="72">
        <f>ROUND(N427*(1+$F$10),2)</f>
        <v/>
      </c>
      <c r="P427" s="73">
        <f>ROUND(K427*N427,2)</f>
        <v/>
      </c>
      <c r="Q427" s="74">
        <f>ROUND(L427*N427,2)</f>
        <v/>
      </c>
      <c r="R427" s="75" t="n"/>
      <c r="S427" s="76" t="n"/>
      <c r="T427" s="77">
        <f>K427-L427</f>
        <v/>
      </c>
      <c r="U427" s="77">
        <f>P427-Q427</f>
        <v/>
      </c>
      <c r="V427" s="77">
        <f>ABS(U427)</f>
        <v/>
      </c>
      <c r="W427" s="78">
        <f>T427/L427</f>
        <v/>
      </c>
      <c r="X427" s="79">
        <f>ABS(W427)</f>
        <v/>
      </c>
    </row>
    <row r="428" ht="11.4" customHeight="1">
      <c r="A428" s="67" t="inlineStr">
        <is>
          <t>63</t>
        </is>
      </c>
      <c r="B428" s="67" t="inlineStr">
        <is>
          <t>1061</t>
        </is>
      </c>
      <c r="C428" s="67" t="inlineStr">
        <is>
          <t>1611</t>
        </is>
      </c>
      <c r="D428" s="68" t="inlineStr">
        <is>
          <t>01</t>
        </is>
      </c>
      <c r="E428" s="68" t="inlineStr">
        <is>
          <t>6 物业施工费</t>
        </is>
      </c>
      <c r="F428" s="68" t="inlineStr">
        <is>
          <t>6.1 总承包工程</t>
        </is>
      </c>
      <c r="G428" s="68" t="inlineStr">
        <is>
          <t>6.1.1 内部装修工程</t>
        </is>
      </c>
      <c r="H428" s="68" t="inlineStr">
        <is>
          <t>员休室地面</t>
        </is>
      </c>
      <c r="I428" s="69" t="inlineStr">
        <is>
          <t>1000053612</t>
        </is>
      </c>
      <c r="J428" s="69" t="inlineStr">
        <is>
          <t>灰色水泥纹踢脚（琛雄）</t>
        </is>
      </c>
      <c r="K428" s="70" t="n"/>
      <c r="L428" s="70" t="n"/>
      <c r="M428" s="71" t="inlineStr">
        <is>
          <t>米</t>
        </is>
      </c>
      <c r="N428" s="72" t="n">
        <v>41.36</v>
      </c>
      <c r="O428" s="72">
        <f>ROUND(N428*(1+$F$10),2)</f>
        <v/>
      </c>
      <c r="P428" s="73">
        <f>ROUND(K428*N428,2)</f>
        <v/>
      </c>
      <c r="Q428" s="74">
        <f>ROUND(L428*N428,2)</f>
        <v/>
      </c>
      <c r="R428" s="75" t="n"/>
      <c r="S428" s="76" t="n"/>
      <c r="T428" s="77">
        <f>K428-L428</f>
        <v/>
      </c>
      <c r="U428" s="77">
        <f>P428-Q428</f>
        <v/>
      </c>
      <c r="V428" s="77">
        <f>ABS(U428)</f>
        <v/>
      </c>
      <c r="W428" s="78">
        <f>T428/L428</f>
        <v/>
      </c>
      <c r="X428" s="79">
        <f>ABS(W428)</f>
        <v/>
      </c>
      <c r="AG428" s="80" t="inlineStr">
        <is>
          <t>踢脚线长度</t>
        </is>
      </c>
    </row>
    <row r="429" ht="11.4" customHeight="1">
      <c r="A429" s="67" t="inlineStr">
        <is>
          <t>63</t>
        </is>
      </c>
      <c r="B429" s="67" t="inlineStr">
        <is>
          <t>1061</t>
        </is>
      </c>
      <c r="C429" s="67" t="inlineStr">
        <is>
          <t>1611</t>
        </is>
      </c>
      <c r="D429" s="68" t="inlineStr">
        <is>
          <t>01</t>
        </is>
      </c>
      <c r="E429" s="68" t="inlineStr">
        <is>
          <t>6 物业施工费</t>
        </is>
      </c>
      <c r="F429" s="68" t="inlineStr">
        <is>
          <t>6.1 总承包工程</t>
        </is>
      </c>
      <c r="G429" s="68" t="inlineStr">
        <is>
          <t>6.1.1 内部装修工程</t>
        </is>
      </c>
      <c r="H429" s="68" t="inlineStr">
        <is>
          <t>员休室地面</t>
        </is>
      </c>
      <c r="I429" s="69" t="inlineStr">
        <is>
          <t>1000053613</t>
        </is>
      </c>
      <c r="J429" s="69" t="inlineStr">
        <is>
          <t>灰色水泥纹踢脚（共荣）</t>
        </is>
      </c>
      <c r="K429" s="70" t="n"/>
      <c r="L429" s="70" t="n"/>
      <c r="M429" s="71" t="inlineStr">
        <is>
          <t>米</t>
        </is>
      </c>
      <c r="N429" s="72" t="n">
        <v>38.94</v>
      </c>
      <c r="O429" s="72">
        <f>ROUND(N429*(1+$F$10),2)</f>
        <v/>
      </c>
      <c r="P429" s="73">
        <f>ROUND(K429*N429,2)</f>
        <v/>
      </c>
      <c r="Q429" s="74">
        <f>ROUND(L429*N429,2)</f>
        <v/>
      </c>
      <c r="R429" s="75" t="n"/>
      <c r="S429" s="76" t="n"/>
      <c r="T429" s="77">
        <f>K429-L429</f>
        <v/>
      </c>
      <c r="U429" s="77">
        <f>P429-Q429</f>
        <v/>
      </c>
      <c r="V429" s="77">
        <f>ABS(U429)</f>
        <v/>
      </c>
      <c r="W429" s="78">
        <f>T429/L429</f>
        <v/>
      </c>
      <c r="X429" s="79">
        <f>ABS(W429)</f>
        <v/>
      </c>
    </row>
    <row r="430" ht="11.4" customHeight="1">
      <c r="A430" s="67" t="inlineStr">
        <is>
          <t>63</t>
        </is>
      </c>
      <c r="B430" s="67" t="inlineStr">
        <is>
          <t>1061</t>
        </is>
      </c>
      <c r="C430" s="67" t="inlineStr">
        <is>
          <t>1611</t>
        </is>
      </c>
      <c r="D430" s="68" t="inlineStr">
        <is>
          <t>01</t>
        </is>
      </c>
      <c r="E430" s="68" t="inlineStr">
        <is>
          <t>6 物业施工费</t>
        </is>
      </c>
      <c r="F430" s="68" t="inlineStr">
        <is>
          <t>6.1 总承包工程</t>
        </is>
      </c>
      <c r="G430" s="68" t="inlineStr">
        <is>
          <t>6.1.1 内部装修工程</t>
        </is>
      </c>
      <c r="H430" s="68" t="inlineStr">
        <is>
          <t>员休室地面</t>
        </is>
      </c>
      <c r="I430" s="69" t="inlineStr">
        <is>
          <t>1000053614</t>
        </is>
      </c>
      <c r="J430" s="69" t="inlineStr">
        <is>
          <t>灰色水泥纹踢脚（冠军）</t>
        </is>
      </c>
      <c r="K430" s="70" t="n"/>
      <c r="L430" s="70" t="n"/>
      <c r="M430" s="71" t="inlineStr">
        <is>
          <t>米</t>
        </is>
      </c>
      <c r="N430" s="72" t="n">
        <v>40.15</v>
      </c>
      <c r="O430" s="72">
        <f>ROUND(N430*(1+$F$10),2)</f>
        <v/>
      </c>
      <c r="P430" s="73">
        <f>ROUND(K430*N430,2)</f>
        <v/>
      </c>
      <c r="Q430" s="74">
        <f>ROUND(L430*N430,2)</f>
        <v/>
      </c>
      <c r="R430" s="75" t="n"/>
      <c r="S430" s="76" t="n"/>
      <c r="T430" s="77">
        <f>K430-L430</f>
        <v/>
      </c>
      <c r="U430" s="77">
        <f>P430-Q430</f>
        <v/>
      </c>
      <c r="V430" s="77">
        <f>ABS(U430)</f>
        <v/>
      </c>
      <c r="W430" s="78">
        <f>T430/L430</f>
        <v/>
      </c>
      <c r="X430" s="79">
        <f>ABS(W430)</f>
        <v/>
      </c>
    </row>
    <row r="431" ht="11.4" customHeight="1">
      <c r="A431" s="67" t="inlineStr">
        <is>
          <t>63</t>
        </is>
      </c>
      <c r="B431" s="67" t="inlineStr">
        <is>
          <t>1061</t>
        </is>
      </c>
      <c r="C431" s="67" t="inlineStr">
        <is>
          <t>1611</t>
        </is>
      </c>
      <c r="D431" s="68" t="inlineStr">
        <is>
          <t>01</t>
        </is>
      </c>
      <c r="E431" s="68" t="inlineStr">
        <is>
          <t>6 物业施工费</t>
        </is>
      </c>
      <c r="F431" s="68" t="inlineStr">
        <is>
          <t>6.1 总承包工程</t>
        </is>
      </c>
      <c r="G431" s="68" t="inlineStr">
        <is>
          <t>6.1.1 内部装修工程</t>
        </is>
      </c>
      <c r="H431" s="68" t="inlineStr">
        <is>
          <t>员休室地面</t>
        </is>
      </c>
      <c r="I431" s="69" t="inlineStr">
        <is>
          <t>1000021454</t>
        </is>
      </c>
      <c r="J431" s="69" t="inlineStr">
        <is>
          <t>150x150mm灰色砖地面（琛雄，含不超过50mm厚的找平层）</t>
        </is>
      </c>
      <c r="K431" s="70" t="n"/>
      <c r="L431" s="70" t="n"/>
      <c r="M431" s="71" t="inlineStr">
        <is>
          <t>m2</t>
        </is>
      </c>
      <c r="N431" s="72" t="n">
        <v>203.87</v>
      </c>
      <c r="O431" s="72">
        <f>ROUND(N431*(1+$F$10),2)</f>
        <v/>
      </c>
      <c r="P431" s="73">
        <f>ROUND(K431*N431,2)</f>
        <v/>
      </c>
      <c r="Q431" s="74">
        <f>ROUND(L431*N431,2)</f>
        <v/>
      </c>
      <c r="R431" s="75" t="n"/>
      <c r="S431" s="76" t="n"/>
      <c r="T431" s="77">
        <f>K431-L431</f>
        <v/>
      </c>
      <c r="U431" s="77">
        <f>P431-Q431</f>
        <v/>
      </c>
      <c r="V431" s="77">
        <f>ABS(U431)</f>
        <v/>
      </c>
      <c r="W431" s="78">
        <f>T431/L431</f>
        <v/>
      </c>
      <c r="X431" s="79">
        <f>ABS(W431)</f>
        <v/>
      </c>
    </row>
    <row r="432" ht="11.4" customHeight="1">
      <c r="A432" s="67" t="inlineStr">
        <is>
          <t>63</t>
        </is>
      </c>
      <c r="B432" s="67" t="inlineStr">
        <is>
          <t>1061</t>
        </is>
      </c>
      <c r="C432" s="67" t="inlineStr">
        <is>
          <t>1611</t>
        </is>
      </c>
      <c r="D432" s="68" t="inlineStr">
        <is>
          <t>01</t>
        </is>
      </c>
      <c r="E432" s="68" t="inlineStr">
        <is>
          <t>6 物业施工费</t>
        </is>
      </c>
      <c r="F432" s="68" t="inlineStr">
        <is>
          <t>6.1 总承包工程</t>
        </is>
      </c>
      <c r="G432" s="68" t="inlineStr">
        <is>
          <t>6.1.1 内部装修工程</t>
        </is>
      </c>
      <c r="H432" s="68" t="inlineStr">
        <is>
          <t>员休室地面</t>
        </is>
      </c>
      <c r="I432" s="69" t="inlineStr">
        <is>
          <t>1000021455</t>
        </is>
      </c>
      <c r="J432" s="69" t="inlineStr">
        <is>
          <t>灰色砖踢脚（琛雄，含阴阳角）</t>
        </is>
      </c>
      <c r="K432" s="70" t="n"/>
      <c r="L432" s="70" t="n"/>
      <c r="M432" s="71" t="inlineStr">
        <is>
          <t>米</t>
        </is>
      </c>
      <c r="N432" s="72" t="n">
        <v>101.27</v>
      </c>
      <c r="O432" s="72">
        <f>ROUND(N432*(1+$F$10),2)</f>
        <v/>
      </c>
      <c r="P432" s="73">
        <f>ROUND(K432*N432,2)</f>
        <v/>
      </c>
      <c r="Q432" s="74">
        <f>ROUND(L432*N432,2)</f>
        <v/>
      </c>
      <c r="R432" s="75" t="n"/>
      <c r="S432" s="76" t="n"/>
      <c r="T432" s="77">
        <f>K432-L432</f>
        <v/>
      </c>
      <c r="U432" s="77">
        <f>P432-Q432</f>
        <v/>
      </c>
      <c r="V432" s="77">
        <f>ABS(U432)</f>
        <v/>
      </c>
      <c r="W432" s="78">
        <f>T432/L432</f>
        <v/>
      </c>
      <c r="X432" s="79">
        <f>ABS(W432)</f>
        <v/>
      </c>
    </row>
    <row r="433" ht="11.4" customHeight="1">
      <c r="A433" s="67" t="inlineStr">
        <is>
          <t>63</t>
        </is>
      </c>
      <c r="B433" s="67" t="inlineStr">
        <is>
          <t>1061</t>
        </is>
      </c>
      <c r="C433" s="67" t="inlineStr">
        <is>
          <t>1611</t>
        </is>
      </c>
      <c r="D433" s="68" t="inlineStr">
        <is>
          <t>01</t>
        </is>
      </c>
      <c r="E433" s="68" t="inlineStr">
        <is>
          <t>6 物业施工费</t>
        </is>
      </c>
      <c r="F433" s="68" t="inlineStr">
        <is>
          <t>6.1 总承包工程</t>
        </is>
      </c>
      <c r="G433" s="68" t="inlineStr">
        <is>
          <t>6.1.1 内部装修工程</t>
        </is>
      </c>
      <c r="H433" s="68" t="inlineStr">
        <is>
          <t>员休室地面</t>
        </is>
      </c>
      <c r="I433" s="69" t="inlineStr">
        <is>
          <t>1000021654</t>
        </is>
      </c>
      <c r="J433" s="69" t="inlineStr">
        <is>
          <t>150x150mm灰色砖地面（共荣，含不超过50mm厚的找平层）</t>
        </is>
      </c>
      <c r="K433" s="70" t="n"/>
      <c r="L433" s="70" t="n"/>
      <c r="M433" s="71" t="inlineStr">
        <is>
          <t>m2</t>
        </is>
      </c>
      <c r="N433" s="72" t="n">
        <v>194.19</v>
      </c>
      <c r="O433" s="72">
        <f>ROUND(N433*(1+$F$10),2)</f>
        <v/>
      </c>
      <c r="P433" s="73">
        <f>ROUND(K433*N433,2)</f>
        <v/>
      </c>
      <c r="Q433" s="74">
        <f>ROUND(L433*N433,2)</f>
        <v/>
      </c>
      <c r="R433" s="75" t="n"/>
      <c r="S433" s="76" t="n"/>
      <c r="T433" s="77">
        <f>K433-L433</f>
        <v/>
      </c>
      <c r="U433" s="77">
        <f>P433-Q433</f>
        <v/>
      </c>
      <c r="V433" s="77">
        <f>ABS(U433)</f>
        <v/>
      </c>
      <c r="W433" s="78">
        <f>T433/L433</f>
        <v/>
      </c>
      <c r="X433" s="79">
        <f>ABS(W433)</f>
        <v/>
      </c>
    </row>
    <row r="434" ht="11.4" customHeight="1">
      <c r="A434" s="67" t="inlineStr">
        <is>
          <t>63</t>
        </is>
      </c>
      <c r="B434" s="67" t="inlineStr">
        <is>
          <t>1061</t>
        </is>
      </c>
      <c r="C434" s="67" t="inlineStr">
        <is>
          <t>1611</t>
        </is>
      </c>
      <c r="D434" s="68" t="inlineStr">
        <is>
          <t>01</t>
        </is>
      </c>
      <c r="E434" s="68" t="inlineStr">
        <is>
          <t>6 物业施工费</t>
        </is>
      </c>
      <c r="F434" s="68" t="inlineStr">
        <is>
          <t>6.1 总承包工程</t>
        </is>
      </c>
      <c r="G434" s="68" t="inlineStr">
        <is>
          <t>6.1.1 内部装修工程</t>
        </is>
      </c>
      <c r="H434" s="68" t="inlineStr">
        <is>
          <t>员休室地面</t>
        </is>
      </c>
      <c r="I434" s="69" t="inlineStr">
        <is>
          <t>1000021655</t>
        </is>
      </c>
      <c r="J434" s="69" t="inlineStr">
        <is>
          <t>灰色砖踢脚（共荣，含阴阳角）</t>
        </is>
      </c>
      <c r="K434" s="70" t="n"/>
      <c r="L434" s="70" t="n"/>
      <c r="M434" s="71" t="inlineStr">
        <is>
          <t>米</t>
        </is>
      </c>
      <c r="N434" s="72" t="n">
        <v>83.12</v>
      </c>
      <c r="O434" s="72">
        <f>ROUND(N434*(1+$F$10),2)</f>
        <v/>
      </c>
      <c r="P434" s="73">
        <f>ROUND(K434*N434,2)</f>
        <v/>
      </c>
      <c r="Q434" s="74">
        <f>ROUND(L434*N434,2)</f>
        <v/>
      </c>
      <c r="R434" s="75" t="n"/>
      <c r="S434" s="76" t="n"/>
      <c r="T434" s="77">
        <f>K434-L434</f>
        <v/>
      </c>
      <c r="U434" s="77">
        <f>P434-Q434</f>
        <v/>
      </c>
      <c r="V434" s="77">
        <f>ABS(U434)</f>
        <v/>
      </c>
      <c r="W434" s="78">
        <f>T434/L434</f>
        <v/>
      </c>
      <c r="X434" s="79">
        <f>ABS(W434)</f>
        <v/>
      </c>
    </row>
    <row r="435" ht="11.4" customHeight="1">
      <c r="A435" s="67" t="inlineStr">
        <is>
          <t>63</t>
        </is>
      </c>
      <c r="B435" s="67" t="inlineStr">
        <is>
          <t>1061</t>
        </is>
      </c>
      <c r="C435" s="67" t="inlineStr">
        <is>
          <t>1611</t>
        </is>
      </c>
      <c r="D435" s="68" t="inlineStr">
        <is>
          <t>01</t>
        </is>
      </c>
      <c r="E435" s="68" t="inlineStr">
        <is>
          <t>6 物业施工费</t>
        </is>
      </c>
      <c r="F435" s="68" t="inlineStr">
        <is>
          <t>6.1 总承包工程</t>
        </is>
      </c>
      <c r="G435" s="68" t="inlineStr">
        <is>
          <t>6.1.1 内部装修工程</t>
        </is>
      </c>
      <c r="H435" s="68" t="inlineStr">
        <is>
          <t>员休室地面</t>
        </is>
      </c>
      <c r="I435" s="69" t="inlineStr">
        <is>
          <t>1000021676</t>
        </is>
      </c>
      <c r="J435" s="69" t="inlineStr">
        <is>
          <t>150x150mm灰色砖地面（冠军，含不超过50mm厚的找平层）</t>
        </is>
      </c>
      <c r="K435" s="83" t="n"/>
      <c r="L435" s="70" t="n">
        <v>3.73</v>
      </c>
      <c r="M435" s="71" t="inlineStr">
        <is>
          <t>m2</t>
        </is>
      </c>
      <c r="N435" s="72" t="n">
        <v>202.66</v>
      </c>
      <c r="O435" s="72">
        <f>ROUND(N435*(1+$F$10),2)</f>
        <v/>
      </c>
      <c r="P435" s="73">
        <f>ROUND(K435*N435,2)</f>
        <v/>
      </c>
      <c r="Q435" s="74">
        <f>ROUND(L435*N435,2)</f>
        <v/>
      </c>
      <c r="R435" s="75" t="n"/>
      <c r="S435" s="76" t="n"/>
      <c r="T435" s="77">
        <f>K435-L435</f>
        <v/>
      </c>
      <c r="U435" s="77">
        <f>P435-Q435</f>
        <v/>
      </c>
      <c r="V435" s="77">
        <f>ABS(U435)</f>
        <v/>
      </c>
      <c r="W435" s="78">
        <f>T435/L435</f>
        <v/>
      </c>
      <c r="X435" s="79">
        <f>ABS(W435)</f>
        <v/>
      </c>
    </row>
    <row r="436" ht="11.4" customHeight="1">
      <c r="A436" s="67" t="inlineStr">
        <is>
          <t>63</t>
        </is>
      </c>
      <c r="B436" s="67" t="inlineStr">
        <is>
          <t>1061</t>
        </is>
      </c>
      <c r="C436" s="67" t="inlineStr">
        <is>
          <t>1611</t>
        </is>
      </c>
      <c r="D436" s="68" t="inlineStr">
        <is>
          <t>01</t>
        </is>
      </c>
      <c r="E436" s="68" t="inlineStr">
        <is>
          <t>6 物业施工费</t>
        </is>
      </c>
      <c r="F436" s="68" t="inlineStr">
        <is>
          <t>6.1 总承包工程</t>
        </is>
      </c>
      <c r="G436" s="68" t="inlineStr">
        <is>
          <t>6.1.1 内部装修工程</t>
        </is>
      </c>
      <c r="H436" s="68" t="inlineStr">
        <is>
          <t>员休室地面</t>
        </is>
      </c>
      <c r="I436" s="69" t="inlineStr">
        <is>
          <t>1000021677</t>
        </is>
      </c>
      <c r="J436" s="69" t="inlineStr">
        <is>
          <t>灰色砖踢脚（冠军，含阴阳角）</t>
        </is>
      </c>
      <c r="K436" s="70" t="n"/>
      <c r="L436" s="70" t="n"/>
      <c r="M436" s="71" t="inlineStr">
        <is>
          <t>米</t>
        </is>
      </c>
      <c r="N436" s="72" t="n">
        <v>101.27</v>
      </c>
      <c r="O436" s="72">
        <f>ROUND(N436*(1+$F$10),2)</f>
        <v/>
      </c>
      <c r="P436" s="73">
        <f>ROUND(K436*N436,2)</f>
        <v/>
      </c>
      <c r="Q436" s="74">
        <f>ROUND(L436*N436,2)</f>
        <v/>
      </c>
      <c r="R436" s="75" t="n"/>
      <c r="S436" s="76" t="n"/>
      <c r="T436" s="77">
        <f>K436-L436</f>
        <v/>
      </c>
      <c r="U436" s="77">
        <f>P436-Q436</f>
        <v/>
      </c>
      <c r="V436" s="77">
        <f>ABS(U436)</f>
        <v/>
      </c>
      <c r="W436" s="78">
        <f>T436/L436</f>
        <v/>
      </c>
      <c r="X436" s="79">
        <f>ABS(W436)</f>
        <v/>
      </c>
    </row>
    <row r="437" ht="11.4" customHeight="1">
      <c r="A437" s="67" t="inlineStr">
        <is>
          <t>63</t>
        </is>
      </c>
      <c r="B437" s="67" t="inlineStr">
        <is>
          <t>1061</t>
        </is>
      </c>
      <c r="C437" s="67" t="inlineStr">
        <is>
          <t>1611</t>
        </is>
      </c>
      <c r="D437" s="68" t="inlineStr">
        <is>
          <t>01</t>
        </is>
      </c>
      <c r="E437" s="68" t="inlineStr">
        <is>
          <t>6 物业施工费</t>
        </is>
      </c>
      <c r="F437" s="68" t="inlineStr">
        <is>
          <t>6.1 总承包工程</t>
        </is>
      </c>
      <c r="G437" s="68" t="inlineStr">
        <is>
          <t>6.1.1 内部装修工程</t>
        </is>
      </c>
      <c r="H437" s="68" t="inlineStr">
        <is>
          <t>员休室地面</t>
        </is>
      </c>
      <c r="I437" s="69" t="inlineStr">
        <is>
          <t>1000021666</t>
        </is>
      </c>
      <c r="J437" s="69" t="inlineStr">
        <is>
          <t>600*600mm水磨石地砖（琛雄，含不超过50mm厚的找平层）</t>
        </is>
      </c>
      <c r="K437" s="70" t="n"/>
      <c r="L437" s="70" t="n"/>
      <c r="M437" s="71" t="inlineStr">
        <is>
          <t>m2</t>
        </is>
      </c>
      <c r="N437" s="72" t="n">
        <v>196.14</v>
      </c>
      <c r="O437" s="72">
        <f>ROUND(N437*(1+$F$10),2)</f>
        <v/>
      </c>
      <c r="P437" s="73">
        <f>ROUND(K437*N437,2)</f>
        <v/>
      </c>
      <c r="Q437" s="74">
        <f>ROUND(L437*N437,2)</f>
        <v/>
      </c>
      <c r="R437" s="75" t="n"/>
      <c r="S437" s="76" t="n"/>
      <c r="T437" s="77">
        <f>K437-L437</f>
        <v/>
      </c>
      <c r="U437" s="77">
        <f>P437-Q437</f>
        <v/>
      </c>
      <c r="V437" s="77">
        <f>ABS(U437)</f>
        <v/>
      </c>
      <c r="W437" s="78">
        <f>T437/L437</f>
        <v/>
      </c>
      <c r="X437" s="79">
        <f>ABS(W437)</f>
        <v/>
      </c>
    </row>
    <row r="438" ht="11.4" customHeight="1">
      <c r="A438" s="67" t="inlineStr">
        <is>
          <t>63</t>
        </is>
      </c>
      <c r="B438" s="67" t="inlineStr">
        <is>
          <t>1061</t>
        </is>
      </c>
      <c r="C438" s="67" t="inlineStr">
        <is>
          <t>1611</t>
        </is>
      </c>
      <c r="D438" s="68" t="inlineStr">
        <is>
          <t>01</t>
        </is>
      </c>
      <c r="E438" s="68" t="inlineStr">
        <is>
          <t>6 物业施工费</t>
        </is>
      </c>
      <c r="F438" s="68" t="inlineStr">
        <is>
          <t>6.1 总承包工程</t>
        </is>
      </c>
      <c r="G438" s="68" t="inlineStr">
        <is>
          <t>6.1.1 内部装修工程</t>
        </is>
      </c>
      <c r="H438" s="68" t="inlineStr">
        <is>
          <t>员休室地面</t>
        </is>
      </c>
      <c r="I438" s="69" t="inlineStr">
        <is>
          <t>1000021667</t>
        </is>
      </c>
      <c r="J438" s="69" t="inlineStr">
        <is>
          <t>琛雄水磨石踢脚</t>
        </is>
      </c>
      <c r="K438" s="70" t="n"/>
      <c r="L438" s="70" t="n"/>
      <c r="M438" s="71" t="inlineStr">
        <is>
          <t>米</t>
        </is>
      </c>
      <c r="N438" s="72" t="n">
        <v>41.47</v>
      </c>
      <c r="O438" s="72">
        <f>ROUND(N438*(1+$F$10),2)</f>
        <v/>
      </c>
      <c r="P438" s="73">
        <f>ROUND(K438*N438,2)</f>
        <v/>
      </c>
      <c r="Q438" s="74">
        <f>ROUND(L438*N438,2)</f>
        <v/>
      </c>
      <c r="R438" s="75" t="n"/>
      <c r="S438" s="76" t="n"/>
      <c r="T438" s="77">
        <f>K438-L438</f>
        <v/>
      </c>
      <c r="U438" s="77">
        <f>P438-Q438</f>
        <v/>
      </c>
      <c r="V438" s="77">
        <f>ABS(U438)</f>
        <v/>
      </c>
      <c r="W438" s="78">
        <f>T438/L438</f>
        <v/>
      </c>
      <c r="X438" s="79">
        <f>ABS(W438)</f>
        <v/>
      </c>
    </row>
    <row r="439" ht="11.4" customHeight="1">
      <c r="A439" s="67" t="inlineStr">
        <is>
          <t>63</t>
        </is>
      </c>
      <c r="B439" s="67" t="inlineStr">
        <is>
          <t>1061</t>
        </is>
      </c>
      <c r="C439" s="67" t="inlineStr">
        <is>
          <t>1611</t>
        </is>
      </c>
      <c r="D439" s="68" t="inlineStr">
        <is>
          <t>01</t>
        </is>
      </c>
      <c r="E439" s="68" t="inlineStr">
        <is>
          <t>6 物业施工费</t>
        </is>
      </c>
      <c r="F439" s="68" t="inlineStr">
        <is>
          <t>6.1 总承包工程</t>
        </is>
      </c>
      <c r="G439" s="68" t="inlineStr">
        <is>
          <t>6.1.1 内部装修工程</t>
        </is>
      </c>
      <c r="H439" s="68" t="inlineStr">
        <is>
          <t>员休室地面</t>
        </is>
      </c>
      <c r="I439" s="69" t="inlineStr">
        <is>
          <t>1000021462</t>
        </is>
      </c>
      <c r="J439" s="69" t="inlineStr">
        <is>
          <t>600*600mm水磨石地砖（共荣，含不超过50mm厚的找平层）</t>
        </is>
      </c>
      <c r="K439" s="70" t="n"/>
      <c r="L439" s="70" t="n"/>
      <c r="M439" s="71" t="inlineStr">
        <is>
          <t>m2</t>
        </is>
      </c>
      <c r="N439" s="72" t="n">
        <v>179.82</v>
      </c>
      <c r="O439" s="72">
        <f>ROUND(N439*(1+$F$10),2)</f>
        <v/>
      </c>
      <c r="P439" s="73">
        <f>ROUND(K439*N439,2)</f>
        <v/>
      </c>
      <c r="Q439" s="74">
        <f>ROUND(L439*N439,2)</f>
        <v/>
      </c>
      <c r="R439" s="75" t="n"/>
      <c r="S439" s="76" t="n"/>
      <c r="T439" s="77">
        <f>K439-L439</f>
        <v/>
      </c>
      <c r="U439" s="77">
        <f>P439-Q439</f>
        <v/>
      </c>
      <c r="V439" s="77">
        <f>ABS(U439)</f>
        <v/>
      </c>
      <c r="W439" s="78">
        <f>T439/L439</f>
        <v/>
      </c>
      <c r="X439" s="79">
        <f>ABS(W439)</f>
        <v/>
      </c>
    </row>
    <row r="440" ht="11.4" customHeight="1">
      <c r="A440" s="67" t="inlineStr">
        <is>
          <t>63</t>
        </is>
      </c>
      <c r="B440" s="67" t="inlineStr">
        <is>
          <t>1061</t>
        </is>
      </c>
      <c r="C440" s="67" t="inlineStr">
        <is>
          <t>1611</t>
        </is>
      </c>
      <c r="D440" s="68" t="inlineStr">
        <is>
          <t>01</t>
        </is>
      </c>
      <c r="E440" s="68" t="inlineStr">
        <is>
          <t>6 物业施工费</t>
        </is>
      </c>
      <c r="F440" s="68" t="inlineStr">
        <is>
          <t>6.1 总承包工程</t>
        </is>
      </c>
      <c r="G440" s="68" t="inlineStr">
        <is>
          <t>6.1.1 内部装修工程</t>
        </is>
      </c>
      <c r="H440" s="68" t="inlineStr">
        <is>
          <t>员休室地面</t>
        </is>
      </c>
      <c r="I440" s="69" t="inlineStr">
        <is>
          <t>1000021463</t>
        </is>
      </c>
      <c r="J440" s="69" t="inlineStr">
        <is>
          <t>共荣水磨石踢脚</t>
        </is>
      </c>
      <c r="K440" s="70" t="n"/>
      <c r="L440" s="70" t="n"/>
      <c r="M440" s="71" t="inlineStr">
        <is>
          <t>米</t>
        </is>
      </c>
      <c r="N440" s="72" t="n">
        <v>37.84</v>
      </c>
      <c r="O440" s="72">
        <f>ROUND(N440*(1+$F$10),2)</f>
        <v/>
      </c>
      <c r="P440" s="73">
        <f>ROUND(K440*N440,2)</f>
        <v/>
      </c>
      <c r="Q440" s="74">
        <f>ROUND(L440*N440,2)</f>
        <v/>
      </c>
      <c r="R440" s="75" t="n"/>
      <c r="S440" s="76" t="n"/>
      <c r="T440" s="77">
        <f>K440-L440</f>
        <v/>
      </c>
      <c r="U440" s="77">
        <f>P440-Q440</f>
        <v/>
      </c>
      <c r="V440" s="77">
        <f>ABS(U440)</f>
        <v/>
      </c>
      <c r="W440" s="78">
        <f>T440/L440</f>
        <v/>
      </c>
      <c r="X440" s="79">
        <f>ABS(W440)</f>
        <v/>
      </c>
    </row>
    <row r="441" ht="11.4" customHeight="1">
      <c r="A441" s="67" t="inlineStr">
        <is>
          <t>63</t>
        </is>
      </c>
      <c r="B441" s="67" t="inlineStr">
        <is>
          <t>1061</t>
        </is>
      </c>
      <c r="C441" s="67" t="inlineStr">
        <is>
          <t>1611</t>
        </is>
      </c>
      <c r="D441" s="68" t="inlineStr">
        <is>
          <t>01</t>
        </is>
      </c>
      <c r="E441" s="68" t="inlineStr">
        <is>
          <t>6 物业施工费</t>
        </is>
      </c>
      <c r="F441" s="68" t="inlineStr">
        <is>
          <t>6.1 总承包工程</t>
        </is>
      </c>
      <c r="G441" s="68" t="inlineStr">
        <is>
          <t>6.1.1 内部装修工程</t>
        </is>
      </c>
      <c r="H441" s="68" t="inlineStr">
        <is>
          <t>员休室地面</t>
        </is>
      </c>
      <c r="I441" s="69" t="inlineStr">
        <is>
          <t>1000021668</t>
        </is>
      </c>
      <c r="J441" s="69" t="inlineStr">
        <is>
          <t>600*600mm水磨石地砖（冠军，含不超过50mm厚的找平层）</t>
        </is>
      </c>
      <c r="K441" s="70" t="n"/>
      <c r="L441" s="70" t="n"/>
      <c r="M441" s="71" t="inlineStr">
        <is>
          <t>m2</t>
        </is>
      </c>
      <c r="N441" s="72" t="n">
        <v>193.81</v>
      </c>
      <c r="O441" s="72">
        <f>ROUND(N441*(1+$F$10),2)</f>
        <v/>
      </c>
      <c r="P441" s="73">
        <f>ROUND(K441*N441,2)</f>
        <v/>
      </c>
      <c r="Q441" s="74">
        <f>ROUND(L441*N441,2)</f>
        <v/>
      </c>
      <c r="R441" s="75" t="n"/>
      <c r="S441" s="76" t="n"/>
      <c r="T441" s="77">
        <f>K441-L441</f>
        <v/>
      </c>
      <c r="U441" s="77">
        <f>P441-Q441</f>
        <v/>
      </c>
      <c r="V441" s="77">
        <f>ABS(U441)</f>
        <v/>
      </c>
      <c r="W441" s="78">
        <f>T441/L441</f>
        <v/>
      </c>
      <c r="X441" s="79">
        <f>ABS(W441)</f>
        <v/>
      </c>
    </row>
    <row r="442" ht="11.4" customHeight="1">
      <c r="A442" s="67" t="inlineStr">
        <is>
          <t>63</t>
        </is>
      </c>
      <c r="B442" s="67" t="inlineStr">
        <is>
          <t>1061</t>
        </is>
      </c>
      <c r="C442" s="67" t="inlineStr">
        <is>
          <t>1611</t>
        </is>
      </c>
      <c r="D442" s="68" t="inlineStr">
        <is>
          <t>01</t>
        </is>
      </c>
      <c r="E442" s="68" t="inlineStr">
        <is>
          <t>6 物业施工费</t>
        </is>
      </c>
      <c r="F442" s="68" t="inlineStr">
        <is>
          <t>6.1 总承包工程</t>
        </is>
      </c>
      <c r="G442" s="68" t="inlineStr">
        <is>
          <t>6.1.1 内部装修工程</t>
        </is>
      </c>
      <c r="H442" s="68" t="inlineStr">
        <is>
          <t>员休室地面</t>
        </is>
      </c>
      <c r="I442" s="69" t="inlineStr">
        <is>
          <t>1000021669</t>
        </is>
      </c>
      <c r="J442" s="69" t="inlineStr">
        <is>
          <t>冠军水磨石踢脚</t>
        </is>
      </c>
      <c r="K442" s="70" t="n"/>
      <c r="L442" s="70" t="n"/>
      <c r="M442" s="71" t="inlineStr">
        <is>
          <t>米</t>
        </is>
      </c>
      <c r="N442" s="72" t="n">
        <v>39.05</v>
      </c>
      <c r="O442" s="72">
        <f>ROUND(N442*(1+$F$10),2)</f>
        <v/>
      </c>
      <c r="P442" s="73">
        <f>ROUND(K442*N442,2)</f>
        <v/>
      </c>
      <c r="Q442" s="74">
        <f>ROUND(L442*N442,2)</f>
        <v/>
      </c>
      <c r="R442" s="75" t="n"/>
      <c r="S442" s="76" t="n"/>
      <c r="T442" s="77">
        <f>K442-L442</f>
        <v/>
      </c>
      <c r="U442" s="77">
        <f>P442-Q442</f>
        <v/>
      </c>
      <c r="V442" s="77">
        <f>ABS(U442)</f>
        <v/>
      </c>
      <c r="W442" s="78">
        <f>T442/L442</f>
        <v/>
      </c>
      <c r="X442" s="79">
        <f>ABS(W442)</f>
        <v/>
      </c>
    </row>
    <row r="443" ht="11.4" customHeight="1">
      <c r="A443" s="67" t="inlineStr">
        <is>
          <t>63</t>
        </is>
      </c>
      <c r="B443" s="67" t="inlineStr">
        <is>
          <t>1061</t>
        </is>
      </c>
      <c r="C443" s="67" t="inlineStr">
        <is>
          <t>1611</t>
        </is>
      </c>
      <c r="D443" s="68" t="inlineStr">
        <is>
          <t>01</t>
        </is>
      </c>
      <c r="E443" s="68" t="inlineStr">
        <is>
          <t>6 物业施工费</t>
        </is>
      </c>
      <c r="F443" s="68" t="inlineStr">
        <is>
          <t>6.1 总承包工程</t>
        </is>
      </c>
      <c r="G443" s="68" t="inlineStr">
        <is>
          <t>6.1.1 内部装修工程</t>
        </is>
      </c>
      <c r="H443" s="68" t="inlineStr">
        <is>
          <t>员休室地面</t>
        </is>
      </c>
      <c r="I443" s="69" t="inlineStr">
        <is>
          <t>1000021670</t>
        </is>
      </c>
      <c r="J443" s="69" t="inlineStr">
        <is>
          <t>木纹砖(琛雄，含不超过50mm厚的找平层)</t>
        </is>
      </c>
      <c r="K443" s="70" t="n"/>
      <c r="L443" s="70" t="n"/>
      <c r="M443" s="71" t="inlineStr">
        <is>
          <t>m2</t>
        </is>
      </c>
      <c r="N443" s="72" t="n">
        <v>178.2</v>
      </c>
      <c r="O443" s="72">
        <f>ROUND(N443*(1+$F$10),2)</f>
        <v/>
      </c>
      <c r="P443" s="73">
        <f>ROUND(K443*N443,2)</f>
        <v/>
      </c>
      <c r="Q443" s="74">
        <f>ROUND(L443*N443,2)</f>
        <v/>
      </c>
      <c r="R443" s="75" t="n"/>
      <c r="S443" s="76" t="n"/>
      <c r="T443" s="77">
        <f>K443-L443</f>
        <v/>
      </c>
      <c r="U443" s="77">
        <f>P443-Q443</f>
        <v/>
      </c>
      <c r="V443" s="77">
        <f>ABS(U443)</f>
        <v/>
      </c>
      <c r="W443" s="78">
        <f>T443/L443</f>
        <v/>
      </c>
      <c r="X443" s="79">
        <f>ABS(W443)</f>
        <v/>
      </c>
    </row>
    <row r="444" ht="11.4" customHeight="1">
      <c r="A444" s="67" t="inlineStr">
        <is>
          <t>63</t>
        </is>
      </c>
      <c r="B444" s="67" t="inlineStr">
        <is>
          <t>1061</t>
        </is>
      </c>
      <c r="C444" s="67" t="inlineStr">
        <is>
          <t>1611</t>
        </is>
      </c>
      <c r="D444" s="68" t="inlineStr">
        <is>
          <t>01</t>
        </is>
      </c>
      <c r="E444" s="68" t="inlineStr">
        <is>
          <t>6 物业施工费</t>
        </is>
      </c>
      <c r="F444" s="68" t="inlineStr">
        <is>
          <t>6.1 总承包工程</t>
        </is>
      </c>
      <c r="G444" s="68" t="inlineStr">
        <is>
          <t>6.1.1 内部装修工程</t>
        </is>
      </c>
      <c r="H444" s="68" t="inlineStr">
        <is>
          <t>员休室地面</t>
        </is>
      </c>
      <c r="I444" s="69" t="inlineStr">
        <is>
          <t>1000021464</t>
        </is>
      </c>
      <c r="J444" s="69" t="inlineStr">
        <is>
          <t>木纹砖（共荣，含不超过50mm厚的找平层）</t>
        </is>
      </c>
      <c r="K444" s="70" t="n"/>
      <c r="L444" s="70" t="n"/>
      <c r="M444" s="71" t="inlineStr">
        <is>
          <t>m2</t>
        </is>
      </c>
      <c r="N444" s="72" t="n">
        <v>170.67</v>
      </c>
      <c r="O444" s="72">
        <f>ROUND(N444*(1+$F$10),2)</f>
        <v/>
      </c>
      <c r="P444" s="73">
        <f>ROUND(K444*N444,2)</f>
        <v/>
      </c>
      <c r="Q444" s="74">
        <f>ROUND(L444*N444,2)</f>
        <v/>
      </c>
      <c r="R444" s="75" t="n"/>
      <c r="S444" s="76" t="n"/>
      <c r="T444" s="77">
        <f>K444-L444</f>
        <v/>
      </c>
      <c r="U444" s="77">
        <f>P444-Q444</f>
        <v/>
      </c>
      <c r="V444" s="77">
        <f>ABS(U444)</f>
        <v/>
      </c>
      <c r="W444" s="78">
        <f>T444/L444</f>
        <v/>
      </c>
      <c r="X444" s="79">
        <f>ABS(W444)</f>
        <v/>
      </c>
    </row>
    <row r="445" ht="11.4" customHeight="1">
      <c r="A445" s="67" t="inlineStr">
        <is>
          <t>63</t>
        </is>
      </c>
      <c r="B445" s="67" t="inlineStr">
        <is>
          <t>1061</t>
        </is>
      </c>
      <c r="C445" s="67" t="inlineStr">
        <is>
          <t>1611</t>
        </is>
      </c>
      <c r="D445" s="68" t="inlineStr">
        <is>
          <t>01</t>
        </is>
      </c>
      <c r="E445" s="68" t="inlineStr">
        <is>
          <t>6 物业施工费</t>
        </is>
      </c>
      <c r="F445" s="68" t="inlineStr">
        <is>
          <t>6.1 总承包工程</t>
        </is>
      </c>
      <c r="G445" s="68" t="inlineStr">
        <is>
          <t>6.1.1 内部装修工程</t>
        </is>
      </c>
      <c r="H445" s="68" t="inlineStr">
        <is>
          <t>员休室地面</t>
        </is>
      </c>
      <c r="I445" s="69" t="inlineStr">
        <is>
          <t>1000021671</t>
        </is>
      </c>
      <c r="J445" s="69" t="inlineStr">
        <is>
          <t>木纹砖(冠军，含不超过50mm厚的找平层)</t>
        </is>
      </c>
      <c r="K445" s="70" t="n"/>
      <c r="L445" s="70" t="n"/>
      <c r="M445" s="71" t="inlineStr">
        <is>
          <t>m2</t>
        </is>
      </c>
      <c r="N445" s="72" t="n">
        <v>181.7</v>
      </c>
      <c r="O445" s="72">
        <f>ROUND(N445*(1+$F$10),2)</f>
        <v/>
      </c>
      <c r="P445" s="73">
        <f>ROUND(K445*N445,2)</f>
        <v/>
      </c>
      <c r="Q445" s="74">
        <f>ROUND(L445*N445,2)</f>
        <v/>
      </c>
      <c r="R445" s="75" t="n"/>
      <c r="S445" s="76" t="n"/>
      <c r="T445" s="77">
        <f>K445-L445</f>
        <v/>
      </c>
      <c r="U445" s="77">
        <f>P445-Q445</f>
        <v/>
      </c>
      <c r="V445" s="77">
        <f>ABS(U445)</f>
        <v/>
      </c>
      <c r="W445" s="78">
        <f>T445/L445</f>
        <v/>
      </c>
      <c r="X445" s="79">
        <f>ABS(W445)</f>
        <v/>
      </c>
    </row>
    <row r="446" ht="11.4" customHeight="1">
      <c r="A446" s="67" t="inlineStr">
        <is>
          <t>63</t>
        </is>
      </c>
      <c r="B446" s="67" t="inlineStr">
        <is>
          <t>1061</t>
        </is>
      </c>
      <c r="C446" s="67" t="inlineStr">
        <is>
          <t>1611</t>
        </is>
      </c>
      <c r="D446" s="68" t="inlineStr">
        <is>
          <t>01</t>
        </is>
      </c>
      <c r="E446" s="68" t="inlineStr">
        <is>
          <t>6 物业施工费</t>
        </is>
      </c>
      <c r="F446" s="68" t="inlineStr">
        <is>
          <t>6.1 总承包工程</t>
        </is>
      </c>
      <c r="G446" s="68" t="inlineStr">
        <is>
          <t>6.1.1 内部装修工程</t>
        </is>
      </c>
      <c r="H446" s="68" t="inlineStr">
        <is>
          <t>员休室墙面</t>
        </is>
      </c>
      <c r="I446" s="69" t="inlineStr">
        <is>
          <t>1000021773</t>
        </is>
      </c>
      <c r="J446" s="69" t="inlineStr">
        <is>
          <t>墙面基层（木工板或硅酸钙板）</t>
        </is>
      </c>
      <c r="K446" s="70" t="n"/>
      <c r="L446" s="70" t="n"/>
      <c r="M446" s="71" t="inlineStr">
        <is>
          <t>m2</t>
        </is>
      </c>
      <c r="N446" s="72" t="n">
        <v>114.06</v>
      </c>
      <c r="O446" s="72">
        <f>ROUND(N446*(1+$F$10),2)</f>
        <v/>
      </c>
      <c r="P446" s="73">
        <f>ROUND(K446*N446,2)</f>
        <v/>
      </c>
      <c r="Q446" s="74">
        <f>ROUND(L446*N446,2)</f>
        <v/>
      </c>
      <c r="R446" s="75" t="n"/>
      <c r="S446" s="76" t="n"/>
      <c r="T446" s="77">
        <f>K446-L446</f>
        <v/>
      </c>
      <c r="U446" s="77">
        <f>P446-Q446</f>
        <v/>
      </c>
      <c r="V446" s="77">
        <f>ABS(U446)</f>
        <v/>
      </c>
      <c r="W446" s="78">
        <f>T446/L446</f>
        <v/>
      </c>
      <c r="X446" s="79">
        <f>ABS(W446)</f>
        <v/>
      </c>
      <c r="AG446" s="80" t="inlineStr">
        <is>
          <t>公式</t>
        </is>
      </c>
    </row>
    <row r="447" ht="11.4" customHeight="1">
      <c r="A447" s="67" t="inlineStr">
        <is>
          <t>63</t>
        </is>
      </c>
      <c r="B447" s="67" t="inlineStr">
        <is>
          <t>1061</t>
        </is>
      </c>
      <c r="C447" s="67" t="inlineStr">
        <is>
          <t>1611</t>
        </is>
      </c>
      <c r="D447" s="68" t="inlineStr">
        <is>
          <t>01</t>
        </is>
      </c>
      <c r="E447" s="68" t="inlineStr">
        <is>
          <t>6 物业施工费</t>
        </is>
      </c>
      <c r="F447" s="68" t="inlineStr">
        <is>
          <t>6.1 总承包工程</t>
        </is>
      </c>
      <c r="G447" s="68" t="inlineStr">
        <is>
          <t>6.1.1 内部装修工程</t>
        </is>
      </c>
      <c r="H447" s="68" t="inlineStr">
        <is>
          <t>员休室墙面</t>
        </is>
      </c>
      <c r="I447" s="69" t="inlineStr">
        <is>
          <t>1000021465</t>
        </is>
      </c>
      <c r="J447" s="69" t="inlineStr">
        <is>
          <t>墙面 /富美家木纹色防火板（不含基层）</t>
        </is>
      </c>
      <c r="K447" s="70" t="n"/>
      <c r="L447" s="70" t="n"/>
      <c r="M447" s="71" t="inlineStr">
        <is>
          <t>m2</t>
        </is>
      </c>
      <c r="N447" s="72" t="n">
        <v>197.83</v>
      </c>
      <c r="O447" s="72">
        <f>ROUND(N447*(1+$F$10),2)</f>
        <v/>
      </c>
      <c r="P447" s="73">
        <f>ROUND(K447*N447,2)</f>
        <v/>
      </c>
      <c r="Q447" s="74">
        <f>ROUND(L447*N447,2)</f>
        <v/>
      </c>
      <c r="R447" s="75" t="n"/>
      <c r="S447" s="76" t="n"/>
      <c r="T447" s="77">
        <f>K447-L447</f>
        <v/>
      </c>
      <c r="U447" s="77">
        <f>P447-Q447</f>
        <v/>
      </c>
      <c r="V447" s="77">
        <f>ABS(U447)</f>
        <v/>
      </c>
      <c r="W447" s="78">
        <f>T447/L447</f>
        <v/>
      </c>
      <c r="X447" s="79">
        <f>ABS(W447)</f>
        <v/>
      </c>
      <c r="AG447" s="6" t="inlineStr">
        <is>
          <t>基本墙面积</t>
        </is>
      </c>
    </row>
    <row r="448" ht="11.4" customHeight="1">
      <c r="A448" s="67" t="inlineStr">
        <is>
          <t>63</t>
        </is>
      </c>
      <c r="B448" s="67" t="inlineStr">
        <is>
          <t>1061</t>
        </is>
      </c>
      <c r="C448" s="67" t="inlineStr">
        <is>
          <t>1611</t>
        </is>
      </c>
      <c r="D448" s="68" t="inlineStr">
        <is>
          <t>01</t>
        </is>
      </c>
      <c r="E448" s="68" t="inlineStr">
        <is>
          <t>6 物业施工费</t>
        </is>
      </c>
      <c r="F448" s="68" t="inlineStr">
        <is>
          <t>6.1 总承包工程</t>
        </is>
      </c>
      <c r="G448" s="68" t="inlineStr">
        <is>
          <t>6.1.1 内部装修工程</t>
        </is>
      </c>
      <c r="H448" s="68" t="inlineStr">
        <is>
          <t>员休室墙面</t>
        </is>
      </c>
      <c r="I448" s="69" t="inlineStr">
        <is>
          <t>1000040124</t>
        </is>
      </c>
      <c r="J448" s="69" t="inlineStr">
        <is>
          <t>墙面 /富美家深灰色防火板（不含基层）</t>
        </is>
      </c>
      <c r="K448" s="70" t="n"/>
      <c r="L448" s="70" t="n"/>
      <c r="M448" s="71" t="inlineStr">
        <is>
          <t>m2</t>
        </is>
      </c>
      <c r="N448" s="72" t="n">
        <v>182.9</v>
      </c>
      <c r="O448" s="72">
        <f>ROUND(N448*(1+$F$10),2)</f>
        <v/>
      </c>
      <c r="P448" s="73">
        <f>ROUND(K448*N448,2)</f>
        <v/>
      </c>
      <c r="Q448" s="74">
        <f>ROUND(L448*N448,2)</f>
        <v/>
      </c>
      <c r="R448" s="75" t="n"/>
      <c r="S448" s="76" t="n"/>
      <c r="T448" s="77">
        <f>K448-L448</f>
        <v/>
      </c>
      <c r="U448" s="77">
        <f>P448-Q448</f>
        <v/>
      </c>
      <c r="V448" s="77">
        <f>ABS(U448)</f>
        <v/>
      </c>
      <c r="W448" s="78">
        <f>T448/L448</f>
        <v/>
      </c>
      <c r="X448" s="79">
        <f>ABS(W448)</f>
        <v/>
      </c>
    </row>
    <row r="449" ht="11.4" customHeight="1">
      <c r="A449" s="67" t="inlineStr">
        <is>
          <t>63</t>
        </is>
      </c>
      <c r="B449" s="67" t="inlineStr">
        <is>
          <t>1061</t>
        </is>
      </c>
      <c r="C449" s="67" t="inlineStr">
        <is>
          <t>1611</t>
        </is>
      </c>
      <c r="D449" s="68" t="inlineStr">
        <is>
          <t>01</t>
        </is>
      </c>
      <c r="E449" s="68" t="inlineStr">
        <is>
          <t>6 物业施工费</t>
        </is>
      </c>
      <c r="F449" s="68" t="inlineStr">
        <is>
          <t>6.1 总承包工程</t>
        </is>
      </c>
      <c r="G449" s="68" t="inlineStr">
        <is>
          <t>6.1.1 内部装修工程</t>
        </is>
      </c>
      <c r="H449" s="68" t="inlineStr">
        <is>
          <t>员休室墙面</t>
        </is>
      </c>
      <c r="I449" s="69" t="inlineStr">
        <is>
          <t>1000021625</t>
        </is>
      </c>
      <c r="J449" s="69" t="inlineStr">
        <is>
          <t>墙面 /威盛亚木纹色防火板（不含基层）</t>
        </is>
      </c>
      <c r="K449" s="70" t="n"/>
      <c r="L449" s="70" t="n"/>
      <c r="M449" s="71" t="inlineStr">
        <is>
          <t>m2</t>
        </is>
      </c>
      <c r="N449" s="72" t="n">
        <v>186.66</v>
      </c>
      <c r="O449" s="72">
        <f>ROUND(N449*(1+$F$10),2)</f>
        <v/>
      </c>
      <c r="P449" s="73">
        <f>ROUND(K449*N449,2)</f>
        <v/>
      </c>
      <c r="Q449" s="74">
        <f>ROUND(L449*N449,2)</f>
        <v/>
      </c>
      <c r="R449" s="75" t="n"/>
      <c r="S449" s="76" t="n"/>
      <c r="T449" s="77">
        <f>K449-L449</f>
        <v/>
      </c>
      <c r="U449" s="77">
        <f>P449-Q449</f>
        <v/>
      </c>
      <c r="V449" s="77">
        <f>ABS(U449)</f>
        <v/>
      </c>
      <c r="W449" s="78">
        <f>T449/L449</f>
        <v/>
      </c>
      <c r="X449" s="79">
        <f>ABS(W449)</f>
        <v/>
      </c>
    </row>
    <row r="450" ht="11.4" customHeight="1">
      <c r="A450" s="67" t="inlineStr">
        <is>
          <t>63</t>
        </is>
      </c>
      <c r="B450" s="67" t="inlineStr">
        <is>
          <t>1061</t>
        </is>
      </c>
      <c r="C450" s="67" t="inlineStr">
        <is>
          <t>1611</t>
        </is>
      </c>
      <c r="D450" s="68" t="inlineStr">
        <is>
          <t>01</t>
        </is>
      </c>
      <c r="E450" s="68" t="inlineStr">
        <is>
          <t>6 物业施工费</t>
        </is>
      </c>
      <c r="F450" s="68" t="inlineStr">
        <is>
          <t>6.1 总承包工程</t>
        </is>
      </c>
      <c r="G450" s="68" t="inlineStr">
        <is>
          <t>6.1.1 内部装修工程</t>
        </is>
      </c>
      <c r="H450" s="68" t="inlineStr">
        <is>
          <t>员休室墙面</t>
        </is>
      </c>
      <c r="I450" s="69" t="inlineStr">
        <is>
          <t>1000021624</t>
        </is>
      </c>
      <c r="J450" s="69" t="inlineStr">
        <is>
          <t>墙面 /威盛亚深灰色防火板（不含基层）</t>
        </is>
      </c>
      <c r="K450" s="70" t="n"/>
      <c r="L450" s="70" t="n"/>
      <c r="M450" s="71" t="inlineStr">
        <is>
          <t>m2</t>
        </is>
      </c>
      <c r="N450" s="72" t="n">
        <v>174.35</v>
      </c>
      <c r="O450" s="72">
        <f>ROUND(N450*(1+$F$10),2)</f>
        <v/>
      </c>
      <c r="P450" s="73">
        <f>ROUND(K450*N450,2)</f>
        <v/>
      </c>
      <c r="Q450" s="74">
        <f>ROUND(L450*N450,2)</f>
        <v/>
      </c>
      <c r="R450" s="75" t="n"/>
      <c r="S450" s="76" t="n"/>
      <c r="T450" s="77">
        <f>K450-L450</f>
        <v/>
      </c>
      <c r="U450" s="77">
        <f>P450-Q450</f>
        <v/>
      </c>
      <c r="V450" s="77">
        <f>ABS(U450)</f>
        <v/>
      </c>
      <c r="W450" s="78">
        <f>T450/L450</f>
        <v/>
      </c>
      <c r="X450" s="79">
        <f>ABS(W450)</f>
        <v/>
      </c>
    </row>
    <row r="451" ht="11.4" customHeight="1">
      <c r="A451" s="67" t="inlineStr">
        <is>
          <t>63</t>
        </is>
      </c>
      <c r="B451" s="67" t="inlineStr">
        <is>
          <t>1061</t>
        </is>
      </c>
      <c r="C451" s="67" t="inlineStr">
        <is>
          <t>1611</t>
        </is>
      </c>
      <c r="D451" s="68" t="inlineStr">
        <is>
          <t>01</t>
        </is>
      </c>
      <c r="E451" s="68" t="inlineStr">
        <is>
          <t>6 物业施工费</t>
        </is>
      </c>
      <c r="F451" s="68" t="inlineStr">
        <is>
          <t>6.1 总承包工程</t>
        </is>
      </c>
      <c r="G451" s="68" t="inlineStr">
        <is>
          <t>6.1.1 内部装修工程</t>
        </is>
      </c>
      <c r="H451" s="68" t="inlineStr">
        <is>
          <t>员休室墙面</t>
        </is>
      </c>
      <c r="I451" s="69" t="inlineStr">
        <is>
          <t>1000021774</t>
        </is>
      </c>
      <c r="J451" s="69" t="inlineStr">
        <is>
          <t>A级防火铝型材墙板-墙面基层（方管龙骨）</t>
        </is>
      </c>
      <c r="K451" s="70" t="n"/>
      <c r="L451" s="70" t="n"/>
      <c r="M451" s="71" t="inlineStr">
        <is>
          <t>m2</t>
        </is>
      </c>
      <c r="N451" s="72" t="n">
        <v>70.84999999999999</v>
      </c>
      <c r="O451" s="72">
        <f>ROUND(N451*(1+$F$10),2)</f>
        <v/>
      </c>
      <c r="P451" s="73">
        <f>ROUND(K451*N451,2)</f>
        <v/>
      </c>
      <c r="Q451" s="74">
        <f>ROUND(L451*N451,2)</f>
        <v/>
      </c>
      <c r="R451" s="75" t="n"/>
      <c r="S451" s="76" t="n"/>
      <c r="T451" s="77">
        <f>K451-L451</f>
        <v/>
      </c>
      <c r="U451" s="77">
        <f>P451-Q451</f>
        <v/>
      </c>
      <c r="V451" s="77">
        <f>ABS(U451)</f>
        <v/>
      </c>
      <c r="W451" s="78">
        <f>T451/L451</f>
        <v/>
      </c>
      <c r="X451" s="79">
        <f>ABS(W451)</f>
        <v/>
      </c>
    </row>
    <row r="452" ht="11.4" customHeight="1">
      <c r="A452" s="67" t="inlineStr">
        <is>
          <t>63</t>
        </is>
      </c>
      <c r="B452" s="67" t="inlineStr">
        <is>
          <t>1061</t>
        </is>
      </c>
      <c r="C452" s="67" t="inlineStr">
        <is>
          <t>1611</t>
        </is>
      </c>
      <c r="D452" s="68" t="inlineStr">
        <is>
          <t>01</t>
        </is>
      </c>
      <c r="E452" s="68" t="inlineStr">
        <is>
          <t>6 物业施工费</t>
        </is>
      </c>
      <c r="F452" s="68" t="inlineStr">
        <is>
          <t>6.1 总承包工程</t>
        </is>
      </c>
      <c r="G452" s="68" t="inlineStr">
        <is>
          <t>6.1.1 内部装修工程</t>
        </is>
      </c>
      <c r="H452" s="68" t="inlineStr">
        <is>
          <t>员休室墙面</t>
        </is>
      </c>
      <c r="I452" s="69" t="inlineStr">
        <is>
          <t>1000021775</t>
        </is>
      </c>
      <c r="J452" s="69" t="inlineStr">
        <is>
          <t>A级防火铝型材墙板-主材</t>
        </is>
      </c>
      <c r="K452" s="70" t="n"/>
      <c r="L452" s="70" t="n"/>
      <c r="M452" s="71" t="inlineStr">
        <is>
          <t>m2</t>
        </is>
      </c>
      <c r="N452" s="72" t="n">
        <v>307.56</v>
      </c>
      <c r="O452" s="72">
        <f>ROUND(N452*(1+$F$10),2)</f>
        <v/>
      </c>
      <c r="P452" s="73">
        <f>ROUND(K452*N452,2)</f>
        <v/>
      </c>
      <c r="Q452" s="74">
        <f>ROUND(L452*N452,2)</f>
        <v/>
      </c>
      <c r="R452" s="75" t="n"/>
      <c r="S452" s="76" t="n"/>
      <c r="T452" s="77">
        <f>K452-L452</f>
        <v/>
      </c>
      <c r="U452" s="77">
        <f>P452-Q452</f>
        <v/>
      </c>
      <c r="V452" s="77">
        <f>ABS(U452)</f>
        <v/>
      </c>
      <c r="W452" s="78">
        <f>T452/L452</f>
        <v/>
      </c>
      <c r="X452" s="79">
        <f>ABS(W452)</f>
        <v/>
      </c>
    </row>
    <row r="453" ht="11.4" customHeight="1">
      <c r="A453" s="67" t="inlineStr">
        <is>
          <t>63</t>
        </is>
      </c>
      <c r="B453" s="67" t="inlineStr">
        <is>
          <t>1061</t>
        </is>
      </c>
      <c r="C453" s="67" t="inlineStr">
        <is>
          <t>1611</t>
        </is>
      </c>
      <c r="D453" s="68" t="inlineStr">
        <is>
          <t>01</t>
        </is>
      </c>
      <c r="E453" s="68" t="inlineStr">
        <is>
          <t>6 物业施工费</t>
        </is>
      </c>
      <c r="F453" s="68" t="inlineStr">
        <is>
          <t>6.1 总承包工程</t>
        </is>
      </c>
      <c r="G453" s="68" t="inlineStr">
        <is>
          <t>6.1.1 内部装修工程</t>
        </is>
      </c>
      <c r="H453" s="68" t="inlineStr">
        <is>
          <t>员休室墙面</t>
        </is>
      </c>
      <c r="I453" s="69" t="inlineStr">
        <is>
          <t>1000021776</t>
        </is>
      </c>
      <c r="J453" s="69" t="inlineStr">
        <is>
          <t>A级防火铝型材墙板--安装</t>
        </is>
      </c>
      <c r="K453" s="70" t="n"/>
      <c r="L453" s="70" t="n"/>
      <c r="M453" s="71" t="inlineStr">
        <is>
          <t>m2</t>
        </is>
      </c>
      <c r="N453" s="72" t="n">
        <v>39.59</v>
      </c>
      <c r="O453" s="72">
        <f>ROUND(N453*(1+$F$10),2)</f>
        <v/>
      </c>
      <c r="P453" s="73">
        <f>ROUND(K453*N453,2)</f>
        <v/>
      </c>
      <c r="Q453" s="74">
        <f>ROUND(L453*N453,2)</f>
        <v/>
      </c>
      <c r="R453" s="75" t="n"/>
      <c r="S453" s="76" t="n"/>
      <c r="T453" s="77">
        <f>K453-L453</f>
        <v/>
      </c>
      <c r="U453" s="77">
        <f>P453-Q453</f>
        <v/>
      </c>
      <c r="V453" s="77">
        <f>ABS(U453)</f>
        <v/>
      </c>
      <c r="W453" s="78">
        <f>T453/L453</f>
        <v/>
      </c>
      <c r="X453" s="79">
        <f>ABS(W453)</f>
        <v/>
      </c>
    </row>
    <row r="454" ht="11.4" customHeight="1">
      <c r="A454" s="67" t="inlineStr">
        <is>
          <t>63</t>
        </is>
      </c>
      <c r="B454" s="67" t="inlineStr">
        <is>
          <t>1061</t>
        </is>
      </c>
      <c r="C454" s="67" t="inlineStr">
        <is>
          <t>1611</t>
        </is>
      </c>
      <c r="D454" s="68" t="inlineStr">
        <is>
          <t>01</t>
        </is>
      </c>
      <c r="E454" s="68" t="inlineStr">
        <is>
          <t>6 物业施工费</t>
        </is>
      </c>
      <c r="F454" s="68" t="inlineStr">
        <is>
          <t>6.1 总承包工程</t>
        </is>
      </c>
      <c r="G454" s="68" t="inlineStr">
        <is>
          <t>6.1.1 内部装修工程</t>
        </is>
      </c>
      <c r="H454" s="68" t="inlineStr">
        <is>
          <t>员休室墙面</t>
        </is>
      </c>
      <c r="I454" s="69" t="inlineStr">
        <is>
          <t>1000021517</t>
        </is>
      </c>
      <c r="J454" s="69" t="inlineStr">
        <is>
          <t>室内浅色乳胶漆（含批搪，遮盖）</t>
        </is>
      </c>
      <c r="K454" s="70" t="n">
        <v>1.32</v>
      </c>
      <c r="L454" s="70" t="n">
        <v>1.32</v>
      </c>
      <c r="M454" s="71" t="inlineStr">
        <is>
          <t>m2</t>
        </is>
      </c>
      <c r="N454" s="72" t="n">
        <v>58.39</v>
      </c>
      <c r="O454" s="72">
        <f>ROUND(N454*(1+$F$10),2)</f>
        <v/>
      </c>
      <c r="P454" s="73">
        <f>ROUND(K454*N454,2)</f>
        <v/>
      </c>
      <c r="Q454" s="74">
        <f>ROUND(L454*N454,2)</f>
        <v/>
      </c>
      <c r="R454" s="75" t="n"/>
      <c r="S454" s="76" t="n"/>
      <c r="T454" s="77">
        <f>K454-L454</f>
        <v/>
      </c>
      <c r="U454" s="77">
        <f>P454-Q454</f>
        <v/>
      </c>
      <c r="V454" s="77">
        <f>ABS(U454)</f>
        <v/>
      </c>
      <c r="W454" s="78">
        <f>T454/L454</f>
        <v/>
      </c>
      <c r="X454" s="79">
        <f>ABS(W454)</f>
        <v/>
      </c>
    </row>
    <row r="455" ht="11.4" customHeight="1">
      <c r="A455" s="67" t="inlineStr">
        <is>
          <t>63</t>
        </is>
      </c>
      <c r="B455" s="67" t="inlineStr">
        <is>
          <t>1061</t>
        </is>
      </c>
      <c r="C455" s="67" t="inlineStr">
        <is>
          <t>1611</t>
        </is>
      </c>
      <c r="D455" s="68" t="inlineStr">
        <is>
          <t>01</t>
        </is>
      </c>
      <c r="E455" s="68" t="inlineStr">
        <is>
          <t>6 物业施工费</t>
        </is>
      </c>
      <c r="F455" s="68" t="inlineStr">
        <is>
          <t>6.1 总承包工程</t>
        </is>
      </c>
      <c r="G455" s="68" t="inlineStr">
        <is>
          <t>6.1.1 内部装修工程</t>
        </is>
      </c>
      <c r="H455" s="68" t="inlineStr">
        <is>
          <t>员休室墙面</t>
        </is>
      </c>
      <c r="I455" s="69" t="inlineStr">
        <is>
          <t>1000021468</t>
        </is>
      </c>
      <c r="J455" s="69" t="inlineStr">
        <is>
          <t>墙面PMC墙板（琛雄，薄贴法，B1级）</t>
        </is>
      </c>
      <c r="K455" s="70" t="n"/>
      <c r="L455" s="70" t="n"/>
      <c r="M455" s="71" t="inlineStr">
        <is>
          <t>m2</t>
        </is>
      </c>
      <c r="N455" s="72" t="n">
        <v>203.22</v>
      </c>
      <c r="O455" s="72">
        <f>ROUND(N455*(1+$F$10),2)</f>
        <v/>
      </c>
      <c r="P455" s="73">
        <f>ROUND(K455*N455,2)</f>
        <v/>
      </c>
      <c r="Q455" s="74">
        <f>ROUND(L455*N455,2)</f>
        <v/>
      </c>
      <c r="R455" s="75" t="n"/>
      <c r="S455" s="76" t="n"/>
      <c r="T455" s="77">
        <f>K455-L455</f>
        <v/>
      </c>
      <c r="U455" s="77">
        <f>P455-Q455</f>
        <v/>
      </c>
      <c r="V455" s="77">
        <f>ABS(U455)</f>
        <v/>
      </c>
      <c r="W455" s="78">
        <f>T455/L455</f>
        <v/>
      </c>
      <c r="X455" s="79">
        <f>ABS(W455)</f>
        <v/>
      </c>
    </row>
    <row r="456" ht="11.4" customHeight="1">
      <c r="A456" s="67" t="inlineStr">
        <is>
          <t>63</t>
        </is>
      </c>
      <c r="B456" s="67" t="inlineStr">
        <is>
          <t>1061</t>
        </is>
      </c>
      <c r="C456" s="67" t="inlineStr">
        <is>
          <t>1611</t>
        </is>
      </c>
      <c r="D456" s="68" t="inlineStr">
        <is>
          <t>01</t>
        </is>
      </c>
      <c r="E456" s="68" t="inlineStr">
        <is>
          <t>6 物业施工费</t>
        </is>
      </c>
      <c r="F456" s="68" t="inlineStr">
        <is>
          <t>6.1 总承包工程</t>
        </is>
      </c>
      <c r="G456" s="68" t="inlineStr">
        <is>
          <t>6.1.1 内部装修工程</t>
        </is>
      </c>
      <c r="H456" s="68" t="inlineStr">
        <is>
          <t>员休室墙面</t>
        </is>
      </c>
      <c r="I456" s="69" t="inlineStr">
        <is>
          <t>1000021469</t>
        </is>
      </c>
      <c r="J456" s="69" t="inlineStr">
        <is>
          <t>墙面PMC墙板（琛雄，点龙骨施工，B1级）</t>
        </is>
      </c>
      <c r="K456" s="70" t="n"/>
      <c r="L456" s="70" t="n"/>
      <c r="M456" s="71" t="inlineStr">
        <is>
          <t>m2</t>
        </is>
      </c>
      <c r="N456" s="72" t="n">
        <v>268.9</v>
      </c>
      <c r="O456" s="72">
        <f>ROUND(N456*(1+$F$10),2)</f>
        <v/>
      </c>
      <c r="P456" s="73">
        <f>ROUND(K456*N456,2)</f>
        <v/>
      </c>
      <c r="Q456" s="74">
        <f>ROUND(L456*N456,2)</f>
        <v/>
      </c>
      <c r="R456" s="75" t="n"/>
      <c r="S456" s="76" t="n"/>
      <c r="T456" s="77">
        <f>K456-L456</f>
        <v/>
      </c>
      <c r="U456" s="77">
        <f>P456-Q456</f>
        <v/>
      </c>
      <c r="V456" s="77">
        <f>ABS(U456)</f>
        <v/>
      </c>
      <c r="W456" s="78">
        <f>T456/L456</f>
        <v/>
      </c>
      <c r="X456" s="79">
        <f>ABS(W456)</f>
        <v/>
      </c>
    </row>
    <row r="457" ht="11.4" customHeight="1">
      <c r="A457" s="67" t="inlineStr">
        <is>
          <t>63</t>
        </is>
      </c>
      <c r="B457" s="67" t="inlineStr">
        <is>
          <t>1061</t>
        </is>
      </c>
      <c r="C457" s="67" t="inlineStr">
        <is>
          <t>1611</t>
        </is>
      </c>
      <c r="D457" s="68" t="inlineStr">
        <is>
          <t>01</t>
        </is>
      </c>
      <c r="E457" s="68" t="inlineStr">
        <is>
          <t>6 物业施工费</t>
        </is>
      </c>
      <c r="F457" s="68" t="inlineStr">
        <is>
          <t>6.1 总承包工程</t>
        </is>
      </c>
      <c r="G457" s="68" t="inlineStr">
        <is>
          <t>6.1.1 内部装修工程</t>
        </is>
      </c>
      <c r="H457" s="68" t="inlineStr">
        <is>
          <t>员休室墙面</t>
        </is>
      </c>
      <c r="I457" s="69" t="inlineStr">
        <is>
          <t>1000021777</t>
        </is>
      </c>
      <c r="J457" s="69" t="inlineStr">
        <is>
          <t>墙面抹平压光</t>
        </is>
      </c>
      <c r="K457" s="70" t="n"/>
      <c r="L457" s="70" t="n"/>
      <c r="M457" s="71" t="inlineStr">
        <is>
          <t>m2</t>
        </is>
      </c>
      <c r="N457" s="72" t="n">
        <v>17.39</v>
      </c>
      <c r="O457" s="72">
        <f>ROUND(N457*(1+$F$10),2)</f>
        <v/>
      </c>
      <c r="P457" s="73">
        <f>ROUND(K457*N457,2)</f>
        <v/>
      </c>
      <c r="Q457" s="74">
        <f>ROUND(L457*N457,2)</f>
        <v/>
      </c>
      <c r="R457" s="75" t="n"/>
      <c r="S457" s="76" t="n"/>
      <c r="T457" s="77">
        <f>K457-L457</f>
        <v/>
      </c>
      <c r="U457" s="77">
        <f>P457-Q457</f>
        <v/>
      </c>
      <c r="V457" s="77">
        <f>ABS(U457)</f>
        <v/>
      </c>
      <c r="W457" s="78">
        <f>T457/L457</f>
        <v/>
      </c>
      <c r="X457" s="79">
        <f>ABS(W457)</f>
        <v/>
      </c>
      <c r="AH457" s="80" t="inlineStr">
        <is>
          <t>调整</t>
        </is>
      </c>
    </row>
    <row r="458" ht="11.4" customHeight="1">
      <c r="A458" s="67" t="inlineStr">
        <is>
          <t>63</t>
        </is>
      </c>
      <c r="B458" s="67" t="inlineStr">
        <is>
          <t>1061</t>
        </is>
      </c>
      <c r="C458" s="67" t="inlineStr">
        <is>
          <t>1611</t>
        </is>
      </c>
      <c r="D458" s="68" t="inlineStr">
        <is>
          <t>01</t>
        </is>
      </c>
      <c r="E458" s="68" t="inlineStr">
        <is>
          <t>6 物业施工费</t>
        </is>
      </c>
      <c r="F458" s="68" t="inlineStr">
        <is>
          <t>6.1 总承包工程</t>
        </is>
      </c>
      <c r="G458" s="68" t="inlineStr">
        <is>
          <t>6.1.1 内部装修工程</t>
        </is>
      </c>
      <c r="H458" s="68" t="inlineStr">
        <is>
          <t>员休室墙面</t>
        </is>
      </c>
      <c r="I458" s="69" t="inlineStr">
        <is>
          <t>1000021713</t>
        </is>
      </c>
      <c r="J458" s="69" t="inlineStr">
        <is>
          <t>墙面多彩板（琛雄，仿涂料效果，B1级）</t>
        </is>
      </c>
      <c r="K458" s="70" t="n"/>
      <c r="L458" s="70" t="n"/>
      <c r="M458" s="71" t="inlineStr">
        <is>
          <t>m2</t>
        </is>
      </c>
      <c r="N458" s="72" t="n">
        <v>266.78</v>
      </c>
      <c r="O458" s="72">
        <f>ROUND(N458*(1+$F$10),2)</f>
        <v/>
      </c>
      <c r="P458" s="73">
        <f>ROUND(K458*N458,2)</f>
        <v/>
      </c>
      <c r="Q458" s="74">
        <f>ROUND(L458*N458,2)</f>
        <v/>
      </c>
      <c r="R458" s="75" t="n"/>
      <c r="S458" s="76" t="n"/>
      <c r="T458" s="77">
        <f>K458-L458</f>
        <v/>
      </c>
      <c r="U458" s="77">
        <f>P458-Q458</f>
        <v/>
      </c>
      <c r="V458" s="77">
        <f>ABS(U458)</f>
        <v/>
      </c>
      <c r="W458" s="78">
        <f>T458/L458</f>
        <v/>
      </c>
      <c r="X458" s="79">
        <f>ABS(W458)</f>
        <v/>
      </c>
      <c r="AG458" s="80" t="inlineStr">
        <is>
          <t>基本墙面积</t>
        </is>
      </c>
    </row>
    <row r="459" ht="11.4" customHeight="1">
      <c r="A459" s="67" t="inlineStr">
        <is>
          <t>63</t>
        </is>
      </c>
      <c r="B459" s="67" t="inlineStr">
        <is>
          <t>1061</t>
        </is>
      </c>
      <c r="C459" s="67" t="inlineStr">
        <is>
          <t>1611</t>
        </is>
      </c>
      <c r="D459" s="68" t="inlineStr">
        <is>
          <t>01</t>
        </is>
      </c>
      <c r="E459" s="68" t="inlineStr">
        <is>
          <t>6 物业施工费</t>
        </is>
      </c>
      <c r="F459" s="68" t="inlineStr">
        <is>
          <t>6.1 总承包工程</t>
        </is>
      </c>
      <c r="G459" s="68" t="inlineStr">
        <is>
          <t>6.1.1 内部装修工程</t>
        </is>
      </c>
      <c r="H459" s="68" t="inlineStr">
        <is>
          <t>员休室墙面</t>
        </is>
      </c>
      <c r="I459" s="69" t="inlineStr">
        <is>
          <t>1000021714</t>
        </is>
      </c>
      <c r="J459" s="69" t="inlineStr">
        <is>
          <t>墙面多彩板（琛雄，仿木纹效果，含收边条，B1级）</t>
        </is>
      </c>
      <c r="K459" s="70" t="n"/>
      <c r="L459" s="70" t="n"/>
      <c r="M459" s="71" t="inlineStr">
        <is>
          <t>m2</t>
        </is>
      </c>
      <c r="N459" s="72" t="n">
        <v>288.72</v>
      </c>
      <c r="O459" s="72">
        <f>ROUND(N459*(1+$F$10),2)</f>
        <v/>
      </c>
      <c r="P459" s="73">
        <f>ROUND(K459*N459,2)</f>
        <v/>
      </c>
      <c r="Q459" s="74">
        <f>ROUND(L459*N459,2)</f>
        <v/>
      </c>
      <c r="R459" s="75" t="n"/>
      <c r="S459" s="76" t="n"/>
      <c r="T459" s="77">
        <f>K459-L459</f>
        <v/>
      </c>
      <c r="U459" s="77">
        <f>P459-Q459</f>
        <v/>
      </c>
      <c r="V459" s="77">
        <f>ABS(U459)</f>
        <v/>
      </c>
      <c r="W459" s="78">
        <f>T459/L459</f>
        <v/>
      </c>
      <c r="X459" s="79">
        <f>ABS(W459)</f>
        <v/>
      </c>
    </row>
    <row r="460" ht="11.4" customHeight="1">
      <c r="A460" s="67" t="inlineStr">
        <is>
          <t>63</t>
        </is>
      </c>
      <c r="B460" s="67" t="inlineStr">
        <is>
          <t>1061</t>
        </is>
      </c>
      <c r="C460" s="67" t="inlineStr">
        <is>
          <t>1611</t>
        </is>
      </c>
      <c r="D460" s="68" t="inlineStr">
        <is>
          <t>01</t>
        </is>
      </c>
      <c r="E460" s="68" t="inlineStr">
        <is>
          <t>6 物业施工费</t>
        </is>
      </c>
      <c r="F460" s="68" t="inlineStr">
        <is>
          <t>6.1 总承包工程</t>
        </is>
      </c>
      <c r="G460" s="68" t="inlineStr">
        <is>
          <t>6.1.1 内部装修工程</t>
        </is>
      </c>
      <c r="H460" s="68" t="inlineStr">
        <is>
          <t>员休室墙面</t>
        </is>
      </c>
      <c r="I460" s="69" t="inlineStr">
        <is>
          <t>1000041864</t>
        </is>
      </c>
      <c r="J460" s="69" t="inlineStr">
        <is>
          <t>墙面多彩板（大生，仿涂料效果，B1级）</t>
        </is>
      </c>
      <c r="K460" s="70" t="n"/>
      <c r="L460" s="70" t="n"/>
      <c r="M460" s="71" t="inlineStr">
        <is>
          <t>m2</t>
        </is>
      </c>
      <c r="N460" s="72" t="n">
        <v>267.97</v>
      </c>
      <c r="O460" s="72">
        <f>ROUND(N460*(1+$F$10),2)</f>
        <v/>
      </c>
      <c r="P460" s="73">
        <f>ROUND(K460*N460,2)</f>
        <v/>
      </c>
      <c r="Q460" s="74">
        <f>ROUND(L460*N460,2)</f>
        <v/>
      </c>
      <c r="R460" s="75" t="n"/>
      <c r="S460" s="76" t="n"/>
      <c r="T460" s="77">
        <f>K460-L460</f>
        <v/>
      </c>
      <c r="U460" s="77">
        <f>P460-Q460</f>
        <v/>
      </c>
      <c r="V460" s="77">
        <f>ABS(U460)</f>
        <v/>
      </c>
      <c r="W460" s="78">
        <f>T460/L460</f>
        <v/>
      </c>
      <c r="X460" s="79">
        <f>ABS(W460)</f>
        <v/>
      </c>
    </row>
    <row r="461" ht="11.4" customHeight="1">
      <c r="A461" s="67" t="inlineStr">
        <is>
          <t>63</t>
        </is>
      </c>
      <c r="B461" s="67" t="inlineStr">
        <is>
          <t>1061</t>
        </is>
      </c>
      <c r="C461" s="67" t="inlineStr">
        <is>
          <t>1611</t>
        </is>
      </c>
      <c r="D461" s="68" t="inlineStr">
        <is>
          <t>01</t>
        </is>
      </c>
      <c r="E461" s="68" t="inlineStr">
        <is>
          <t>6 物业施工费</t>
        </is>
      </c>
      <c r="F461" s="68" t="inlineStr">
        <is>
          <t>6.1 总承包工程</t>
        </is>
      </c>
      <c r="G461" s="68" t="inlineStr">
        <is>
          <t>6.1.1 内部装修工程</t>
        </is>
      </c>
      <c r="H461" s="68" t="inlineStr">
        <is>
          <t>员休室墙面</t>
        </is>
      </c>
      <c r="I461" s="69" t="inlineStr">
        <is>
          <t>1000041862</t>
        </is>
      </c>
      <c r="J461" s="69" t="inlineStr">
        <is>
          <t>墙面多彩板（大生，仿木纹效果，含收边条，B1级）</t>
        </is>
      </c>
      <c r="K461" s="70" t="n"/>
      <c r="L461" s="70" t="n"/>
      <c r="M461" s="71" t="inlineStr">
        <is>
          <t>m2</t>
        </is>
      </c>
      <c r="N461" s="72" t="n">
        <v>288.72</v>
      </c>
      <c r="O461" s="72">
        <f>ROUND(N461*(1+$F$10),2)</f>
        <v/>
      </c>
      <c r="P461" s="73">
        <f>ROUND(K461*N461,2)</f>
        <v/>
      </c>
      <c r="Q461" s="74">
        <f>ROUND(L461*N461,2)</f>
        <v/>
      </c>
      <c r="R461" s="75" t="n"/>
      <c r="S461" s="76" t="n"/>
      <c r="T461" s="77">
        <f>K461-L461</f>
        <v/>
      </c>
      <c r="U461" s="77">
        <f>P461-Q461</f>
        <v/>
      </c>
      <c r="V461" s="77">
        <f>ABS(U461)</f>
        <v/>
      </c>
      <c r="W461" s="78">
        <f>T461/L461</f>
        <v/>
      </c>
      <c r="X461" s="79">
        <f>ABS(W461)</f>
        <v/>
      </c>
    </row>
    <row r="462" ht="11.4" customHeight="1">
      <c r="A462" s="67" t="inlineStr">
        <is>
          <t>63</t>
        </is>
      </c>
      <c r="B462" s="67" t="inlineStr">
        <is>
          <t>1061</t>
        </is>
      </c>
      <c r="C462" s="67" t="inlineStr">
        <is>
          <t>1611</t>
        </is>
      </c>
      <c r="D462" s="68" t="inlineStr">
        <is>
          <t>01</t>
        </is>
      </c>
      <c r="E462" s="68" t="inlineStr">
        <is>
          <t>6 物业施工费</t>
        </is>
      </c>
      <c r="F462" s="68" t="inlineStr">
        <is>
          <t>6.1 总承包工程</t>
        </is>
      </c>
      <c r="G462" s="68" t="inlineStr">
        <is>
          <t>6.1.1 内部装修工程</t>
        </is>
      </c>
      <c r="H462" s="68" t="inlineStr">
        <is>
          <t>员休室墙面</t>
        </is>
      </c>
      <c r="I462" s="69" t="inlineStr">
        <is>
          <t>1000041870</t>
        </is>
      </c>
      <c r="J462" s="69" t="inlineStr">
        <is>
          <t>墙面多彩板（共荣，仿涂料效果，B1级）</t>
        </is>
      </c>
      <c r="K462" s="70" t="n"/>
      <c r="L462" s="70" t="n"/>
      <c r="M462" s="71" t="inlineStr">
        <is>
          <t>m2</t>
        </is>
      </c>
      <c r="N462" s="72" t="n">
        <v>250.15</v>
      </c>
      <c r="O462" s="72">
        <f>ROUND(N462*(1+$F$10),2)</f>
        <v/>
      </c>
      <c r="P462" s="73">
        <f>ROUND(K462*N462,2)</f>
        <v/>
      </c>
      <c r="Q462" s="74">
        <f>ROUND(L462*N462,2)</f>
        <v/>
      </c>
      <c r="R462" s="75" t="n"/>
      <c r="S462" s="76" t="n"/>
      <c r="T462" s="77">
        <f>K462-L462</f>
        <v/>
      </c>
      <c r="U462" s="77">
        <f>P462-Q462</f>
        <v/>
      </c>
      <c r="V462" s="77">
        <f>ABS(U462)</f>
        <v/>
      </c>
      <c r="W462" s="78">
        <f>T462/L462</f>
        <v/>
      </c>
      <c r="X462" s="79">
        <f>ABS(W462)</f>
        <v/>
      </c>
    </row>
    <row r="463" ht="11.4" customHeight="1">
      <c r="A463" s="67" t="inlineStr">
        <is>
          <t>63</t>
        </is>
      </c>
      <c r="B463" s="67" t="inlineStr">
        <is>
          <t>1061</t>
        </is>
      </c>
      <c r="C463" s="67" t="inlineStr">
        <is>
          <t>1611</t>
        </is>
      </c>
      <c r="D463" s="68" t="inlineStr">
        <is>
          <t>01</t>
        </is>
      </c>
      <c r="E463" s="68" t="inlineStr">
        <is>
          <t>6 物业施工费</t>
        </is>
      </c>
      <c r="F463" s="68" t="inlineStr">
        <is>
          <t>6.1 总承包工程</t>
        </is>
      </c>
      <c r="G463" s="68" t="inlineStr">
        <is>
          <t>6.1.1 内部装修工程</t>
        </is>
      </c>
      <c r="H463" s="68" t="inlineStr">
        <is>
          <t>员休室墙面</t>
        </is>
      </c>
      <c r="I463" s="69" t="inlineStr">
        <is>
          <t>1000041868</t>
        </is>
      </c>
      <c r="J463" s="69" t="inlineStr">
        <is>
          <t>墙面多彩板（共荣，仿木纹效果，含收边条，B1级）</t>
        </is>
      </c>
      <c r="K463" s="70" t="n"/>
      <c r="L463" s="70" t="n"/>
      <c r="M463" s="71" t="inlineStr">
        <is>
          <t>m2</t>
        </is>
      </c>
      <c r="N463" s="72" t="n">
        <v>270.9</v>
      </c>
      <c r="O463" s="72">
        <f>ROUND(N463*(1+$F$10),2)</f>
        <v/>
      </c>
      <c r="P463" s="73">
        <f>ROUND(K463*N463,2)</f>
        <v/>
      </c>
      <c r="Q463" s="74">
        <f>ROUND(L463*N463,2)</f>
        <v/>
      </c>
      <c r="R463" s="75" t="n"/>
      <c r="S463" s="76" t="n"/>
      <c r="T463" s="77">
        <f>K463-L463</f>
        <v/>
      </c>
      <c r="U463" s="77">
        <f>P463-Q463</f>
        <v/>
      </c>
      <c r="V463" s="77">
        <f>ABS(U463)</f>
        <v/>
      </c>
      <c r="W463" s="78">
        <f>T463/L463</f>
        <v/>
      </c>
      <c r="X463" s="79">
        <f>ABS(W463)</f>
        <v/>
      </c>
    </row>
    <row r="464" ht="11.4" customHeight="1">
      <c r="A464" s="67" t="inlineStr">
        <is>
          <t>63</t>
        </is>
      </c>
      <c r="B464" s="67" t="inlineStr">
        <is>
          <t>1061</t>
        </is>
      </c>
      <c r="C464" s="67" t="inlineStr">
        <is>
          <t>1611</t>
        </is>
      </c>
      <c r="D464" s="68" t="inlineStr">
        <is>
          <t>01</t>
        </is>
      </c>
      <c r="E464" s="68" t="inlineStr">
        <is>
          <t>6 物业施工费</t>
        </is>
      </c>
      <c r="F464" s="68" t="inlineStr">
        <is>
          <t>6.1 总承包工程</t>
        </is>
      </c>
      <c r="G464" s="68" t="inlineStr">
        <is>
          <t>6.1.1 内部装修工程</t>
        </is>
      </c>
      <c r="H464" s="68" t="inlineStr">
        <is>
          <t>员休室墙面</t>
        </is>
      </c>
      <c r="I464" s="69" t="inlineStr">
        <is>
          <t>1000041866</t>
        </is>
      </c>
      <c r="J464" s="69" t="inlineStr">
        <is>
          <t>墙面多彩板（琛雄，仿涂料效果，A级）</t>
        </is>
      </c>
      <c r="K464" s="70" t="n"/>
      <c r="L464" s="70" t="n"/>
      <c r="M464" s="71" t="inlineStr">
        <is>
          <t>m2</t>
        </is>
      </c>
      <c r="N464" s="72" t="n">
        <v>385.58</v>
      </c>
      <c r="O464" s="72">
        <f>ROUND(N464*(1+$F$10),2)</f>
        <v/>
      </c>
      <c r="P464" s="73">
        <f>ROUND(K464*N464,2)</f>
        <v/>
      </c>
      <c r="Q464" s="74">
        <f>ROUND(L464*N464,2)</f>
        <v/>
      </c>
      <c r="R464" s="75" t="n"/>
      <c r="S464" s="76" t="n"/>
      <c r="T464" s="77">
        <f>K464-L464</f>
        <v/>
      </c>
      <c r="U464" s="77">
        <f>P464-Q464</f>
        <v/>
      </c>
      <c r="V464" s="77">
        <f>ABS(U464)</f>
        <v/>
      </c>
      <c r="W464" s="78">
        <f>T464/L464</f>
        <v/>
      </c>
      <c r="X464" s="79">
        <f>ABS(W464)</f>
        <v/>
      </c>
    </row>
    <row r="465" ht="11.4" customHeight="1">
      <c r="A465" s="67" t="inlineStr">
        <is>
          <t>63</t>
        </is>
      </c>
      <c r="B465" s="67" t="inlineStr">
        <is>
          <t>1061</t>
        </is>
      </c>
      <c r="C465" s="67" t="inlineStr">
        <is>
          <t>1611</t>
        </is>
      </c>
      <c r="D465" s="68" t="inlineStr">
        <is>
          <t>01</t>
        </is>
      </c>
      <c r="E465" s="68" t="inlineStr">
        <is>
          <t>6 物业施工费</t>
        </is>
      </c>
      <c r="F465" s="68" t="inlineStr">
        <is>
          <t>6.1 总承包工程</t>
        </is>
      </c>
      <c r="G465" s="68" t="inlineStr">
        <is>
          <t>6.1.1 内部装修工程</t>
        </is>
      </c>
      <c r="H465" s="68" t="inlineStr">
        <is>
          <t>员休室墙面</t>
        </is>
      </c>
      <c r="I465" s="69" t="inlineStr">
        <is>
          <t>1000041865</t>
        </is>
      </c>
      <c r="J465" s="69" t="inlineStr">
        <is>
          <t>墙面多彩板（琛雄，仿木纹效果，含收边条，A级）</t>
        </is>
      </c>
      <c r="K465" s="70" t="n"/>
      <c r="L465" s="70" t="n"/>
      <c r="M465" s="71" t="inlineStr">
        <is>
          <t>m2</t>
        </is>
      </c>
      <c r="N465" s="72" t="n">
        <v>406.33</v>
      </c>
      <c r="O465" s="72">
        <f>ROUND(N465*(1+$F$10),2)</f>
        <v/>
      </c>
      <c r="P465" s="73">
        <f>ROUND(K465*N465,2)</f>
        <v/>
      </c>
      <c r="Q465" s="74">
        <f>ROUND(L465*N465,2)</f>
        <v/>
      </c>
      <c r="R465" s="75" t="n"/>
      <c r="S465" s="76" t="n"/>
      <c r="T465" s="77">
        <f>K465-L465</f>
        <v/>
      </c>
      <c r="U465" s="77">
        <f>P465-Q465</f>
        <v/>
      </c>
      <c r="V465" s="77">
        <f>ABS(U465)</f>
        <v/>
      </c>
      <c r="W465" s="78">
        <f>T465/L465</f>
        <v/>
      </c>
      <c r="X465" s="79">
        <f>ABS(W465)</f>
        <v/>
      </c>
    </row>
    <row r="466" ht="11.4" customHeight="1">
      <c r="A466" s="67" t="inlineStr">
        <is>
          <t>63</t>
        </is>
      </c>
      <c r="B466" s="67" t="inlineStr">
        <is>
          <t>1061</t>
        </is>
      </c>
      <c r="C466" s="67" t="inlineStr">
        <is>
          <t>1611</t>
        </is>
      </c>
      <c r="D466" s="68" t="inlineStr">
        <is>
          <t>01</t>
        </is>
      </c>
      <c r="E466" s="68" t="inlineStr">
        <is>
          <t>6 物业施工费</t>
        </is>
      </c>
      <c r="F466" s="68" t="inlineStr">
        <is>
          <t>6.1 总承包工程</t>
        </is>
      </c>
      <c r="G466" s="68" t="inlineStr">
        <is>
          <t>6.1.1 内部装修工程</t>
        </is>
      </c>
      <c r="H466" s="68" t="inlineStr">
        <is>
          <t>员休室墙面</t>
        </is>
      </c>
      <c r="I466" s="69" t="inlineStr">
        <is>
          <t>1000041863</t>
        </is>
      </c>
      <c r="J466" s="69" t="inlineStr">
        <is>
          <t>墙面多彩板（大生，仿涂料效果，A级）</t>
        </is>
      </c>
      <c r="K466" s="70" t="n"/>
      <c r="L466" s="70" t="n"/>
      <c r="M466" s="71" t="inlineStr">
        <is>
          <t>m2</t>
        </is>
      </c>
      <c r="N466" s="72" t="n">
        <v>387.96</v>
      </c>
      <c r="O466" s="72">
        <f>ROUND(N466*(1+$F$10),2)</f>
        <v/>
      </c>
      <c r="P466" s="73">
        <f>ROUND(K466*N466,2)</f>
        <v/>
      </c>
      <c r="Q466" s="74">
        <f>ROUND(L466*N466,2)</f>
        <v/>
      </c>
      <c r="R466" s="75" t="n"/>
      <c r="S466" s="76" t="n"/>
      <c r="T466" s="77">
        <f>K466-L466</f>
        <v/>
      </c>
      <c r="U466" s="77">
        <f>P466-Q466</f>
        <v/>
      </c>
      <c r="V466" s="77">
        <f>ABS(U466)</f>
        <v/>
      </c>
      <c r="W466" s="78">
        <f>T466/L466</f>
        <v/>
      </c>
      <c r="X466" s="79">
        <f>ABS(W466)</f>
        <v/>
      </c>
    </row>
    <row r="467" ht="11.4" customHeight="1">
      <c r="A467" s="67" t="inlineStr">
        <is>
          <t>63</t>
        </is>
      </c>
      <c r="B467" s="67" t="inlineStr">
        <is>
          <t>1061</t>
        </is>
      </c>
      <c r="C467" s="67" t="inlineStr">
        <is>
          <t>1611</t>
        </is>
      </c>
      <c r="D467" s="68" t="inlineStr">
        <is>
          <t>01</t>
        </is>
      </c>
      <c r="E467" s="68" t="inlineStr">
        <is>
          <t>6 物业施工费</t>
        </is>
      </c>
      <c r="F467" s="68" t="inlineStr">
        <is>
          <t>6.1 总承包工程</t>
        </is>
      </c>
      <c r="G467" s="68" t="inlineStr">
        <is>
          <t>6.1.1 内部装修工程</t>
        </is>
      </c>
      <c r="H467" s="68" t="inlineStr">
        <is>
          <t>员休室墙面</t>
        </is>
      </c>
      <c r="I467" s="69" t="inlineStr">
        <is>
          <t>1000041861</t>
        </is>
      </c>
      <c r="J467" s="69" t="inlineStr">
        <is>
          <t>墙面多彩板（大生，仿木纹效果，含收边条，A级）</t>
        </is>
      </c>
      <c r="K467" s="70" t="n"/>
      <c r="L467" s="70" t="n"/>
      <c r="M467" s="71" t="inlineStr">
        <is>
          <t>m2</t>
        </is>
      </c>
      <c r="N467" s="72" t="n">
        <v>408.71</v>
      </c>
      <c r="O467" s="72">
        <f>ROUND(N467*(1+$F$10),2)</f>
        <v/>
      </c>
      <c r="P467" s="73">
        <f>ROUND(K467*N467,2)</f>
        <v/>
      </c>
      <c r="Q467" s="74">
        <f>ROUND(L467*N467,2)</f>
        <v/>
      </c>
      <c r="R467" s="75" t="n"/>
      <c r="S467" s="76" t="n"/>
      <c r="T467" s="77">
        <f>K467-L467</f>
        <v/>
      </c>
      <c r="U467" s="77">
        <f>P467-Q467</f>
        <v/>
      </c>
      <c r="V467" s="77">
        <f>ABS(U467)</f>
        <v/>
      </c>
      <c r="W467" s="78">
        <f>T467/L467</f>
        <v/>
      </c>
      <c r="X467" s="79">
        <f>ABS(W467)</f>
        <v/>
      </c>
    </row>
    <row r="468" ht="11.4" customHeight="1">
      <c r="A468" s="67" t="inlineStr">
        <is>
          <t>63</t>
        </is>
      </c>
      <c r="B468" s="67" t="inlineStr">
        <is>
          <t>1061</t>
        </is>
      </c>
      <c r="C468" s="67" t="inlineStr">
        <is>
          <t>1611</t>
        </is>
      </c>
      <c r="D468" s="68" t="inlineStr">
        <is>
          <t>01</t>
        </is>
      </c>
      <c r="E468" s="68" t="inlineStr">
        <is>
          <t>6 物业施工费</t>
        </is>
      </c>
      <c r="F468" s="68" t="inlineStr">
        <is>
          <t>6.1 总承包工程</t>
        </is>
      </c>
      <c r="G468" s="68" t="inlineStr">
        <is>
          <t>6.1.1 内部装修工程</t>
        </is>
      </c>
      <c r="H468" s="68" t="inlineStr">
        <is>
          <t>员休室墙面</t>
        </is>
      </c>
      <c r="I468" s="69" t="inlineStr">
        <is>
          <t>1000041869</t>
        </is>
      </c>
      <c r="J468" s="69" t="inlineStr">
        <is>
          <t>墙面多彩板（共荣，仿涂料效果，A级）</t>
        </is>
      </c>
      <c r="K468" s="70" t="n"/>
      <c r="L468" s="70" t="n"/>
      <c r="M468" s="71" t="inlineStr">
        <is>
          <t>m2</t>
        </is>
      </c>
      <c r="N468" s="72" t="n">
        <v>385.58</v>
      </c>
      <c r="O468" s="72">
        <f>ROUND(N468*(1+$F$10),2)</f>
        <v/>
      </c>
      <c r="P468" s="73">
        <f>ROUND(K468*N468,2)</f>
        <v/>
      </c>
      <c r="Q468" s="74">
        <f>ROUND(L468*N468,2)</f>
        <v/>
      </c>
      <c r="R468" s="75" t="n"/>
      <c r="S468" s="76" t="n"/>
      <c r="T468" s="77">
        <f>K468-L468</f>
        <v/>
      </c>
      <c r="U468" s="77">
        <f>P468-Q468</f>
        <v/>
      </c>
      <c r="V468" s="77">
        <f>ABS(U468)</f>
        <v/>
      </c>
      <c r="W468" s="78">
        <f>T468/L468</f>
        <v/>
      </c>
      <c r="X468" s="79">
        <f>ABS(W468)</f>
        <v/>
      </c>
    </row>
    <row r="469" ht="11.4" customHeight="1">
      <c r="A469" s="67" t="inlineStr">
        <is>
          <t>63</t>
        </is>
      </c>
      <c r="B469" s="67" t="inlineStr">
        <is>
          <t>1061</t>
        </is>
      </c>
      <c r="C469" s="67" t="inlineStr">
        <is>
          <t>1611</t>
        </is>
      </c>
      <c r="D469" s="68" t="inlineStr">
        <is>
          <t>01</t>
        </is>
      </c>
      <c r="E469" s="68" t="inlineStr">
        <is>
          <t>6 物业施工费</t>
        </is>
      </c>
      <c r="F469" s="68" t="inlineStr">
        <is>
          <t>6.1 总承包工程</t>
        </is>
      </c>
      <c r="G469" s="68" t="inlineStr">
        <is>
          <t>6.1.1 内部装修工程</t>
        </is>
      </c>
      <c r="H469" s="68" t="inlineStr">
        <is>
          <t>员休室墙面</t>
        </is>
      </c>
      <c r="I469" s="69" t="inlineStr">
        <is>
          <t>1000041867</t>
        </is>
      </c>
      <c r="J469" s="69" t="inlineStr">
        <is>
          <t>墙面多彩板（共荣，仿木纹效果，含收边条，A级）</t>
        </is>
      </c>
      <c r="K469" s="70" t="n"/>
      <c r="L469" s="70" t="n"/>
      <c r="M469" s="71" t="inlineStr">
        <is>
          <t>m2</t>
        </is>
      </c>
      <c r="N469" s="72" t="n">
        <v>406.33</v>
      </c>
      <c r="O469" s="72">
        <f>ROUND(N469*(1+$F$10),2)</f>
        <v/>
      </c>
      <c r="P469" s="73">
        <f>ROUND(K469*N469,2)</f>
        <v/>
      </c>
      <c r="Q469" s="74">
        <f>ROUND(L469*N469,2)</f>
        <v/>
      </c>
      <c r="R469" s="75" t="n"/>
      <c r="S469" s="76" t="n"/>
      <c r="T469" s="77">
        <f>K469-L469</f>
        <v/>
      </c>
      <c r="U469" s="77">
        <f>P469-Q469</f>
        <v/>
      </c>
      <c r="V469" s="77">
        <f>ABS(U469)</f>
        <v/>
      </c>
      <c r="W469" s="78">
        <f>T469/L469</f>
        <v/>
      </c>
      <c r="X469" s="79">
        <f>ABS(W469)</f>
        <v/>
      </c>
    </row>
    <row r="470" ht="11.4" customHeight="1">
      <c r="A470" s="67" t="inlineStr">
        <is>
          <t>63</t>
        </is>
      </c>
      <c r="B470" s="67" t="inlineStr">
        <is>
          <t>1061</t>
        </is>
      </c>
      <c r="C470" s="67" t="inlineStr">
        <is>
          <t>1611</t>
        </is>
      </c>
      <c r="D470" s="68" t="inlineStr">
        <is>
          <t>01</t>
        </is>
      </c>
      <c r="E470" s="68" t="inlineStr">
        <is>
          <t>6 物业施工费</t>
        </is>
      </c>
      <c r="F470" s="68" t="inlineStr">
        <is>
          <t>6.1 总承包工程</t>
        </is>
      </c>
      <c r="G470" s="68" t="inlineStr">
        <is>
          <t>6.1.1 内部装修工程</t>
        </is>
      </c>
      <c r="H470" s="68" t="inlineStr">
        <is>
          <t>员休室吊顶</t>
        </is>
      </c>
      <c r="I470" s="69" t="inlineStr">
        <is>
          <t>1000021485</t>
        </is>
      </c>
      <c r="J470" s="69" t="inlineStr">
        <is>
          <t>600x600烤漆T龙防潮隔音矿棉天花</t>
        </is>
      </c>
      <c r="K470" s="70" t="n"/>
      <c r="L470" s="70" t="n"/>
      <c r="M470" s="71" t="inlineStr">
        <is>
          <t>m2</t>
        </is>
      </c>
      <c r="N470" s="72" t="n">
        <v>127.36</v>
      </c>
      <c r="O470" s="72">
        <f>ROUND(N470*(1+$F$10),2)</f>
        <v/>
      </c>
      <c r="P470" s="73">
        <f>ROUND(K470*N470,2)</f>
        <v/>
      </c>
      <c r="Q470" s="74">
        <f>ROUND(L470*N470,2)</f>
        <v/>
      </c>
      <c r="R470" s="75" t="n"/>
      <c r="S470" s="76" t="n"/>
      <c r="T470" s="77">
        <f>K470-L470</f>
        <v/>
      </c>
      <c r="U470" s="77">
        <f>P470-Q470</f>
        <v/>
      </c>
      <c r="V470" s="77">
        <f>ABS(U470)</f>
        <v/>
      </c>
      <c r="W470" s="78">
        <f>T470/L470</f>
        <v/>
      </c>
      <c r="X470" s="79">
        <f>ABS(W470)</f>
        <v/>
      </c>
      <c r="AG470" s="6" t="inlineStr">
        <is>
          <t>天花板面积</t>
        </is>
      </c>
    </row>
    <row r="471" ht="11.4" customHeight="1">
      <c r="A471" s="67" t="inlineStr">
        <is>
          <t>63</t>
        </is>
      </c>
      <c r="B471" s="67" t="inlineStr">
        <is>
          <t>1061</t>
        </is>
      </c>
      <c r="C471" s="67" t="inlineStr">
        <is>
          <t>1611</t>
        </is>
      </c>
      <c r="D471" s="68" t="inlineStr">
        <is>
          <t>01</t>
        </is>
      </c>
      <c r="E471" s="68" t="inlineStr">
        <is>
          <t>6 物业施工费</t>
        </is>
      </c>
      <c r="F471" s="68" t="inlineStr">
        <is>
          <t>6.1 总承包工程</t>
        </is>
      </c>
      <c r="G471" s="68" t="inlineStr">
        <is>
          <t>6.1.1 内部装修工程</t>
        </is>
      </c>
      <c r="H471" s="68" t="inlineStr">
        <is>
          <t>员休室吊顶</t>
        </is>
      </c>
      <c r="I471" s="69" t="inlineStr">
        <is>
          <t>1000021486</t>
        </is>
      </c>
      <c r="J471" s="69" t="inlineStr">
        <is>
          <t>600*1200烤漆龙骨防潮矿棉板天花</t>
        </is>
      </c>
      <c r="K471" s="70" t="n"/>
      <c r="L471" s="70" t="n"/>
      <c r="M471" s="71" t="inlineStr">
        <is>
          <t>m2</t>
        </is>
      </c>
      <c r="N471" s="72" t="n">
        <v>138.36</v>
      </c>
      <c r="O471" s="72">
        <f>ROUND(N471*(1+$F$10),2)</f>
        <v/>
      </c>
      <c r="P471" s="73">
        <f>ROUND(K471*N471,2)</f>
        <v/>
      </c>
      <c r="Q471" s="74">
        <f>ROUND(L471*N471,2)</f>
        <v/>
      </c>
      <c r="R471" s="75" t="n"/>
      <c r="S471" s="76" t="n"/>
      <c r="T471" s="77">
        <f>K471-L471</f>
        <v/>
      </c>
      <c r="U471" s="77">
        <f>P471-Q471</f>
        <v/>
      </c>
      <c r="V471" s="77">
        <f>ABS(U471)</f>
        <v/>
      </c>
      <c r="W471" s="78">
        <f>T471/L471</f>
        <v/>
      </c>
      <c r="X471" s="79">
        <f>ABS(W471)</f>
        <v/>
      </c>
      <c r="AG471" s="6" t="inlineStr">
        <is>
          <t>天花板面积</t>
        </is>
      </c>
    </row>
    <row r="472" ht="11.4" customHeight="1">
      <c r="A472" s="67" t="inlineStr">
        <is>
          <t>63</t>
        </is>
      </c>
      <c r="B472" s="67" t="inlineStr">
        <is>
          <t>1061</t>
        </is>
      </c>
      <c r="C472" s="67" t="inlineStr">
        <is>
          <t>1611</t>
        </is>
      </c>
      <c r="D472" s="68" t="inlineStr">
        <is>
          <t>01</t>
        </is>
      </c>
      <c r="E472" s="68" t="inlineStr">
        <is>
          <t>6 物业施工费</t>
        </is>
      </c>
      <c r="F472" s="68" t="inlineStr">
        <is>
          <t>6.1 总承包工程</t>
        </is>
      </c>
      <c r="G472" s="68" t="inlineStr">
        <is>
          <t>6.1.1 内部装修工程</t>
        </is>
      </c>
      <c r="H472" s="68" t="inlineStr">
        <is>
          <t>员休室吊顶</t>
        </is>
      </c>
      <c r="I472" s="69" t="inlineStr">
        <is>
          <t>1000021519</t>
        </is>
      </c>
      <c r="J472" s="69" t="inlineStr">
        <is>
          <t>600x600 烤漆龙骨防油石膏板天花</t>
        </is>
      </c>
      <c r="K472" s="70" t="n">
        <v>2.8</v>
      </c>
      <c r="L472" s="70" t="n">
        <v>6.32</v>
      </c>
      <c r="M472" s="71" t="inlineStr">
        <is>
          <t>m2</t>
        </is>
      </c>
      <c r="N472" s="72" t="n">
        <v>132.76</v>
      </c>
      <c r="O472" s="72">
        <f>ROUND(N472*(1+$F$10),2)</f>
        <v/>
      </c>
      <c r="P472" s="73">
        <f>ROUND(K472*N472,2)</f>
        <v/>
      </c>
      <c r="Q472" s="74">
        <f>ROUND(L472*N472,2)</f>
        <v/>
      </c>
      <c r="R472" s="75" t="n"/>
      <c r="S472" s="76" t="n"/>
      <c r="T472" s="77">
        <f>K472-L472</f>
        <v/>
      </c>
      <c r="U472" s="77">
        <f>P472-Q472</f>
        <v/>
      </c>
      <c r="V472" s="77">
        <f>ABS(U472)</f>
        <v/>
      </c>
      <c r="W472" s="78">
        <f>T472/L472</f>
        <v/>
      </c>
      <c r="X472" s="79">
        <f>ABS(W472)</f>
        <v/>
      </c>
      <c r="AG472" s="80" t="inlineStr">
        <is>
          <t>天花板面积</t>
        </is>
      </c>
    </row>
    <row r="473" ht="11.4" customHeight="1">
      <c r="A473" s="67" t="inlineStr">
        <is>
          <t>63</t>
        </is>
      </c>
      <c r="B473" s="67" t="inlineStr">
        <is>
          <t>1061</t>
        </is>
      </c>
      <c r="C473" s="67" t="inlineStr">
        <is>
          <t>1611</t>
        </is>
      </c>
      <c r="D473" s="68" t="inlineStr">
        <is>
          <t>01</t>
        </is>
      </c>
      <c r="E473" s="68" t="inlineStr">
        <is>
          <t>6 物业施工费</t>
        </is>
      </c>
      <c r="F473" s="68" t="inlineStr">
        <is>
          <t>6.1 总承包工程</t>
        </is>
      </c>
      <c r="G473" s="68" t="inlineStr">
        <is>
          <t>6.1.1 内部装修工程</t>
        </is>
      </c>
      <c r="H473" s="68" t="inlineStr">
        <is>
          <t>员休室吊顶</t>
        </is>
      </c>
      <c r="I473" s="69" t="inlineStr">
        <is>
          <t>1000021782</t>
        </is>
      </c>
      <c r="J473" s="69" t="inlineStr">
        <is>
          <t>轻钢龙骨石膏板天花</t>
        </is>
      </c>
      <c r="K473" s="70" t="n">
        <v>1.32</v>
      </c>
      <c r="L473" s="70" t="n">
        <v>1.32</v>
      </c>
      <c r="M473" s="71" t="inlineStr">
        <is>
          <t>m2</t>
        </is>
      </c>
      <c r="N473" s="72" t="n">
        <v>139.73</v>
      </c>
      <c r="O473" s="72">
        <f>ROUND(N473*(1+$F$10),2)</f>
        <v/>
      </c>
      <c r="P473" s="73">
        <f>ROUND(K473*N473,2)</f>
        <v/>
      </c>
      <c r="Q473" s="74">
        <f>ROUND(L473*N473,2)</f>
        <v/>
      </c>
      <c r="R473" s="75" t="n"/>
      <c r="S473" s="76" t="n"/>
      <c r="T473" s="77">
        <f>K473-L473</f>
        <v/>
      </c>
      <c r="U473" s="77">
        <f>P473-Q473</f>
        <v/>
      </c>
      <c r="V473" s="77">
        <f>ABS(U473)</f>
        <v/>
      </c>
      <c r="W473" s="78">
        <f>T473/L473</f>
        <v/>
      </c>
      <c r="X473" s="79">
        <f>ABS(W473)</f>
        <v/>
      </c>
      <c r="AG473" s="80" t="inlineStr">
        <is>
          <t>天花板面积</t>
        </is>
      </c>
    </row>
    <row r="474" ht="11.4" customHeight="1">
      <c r="A474" s="67" t="inlineStr">
        <is>
          <t>63</t>
        </is>
      </c>
      <c r="B474" s="67" t="inlineStr">
        <is>
          <t>1061</t>
        </is>
      </c>
      <c r="C474" s="67" t="inlineStr">
        <is>
          <t>1611</t>
        </is>
      </c>
      <c r="D474" s="68" t="inlineStr">
        <is>
          <t>01</t>
        </is>
      </c>
      <c r="E474" s="68" t="inlineStr">
        <is>
          <t>6 物业施工费</t>
        </is>
      </c>
      <c r="F474" s="68" t="inlineStr">
        <is>
          <t>6.1 总承包工程</t>
        </is>
      </c>
      <c r="G474" s="68" t="inlineStr">
        <is>
          <t>6.1.1 内部装修工程</t>
        </is>
      </c>
      <c r="H474" s="68" t="inlineStr">
        <is>
          <t>员休室家具及其他</t>
        </is>
      </c>
      <c r="I474" s="69" t="inlineStr">
        <is>
          <t>1000021819</t>
        </is>
      </c>
      <c r="J474" s="84" t="inlineStr">
        <is>
          <t>员工室电视柜/储物格/鞋柜/更衣座板</t>
        </is>
      </c>
      <c r="K474" s="70" t="n"/>
      <c r="L474" s="70" t="n"/>
      <c r="M474" s="71" t="inlineStr">
        <is>
          <t>项</t>
        </is>
      </c>
      <c r="N474" s="72" t="n">
        <v>10720.16</v>
      </c>
      <c r="O474" s="72">
        <f>ROUND(N474*(1+$F$10),2)</f>
        <v/>
      </c>
      <c r="P474" s="73">
        <f>ROUND(K474*N474,2)</f>
        <v/>
      </c>
      <c r="Q474" s="74">
        <f>ROUND(L474*N474,2)</f>
        <v/>
      </c>
      <c r="R474" s="75" t="n"/>
      <c r="S474" s="76" t="n"/>
      <c r="T474" s="77">
        <f>K474-L474</f>
        <v/>
      </c>
      <c r="U474" s="77">
        <f>P474-Q474</f>
        <v/>
      </c>
      <c r="V474" s="77">
        <f>ABS(U474)</f>
        <v/>
      </c>
      <c r="W474" s="78">
        <f>T474/L474</f>
        <v/>
      </c>
      <c r="X474" s="79">
        <f>ABS(W474)</f>
        <v/>
      </c>
    </row>
    <row r="475" ht="11.4" customHeight="1">
      <c r="A475" s="67" t="inlineStr">
        <is>
          <t>63</t>
        </is>
      </c>
      <c r="B475" s="67" t="inlineStr">
        <is>
          <t>1061</t>
        </is>
      </c>
      <c r="C475" s="67" t="inlineStr">
        <is>
          <t>1611</t>
        </is>
      </c>
      <c r="D475" s="68" t="inlineStr">
        <is>
          <t>01</t>
        </is>
      </c>
      <c r="E475" s="68" t="inlineStr">
        <is>
          <t>6 物业施工费</t>
        </is>
      </c>
      <c r="F475" s="68" t="inlineStr">
        <is>
          <t>6.1 总承包工程</t>
        </is>
      </c>
      <c r="G475" s="68" t="inlineStr">
        <is>
          <t>6.1.1 内部装修工程</t>
        </is>
      </c>
      <c r="H475" s="68" t="inlineStr">
        <is>
          <t>员休室家具及其他</t>
        </is>
      </c>
      <c r="I475" s="69" t="inlineStr">
        <is>
          <t>1000021820</t>
        </is>
      </c>
      <c r="J475" s="69" t="inlineStr">
        <is>
          <t>员工室仪容镜</t>
        </is>
      </c>
      <c r="K475" s="83" t="n">
        <v>1</v>
      </c>
      <c r="L475" s="70" t="n"/>
      <c r="M475" s="71" t="inlineStr">
        <is>
          <t>块</t>
        </is>
      </c>
      <c r="N475" s="72" t="n">
        <v>211.97</v>
      </c>
      <c r="O475" s="72">
        <f>ROUND(N475*(1+$F$10),2)</f>
        <v/>
      </c>
      <c r="P475" s="73">
        <f>ROUND(K475*N475,2)</f>
        <v/>
      </c>
      <c r="Q475" s="74">
        <f>ROUND(L475*N475,2)</f>
        <v/>
      </c>
      <c r="R475" s="75" t="n"/>
      <c r="S475" s="76" t="n"/>
      <c r="T475" s="77">
        <f>K475-L475</f>
        <v/>
      </c>
      <c r="U475" s="77">
        <f>P475-Q475</f>
        <v/>
      </c>
      <c r="V475" s="77">
        <f>ABS(U475)</f>
        <v/>
      </c>
      <c r="W475" s="78">
        <f>T475/L475</f>
        <v/>
      </c>
      <c r="X475" s="79">
        <f>ABS(W475)</f>
        <v/>
      </c>
    </row>
    <row r="476" ht="11.4" customHeight="1">
      <c r="A476" s="67" t="inlineStr">
        <is>
          <t>63</t>
        </is>
      </c>
      <c r="B476" s="67" t="inlineStr">
        <is>
          <t>1061</t>
        </is>
      </c>
      <c r="C476" s="67" t="inlineStr">
        <is>
          <t>1611</t>
        </is>
      </c>
      <c r="D476" s="68" t="inlineStr">
        <is>
          <t>01</t>
        </is>
      </c>
      <c r="E476" s="68" t="inlineStr">
        <is>
          <t>6 物业施工费</t>
        </is>
      </c>
      <c r="F476" s="68" t="inlineStr">
        <is>
          <t>6.1 总承包工程</t>
        </is>
      </c>
      <c r="G476" s="68" t="inlineStr">
        <is>
          <t>6.1.1 内部装修工程</t>
        </is>
      </c>
      <c r="H476" s="68" t="inlineStr">
        <is>
          <t>员休室家具及其他</t>
        </is>
      </c>
      <c r="I476" s="69" t="inlineStr">
        <is>
          <t>1000021821</t>
        </is>
      </c>
      <c r="J476" s="69" t="inlineStr">
        <is>
          <t>员工室熨衣板</t>
        </is>
      </c>
      <c r="K476" s="70" t="n"/>
      <c r="L476" s="70" t="n"/>
      <c r="M476" s="71" t="inlineStr">
        <is>
          <t>块</t>
        </is>
      </c>
      <c r="N476" s="72" t="n">
        <v>191.29</v>
      </c>
      <c r="O476" s="72">
        <f>ROUND(N476*(1+$F$10),2)</f>
        <v/>
      </c>
      <c r="P476" s="73">
        <f>ROUND(K476*N476,2)</f>
        <v/>
      </c>
      <c r="Q476" s="74">
        <f>ROUND(L476*N476,2)</f>
        <v/>
      </c>
      <c r="R476" s="75" t="n"/>
      <c r="S476" s="76" t="n"/>
      <c r="T476" s="77">
        <f>K476-L476</f>
        <v/>
      </c>
      <c r="U476" s="77">
        <f>P476-Q476</f>
        <v/>
      </c>
      <c r="V476" s="77">
        <f>ABS(U476)</f>
        <v/>
      </c>
      <c r="W476" s="78">
        <f>T476/L476</f>
        <v/>
      </c>
      <c r="X476" s="79">
        <f>ABS(W476)</f>
        <v/>
      </c>
    </row>
    <row r="477" ht="11.4" customHeight="1">
      <c r="A477" s="67" t="inlineStr">
        <is>
          <t>63</t>
        </is>
      </c>
      <c r="B477" s="67" t="inlineStr">
        <is>
          <t>1061</t>
        </is>
      </c>
      <c r="C477" s="67" t="inlineStr">
        <is>
          <t>1611</t>
        </is>
      </c>
      <c r="D477" s="68" t="inlineStr">
        <is>
          <t>01</t>
        </is>
      </c>
      <c r="E477" s="68" t="inlineStr">
        <is>
          <t>6 物业施工费</t>
        </is>
      </c>
      <c r="F477" s="68" t="inlineStr">
        <is>
          <t>6.1 总承包工程</t>
        </is>
      </c>
      <c r="G477" s="68" t="inlineStr">
        <is>
          <t>6.1.1 内部装修工程</t>
        </is>
      </c>
      <c r="H477" s="68" t="inlineStr">
        <is>
          <t>员休室家具及其他</t>
        </is>
      </c>
      <c r="I477" s="69" t="inlineStr">
        <is>
          <t>1000021822</t>
        </is>
      </c>
      <c r="J477" s="69" t="inlineStr">
        <is>
          <t>挂衣杆</t>
        </is>
      </c>
      <c r="K477" s="70" t="n"/>
      <c r="L477" s="70" t="n"/>
      <c r="M477" s="71" t="inlineStr">
        <is>
          <t>项</t>
        </is>
      </c>
      <c r="N477" s="72" t="n">
        <v>404.91</v>
      </c>
      <c r="O477" s="72">
        <f>ROUND(N477*(1+$F$10),2)</f>
        <v/>
      </c>
      <c r="P477" s="73">
        <f>ROUND(K477*N477,2)</f>
        <v/>
      </c>
      <c r="Q477" s="74">
        <f>ROUND(L477*N477,2)</f>
        <v/>
      </c>
      <c r="R477" s="75" t="n"/>
      <c r="S477" s="76" t="n"/>
      <c r="T477" s="77">
        <f>K477-L477</f>
        <v/>
      </c>
      <c r="U477" s="77">
        <f>P477-Q477</f>
        <v/>
      </c>
      <c r="V477" s="77">
        <f>ABS(U477)</f>
        <v/>
      </c>
      <c r="W477" s="78">
        <f>T477/L477</f>
        <v/>
      </c>
      <c r="X477" s="79">
        <f>ABS(W477)</f>
        <v/>
      </c>
    </row>
    <row r="478" ht="11.4" customHeight="1">
      <c r="A478" s="67" t="inlineStr">
        <is>
          <t>63</t>
        </is>
      </c>
      <c r="B478" s="67" t="inlineStr">
        <is>
          <t>1061</t>
        </is>
      </c>
      <c r="C478" s="67" t="inlineStr">
        <is>
          <t>1611</t>
        </is>
      </c>
      <c r="D478" s="68" t="inlineStr">
        <is>
          <t>01</t>
        </is>
      </c>
      <c r="E478" s="68" t="inlineStr">
        <is>
          <t>6 物业施工费</t>
        </is>
      </c>
      <c r="F478" s="68" t="inlineStr">
        <is>
          <t>6.1 总承包工程</t>
        </is>
      </c>
      <c r="G478" s="68" t="inlineStr">
        <is>
          <t>6.1.1 内部装修工程</t>
        </is>
      </c>
      <c r="H478" s="68" t="inlineStr">
        <is>
          <t>员休室家具及其他</t>
        </is>
      </c>
      <c r="I478" s="69" t="inlineStr">
        <is>
          <t>1000085742</t>
        </is>
      </c>
      <c r="J478" s="84" t="inlineStr">
        <is>
          <t>员休室隔断及全部配件</t>
        </is>
      </c>
      <c r="K478" s="70" t="n">
        <v>4.13</v>
      </c>
      <c r="L478" s="70" t="n">
        <v>4.13</v>
      </c>
      <c r="M478" s="71" t="inlineStr">
        <is>
          <t>m2</t>
        </is>
      </c>
      <c r="N478" s="72" t="n">
        <v>645.8</v>
      </c>
      <c r="O478" s="72">
        <f>ROUND(N478*(1+$F$10),2)</f>
        <v/>
      </c>
      <c r="P478" s="73">
        <f>ROUND(K478*N478,2)</f>
        <v/>
      </c>
      <c r="Q478" s="74">
        <f>ROUND(L478*N478,2)</f>
        <v/>
      </c>
      <c r="R478" s="75" t="n"/>
      <c r="S478" s="76" t="n"/>
      <c r="T478" s="77">
        <f>K478-L478</f>
        <v/>
      </c>
      <c r="U478" s="77">
        <f>P478-Q478</f>
        <v/>
      </c>
      <c r="V478" s="77">
        <f>ABS(U478)</f>
        <v/>
      </c>
      <c r="W478" s="78">
        <f>T478/L478</f>
        <v/>
      </c>
      <c r="X478" s="79">
        <f>ABS(W478)</f>
        <v/>
      </c>
      <c r="AG478" s="80" t="inlineStr">
        <is>
          <t>基本墙面积</t>
        </is>
      </c>
    </row>
    <row r="479" ht="11.4" customHeight="1">
      <c r="A479" s="67" t="inlineStr">
        <is>
          <t>63</t>
        </is>
      </c>
      <c r="B479" s="67" t="inlineStr">
        <is>
          <t>1061</t>
        </is>
      </c>
      <c r="C479" s="67" t="inlineStr">
        <is>
          <t>1611</t>
        </is>
      </c>
      <c r="D479" s="68" t="inlineStr">
        <is>
          <t>01</t>
        </is>
      </c>
      <c r="E479" s="68" t="inlineStr">
        <is>
          <t>6 物业施工费</t>
        </is>
      </c>
      <c r="F479" s="68" t="inlineStr">
        <is>
          <t>6.1 总承包工程</t>
        </is>
      </c>
      <c r="G479" s="68" t="inlineStr">
        <is>
          <t>6.1.1 内部装修工程</t>
        </is>
      </c>
      <c r="H479" s="68" t="inlineStr">
        <is>
          <t>员休室家具及其他</t>
        </is>
      </c>
      <c r="I479" s="69" t="inlineStr">
        <is>
          <t>1000021823</t>
        </is>
      </c>
      <c r="J479" s="84" t="inlineStr">
        <is>
          <t>防火板面刨花板隔断及全部配件</t>
        </is>
      </c>
      <c r="K479" s="70" t="n"/>
      <c r="L479" s="70" t="n"/>
      <c r="M479" s="71" t="inlineStr">
        <is>
          <t>m2</t>
        </is>
      </c>
      <c r="N479" s="72" t="n"/>
      <c r="O479" s="72">
        <f>ROUND(N479*(1+$F$10),2)</f>
        <v/>
      </c>
      <c r="P479" s="73">
        <f>ROUND(K479*N479,2)</f>
        <v/>
      </c>
      <c r="Q479" s="74">
        <f>ROUND(L479*N479,2)</f>
        <v/>
      </c>
      <c r="R479" s="75" t="n"/>
      <c r="S479" s="76" t="n"/>
      <c r="T479" s="77">
        <f>K479-L479</f>
        <v/>
      </c>
      <c r="U479" s="77">
        <f>P479-Q479</f>
        <v/>
      </c>
      <c r="V479" s="77">
        <f>ABS(U479)</f>
        <v/>
      </c>
      <c r="W479" s="78">
        <f>T479/L479</f>
        <v/>
      </c>
      <c r="X479" s="79">
        <f>ABS(W479)</f>
        <v/>
      </c>
      <c r="AG479" s="80" t="inlineStr">
        <is>
          <t>基本墙面积</t>
        </is>
      </c>
    </row>
    <row r="480" ht="11.4" customHeight="1">
      <c r="A480" s="67" t="inlineStr">
        <is>
          <t>63</t>
        </is>
      </c>
      <c r="B480" s="67" t="inlineStr">
        <is>
          <t>1061</t>
        </is>
      </c>
      <c r="C480" s="67" t="inlineStr">
        <is>
          <t>1611</t>
        </is>
      </c>
      <c r="D480" s="68" t="inlineStr">
        <is>
          <t>01</t>
        </is>
      </c>
      <c r="E480" s="68" t="inlineStr">
        <is>
          <t>6 物业施工费</t>
        </is>
      </c>
      <c r="F480" s="68" t="inlineStr">
        <is>
          <t>6.1 总承包工程</t>
        </is>
      </c>
      <c r="G480" s="68" t="inlineStr">
        <is>
          <t>6.1.1 内部装修工程</t>
        </is>
      </c>
      <c r="H480" s="68" t="inlineStr">
        <is>
          <t>员休室家具及其他</t>
        </is>
      </c>
      <c r="I480" s="69" t="inlineStr">
        <is>
          <t>1000040109</t>
        </is>
      </c>
      <c r="J480" s="69" t="inlineStr">
        <is>
          <t>员休室翻新</t>
        </is>
      </c>
      <c r="K480" s="70" t="n"/>
      <c r="L480" s="70" t="n"/>
      <c r="M480" s="71" t="inlineStr">
        <is>
          <t>项</t>
        </is>
      </c>
      <c r="N480" s="72" t="n"/>
      <c r="O480" s="72">
        <f>ROUND(N480*(1+$F$10),2)</f>
        <v/>
      </c>
      <c r="P480" s="73">
        <f>ROUND(K480*N480,2)</f>
        <v/>
      </c>
      <c r="Q480" s="74">
        <f>ROUND(L480*N480,2)</f>
        <v/>
      </c>
      <c r="R480" s="75" t="n"/>
      <c r="S480" s="76" t="n"/>
      <c r="T480" s="77">
        <f>K480-L480</f>
        <v/>
      </c>
      <c r="U480" s="77">
        <f>P480-Q480</f>
        <v/>
      </c>
      <c r="V480" s="77">
        <f>ABS(U480)</f>
        <v/>
      </c>
      <c r="W480" s="78">
        <f>T480/L480</f>
        <v/>
      </c>
      <c r="X480" s="79">
        <f>ABS(W480)</f>
        <v/>
      </c>
      <c r="AH480" s="80" t="inlineStr">
        <is>
          <t>委托书</t>
        </is>
      </c>
    </row>
    <row r="481" ht="11.4" customHeight="1">
      <c r="A481" s="67" t="inlineStr">
        <is>
          <t>55</t>
        </is>
      </c>
      <c r="B481" s="67" t="inlineStr">
        <is>
          <t>1053</t>
        </is>
      </c>
      <c r="C481" s="67" t="inlineStr">
        <is>
          <t>1611</t>
        </is>
      </c>
      <c r="D481" s="68" t="inlineStr">
        <is>
          <t>01</t>
        </is>
      </c>
      <c r="E481" s="68" t="inlineStr">
        <is>
          <t>6 物业施工费</t>
        </is>
      </c>
      <c r="F481" s="68" t="inlineStr">
        <is>
          <t>6.1 总承包工程</t>
        </is>
      </c>
      <c r="G481" s="68" t="inlineStr">
        <is>
          <t>6.1.1 内部装修工程</t>
        </is>
      </c>
      <c r="H481" s="68" t="inlineStr">
        <is>
          <t>厨房地面(含不超过50mm厚的找平层)</t>
        </is>
      </c>
      <c r="I481" s="69" t="inlineStr">
        <is>
          <t>1000021454</t>
        </is>
      </c>
      <c r="J481" s="69" t="inlineStr">
        <is>
          <t>150x150mm灰色砖地面（琛雄，含不超过50mm厚的找平层）</t>
        </is>
      </c>
      <c r="K481" s="70" t="n"/>
      <c r="L481" s="70" t="n"/>
      <c r="M481" s="71" t="inlineStr">
        <is>
          <t>m2</t>
        </is>
      </c>
      <c r="N481" s="72" t="n">
        <v>203.87</v>
      </c>
      <c r="O481" s="72">
        <f>ROUND(N481*(1+$F$10),2)</f>
        <v/>
      </c>
      <c r="P481" s="73">
        <f>ROUND(K481*N481,2)</f>
        <v/>
      </c>
      <c r="Q481" s="74">
        <f>ROUND(L481*N481,2)</f>
        <v/>
      </c>
      <c r="R481" s="75" t="n"/>
      <c r="S481" s="76" t="n"/>
      <c r="T481" s="77">
        <f>K481-L481</f>
        <v/>
      </c>
      <c r="U481" s="77">
        <f>P481-Q481</f>
        <v/>
      </c>
      <c r="V481" s="77">
        <f>ABS(U481)</f>
        <v/>
      </c>
      <c r="W481" s="78">
        <f>T481/L481</f>
        <v/>
      </c>
      <c r="X481" s="79">
        <f>ABS(W481)</f>
        <v/>
      </c>
      <c r="AG481" s="6" t="inlineStr">
        <is>
          <t>楼板面积+基本墙面积</t>
        </is>
      </c>
    </row>
    <row r="482" ht="11.4" customHeight="1">
      <c r="A482" s="67" t="inlineStr">
        <is>
          <t>55</t>
        </is>
      </c>
      <c r="B482" s="67" t="inlineStr">
        <is>
          <t>1053</t>
        </is>
      </c>
      <c r="C482" s="67" t="inlineStr">
        <is>
          <t>1611</t>
        </is>
      </c>
      <c r="D482" s="68" t="inlineStr">
        <is>
          <t>01</t>
        </is>
      </c>
      <c r="E482" s="68" t="inlineStr">
        <is>
          <t>6 物业施工费</t>
        </is>
      </c>
      <c r="F482" s="68" t="inlineStr">
        <is>
          <t>6.1 总承包工程</t>
        </is>
      </c>
      <c r="G482" s="68" t="inlineStr">
        <is>
          <t>6.1.1 内部装修工程</t>
        </is>
      </c>
      <c r="H482" s="68" t="inlineStr">
        <is>
          <t>厨房地面(含不超过50mm厚的找平层)</t>
        </is>
      </c>
      <c r="I482" s="69" t="inlineStr">
        <is>
          <t>1000021455</t>
        </is>
      </c>
      <c r="J482" s="69" t="inlineStr">
        <is>
          <t>灰色砖踢脚（琛雄，含阴阳角）</t>
        </is>
      </c>
      <c r="K482" s="70" t="n"/>
      <c r="L482" s="70" t="n"/>
      <c r="M482" s="71" t="inlineStr">
        <is>
          <t>米</t>
        </is>
      </c>
      <c r="N482" s="72" t="n">
        <v>101.27</v>
      </c>
      <c r="O482" s="72">
        <f>ROUND(N482*(1+$F$10),2)</f>
        <v/>
      </c>
      <c r="P482" s="73">
        <f>ROUND(K482*N482,2)</f>
        <v/>
      </c>
      <c r="Q482" s="74">
        <f>ROUND(L482*N482,2)</f>
        <v/>
      </c>
      <c r="R482" s="75" t="n"/>
      <c r="S482" s="76" t="n"/>
      <c r="T482" s="77">
        <f>K482-L482</f>
        <v/>
      </c>
      <c r="U482" s="77">
        <f>P482-Q482</f>
        <v/>
      </c>
      <c r="V482" s="77">
        <f>ABS(U482)</f>
        <v/>
      </c>
      <c r="W482" s="78">
        <f>T482/L482</f>
        <v/>
      </c>
      <c r="X482" s="79">
        <f>ABS(W482)</f>
        <v/>
      </c>
      <c r="AG482" s="6" t="inlineStr">
        <is>
          <t>踢脚线长度</t>
        </is>
      </c>
    </row>
    <row r="483" ht="11.4" customHeight="1">
      <c r="A483" s="67" t="inlineStr">
        <is>
          <t>55</t>
        </is>
      </c>
      <c r="B483" s="67" t="inlineStr">
        <is>
          <t>1053</t>
        </is>
      </c>
      <c r="C483" s="67" t="inlineStr">
        <is>
          <t>1611</t>
        </is>
      </c>
      <c r="D483" s="68" t="inlineStr">
        <is>
          <t>01</t>
        </is>
      </c>
      <c r="E483" s="68" t="inlineStr">
        <is>
          <t>6 物业施工费</t>
        </is>
      </c>
      <c r="F483" s="68" t="inlineStr">
        <is>
          <t>6.1 总承包工程</t>
        </is>
      </c>
      <c r="G483" s="68" t="inlineStr">
        <is>
          <t>6.1.1 内部装修工程</t>
        </is>
      </c>
      <c r="H483" s="68" t="inlineStr">
        <is>
          <t>厨房地面(含不超过50mm厚的找平层)</t>
        </is>
      </c>
      <c r="I483" s="69" t="inlineStr">
        <is>
          <t>1000021654</t>
        </is>
      </c>
      <c r="J483" s="69" t="inlineStr">
        <is>
          <t>150x150mm灰色砖地面（共荣，含不超过50mm厚的找平层）</t>
        </is>
      </c>
      <c r="K483" s="70" t="n"/>
      <c r="L483" s="70" t="n"/>
      <c r="M483" s="71" t="inlineStr">
        <is>
          <t>m2</t>
        </is>
      </c>
      <c r="N483" s="72" t="n">
        <v>194.19</v>
      </c>
      <c r="O483" s="72">
        <f>ROUND(N483*(1+$F$10),2)</f>
        <v/>
      </c>
      <c r="P483" s="73">
        <f>ROUND(K483*N483,2)</f>
        <v/>
      </c>
      <c r="Q483" s="74">
        <f>ROUND(L483*N483,2)</f>
        <v/>
      </c>
      <c r="R483" s="75" t="n"/>
      <c r="S483" s="76" t="n"/>
      <c r="T483" s="77">
        <f>K483-L483</f>
        <v/>
      </c>
      <c r="U483" s="77">
        <f>P483-Q483</f>
        <v/>
      </c>
      <c r="V483" s="77">
        <f>ABS(U483)</f>
        <v/>
      </c>
      <c r="W483" s="78">
        <f>T483/L483</f>
        <v/>
      </c>
      <c r="X483" s="79">
        <f>ABS(W483)</f>
        <v/>
      </c>
      <c r="AG483" s="6" t="inlineStr">
        <is>
          <t>楼板面积+基本墙面积</t>
        </is>
      </c>
    </row>
    <row r="484" ht="11.4" customHeight="1">
      <c r="A484" s="67" t="inlineStr">
        <is>
          <t>55</t>
        </is>
      </c>
      <c r="B484" s="67" t="inlineStr">
        <is>
          <t>1053</t>
        </is>
      </c>
      <c r="C484" s="67" t="inlineStr">
        <is>
          <t>1611</t>
        </is>
      </c>
      <c r="D484" s="68" t="inlineStr">
        <is>
          <t>01</t>
        </is>
      </c>
      <c r="E484" s="68" t="inlineStr">
        <is>
          <t>6 物业施工费</t>
        </is>
      </c>
      <c r="F484" s="68" t="inlineStr">
        <is>
          <t>6.1 总承包工程</t>
        </is>
      </c>
      <c r="G484" s="68" t="inlineStr">
        <is>
          <t>6.1.1 内部装修工程</t>
        </is>
      </c>
      <c r="H484" s="68" t="inlineStr">
        <is>
          <t>厨房地面(含不超过50mm厚的找平层)</t>
        </is>
      </c>
      <c r="I484" s="69" t="inlineStr">
        <is>
          <t>1000021655</t>
        </is>
      </c>
      <c r="J484" s="69" t="inlineStr">
        <is>
          <t>灰色砖踢脚（共荣，含阴阳角）</t>
        </is>
      </c>
      <c r="K484" s="70" t="n"/>
      <c r="L484" s="70" t="n"/>
      <c r="M484" s="71" t="inlineStr">
        <is>
          <t>米</t>
        </is>
      </c>
      <c r="N484" s="72" t="n">
        <v>83.12</v>
      </c>
      <c r="O484" s="72">
        <f>ROUND(N484*(1+$F$10),2)</f>
        <v/>
      </c>
      <c r="P484" s="73">
        <f>ROUND(K484*N484,2)</f>
        <v/>
      </c>
      <c r="Q484" s="74">
        <f>ROUND(L484*N484,2)</f>
        <v/>
      </c>
      <c r="R484" s="75" t="n"/>
      <c r="S484" s="76" t="n"/>
      <c r="T484" s="77">
        <f>K484-L484</f>
        <v/>
      </c>
      <c r="U484" s="77">
        <f>P484-Q484</f>
        <v/>
      </c>
      <c r="V484" s="77">
        <f>ABS(U484)</f>
        <v/>
      </c>
      <c r="W484" s="78">
        <f>T484/L484</f>
        <v/>
      </c>
      <c r="X484" s="79">
        <f>ABS(W484)</f>
        <v/>
      </c>
      <c r="AG484" s="6" t="inlineStr">
        <is>
          <t>踢脚线长度</t>
        </is>
      </c>
    </row>
    <row r="485" ht="11.4" customHeight="1">
      <c r="A485" s="67" t="inlineStr">
        <is>
          <t>55</t>
        </is>
      </c>
      <c r="B485" s="67" t="inlineStr">
        <is>
          <t>1053</t>
        </is>
      </c>
      <c r="C485" s="67" t="inlineStr">
        <is>
          <t>1611</t>
        </is>
      </c>
      <c r="D485" s="68" t="inlineStr">
        <is>
          <t>01</t>
        </is>
      </c>
      <c r="E485" s="68" t="inlineStr">
        <is>
          <t>6 物业施工费</t>
        </is>
      </c>
      <c r="F485" s="68" t="inlineStr">
        <is>
          <t>6.1 总承包工程</t>
        </is>
      </c>
      <c r="G485" s="68" t="inlineStr">
        <is>
          <t>6.1.1 内部装修工程</t>
        </is>
      </c>
      <c r="H485" s="68" t="inlineStr">
        <is>
          <t>厨房地面(含不超过50mm厚的找平层)</t>
        </is>
      </c>
      <c r="I485" s="69" t="inlineStr">
        <is>
          <t>1000021676</t>
        </is>
      </c>
      <c r="J485" s="69" t="inlineStr">
        <is>
          <t>150x150mm灰色砖地面（冠军，含不超过50mm厚的找平层）</t>
        </is>
      </c>
      <c r="K485" s="70" t="n">
        <v>52.11</v>
      </c>
      <c r="L485" s="70" t="n">
        <v>52.1</v>
      </c>
      <c r="M485" s="71" t="inlineStr">
        <is>
          <t>m2</t>
        </is>
      </c>
      <c r="N485" s="72" t="n">
        <v>202.66</v>
      </c>
      <c r="O485" s="72">
        <f>ROUND(N485*(1+$F$10),2)</f>
        <v/>
      </c>
      <c r="P485" s="73">
        <f>ROUND(K485*N485,2)</f>
        <v/>
      </c>
      <c r="Q485" s="74">
        <f>ROUND(L485*N485,2)</f>
        <v/>
      </c>
      <c r="R485" s="75" t="n"/>
      <c r="S485" s="76" t="n"/>
      <c r="T485" s="77">
        <f>K485-L485</f>
        <v/>
      </c>
      <c r="U485" s="77">
        <f>P485-Q485</f>
        <v/>
      </c>
      <c r="V485" s="77">
        <f>ABS(U485)</f>
        <v/>
      </c>
      <c r="W485" s="78">
        <f>T485/L485</f>
        <v/>
      </c>
      <c r="X485" s="79">
        <f>ABS(W485)</f>
        <v/>
      </c>
      <c r="AG485" s="6" t="inlineStr">
        <is>
          <t>楼板面积+基本墙面积</t>
        </is>
      </c>
    </row>
    <row r="486" ht="11.4" customHeight="1">
      <c r="A486" s="67" t="inlineStr">
        <is>
          <t>55</t>
        </is>
      </c>
      <c r="B486" s="67" t="inlineStr">
        <is>
          <t>1053</t>
        </is>
      </c>
      <c r="C486" s="67" t="inlineStr">
        <is>
          <t>1611</t>
        </is>
      </c>
      <c r="D486" s="68" t="inlineStr">
        <is>
          <t>01</t>
        </is>
      </c>
      <c r="E486" s="68" t="inlineStr">
        <is>
          <t>6 物业施工费</t>
        </is>
      </c>
      <c r="F486" s="68" t="inlineStr">
        <is>
          <t>6.1 总承包工程</t>
        </is>
      </c>
      <c r="G486" s="68" t="inlineStr">
        <is>
          <t>6.1.1 内部装修工程</t>
        </is>
      </c>
      <c r="H486" s="68" t="inlineStr">
        <is>
          <t>厨房地面(含不超过50mm厚的找平层)</t>
        </is>
      </c>
      <c r="I486" s="69" t="inlineStr">
        <is>
          <t>1000021677</t>
        </is>
      </c>
      <c r="J486" s="69" t="inlineStr">
        <is>
          <t>灰色砖踢脚（冠军，含阴阳角）</t>
        </is>
      </c>
      <c r="K486" s="70" t="n">
        <v>47.33</v>
      </c>
      <c r="L486" s="70" t="n">
        <v>47.13</v>
      </c>
      <c r="M486" s="71" t="inlineStr">
        <is>
          <t>米</t>
        </is>
      </c>
      <c r="N486" s="72" t="n">
        <v>101.27</v>
      </c>
      <c r="O486" s="72">
        <f>ROUND(N486*(1+$F$10),2)</f>
        <v/>
      </c>
      <c r="P486" s="73">
        <f>ROUND(K486*N486,2)</f>
        <v/>
      </c>
      <c r="Q486" s="74">
        <f>ROUND(L486*N486,2)</f>
        <v/>
      </c>
      <c r="R486" s="75" t="n"/>
      <c r="S486" s="76" t="n"/>
      <c r="T486" s="77">
        <f>K486-L486</f>
        <v/>
      </c>
      <c r="U486" s="77">
        <f>P486-Q486</f>
        <v/>
      </c>
      <c r="V486" s="77">
        <f>ABS(U486)</f>
        <v/>
      </c>
      <c r="W486" s="78">
        <f>T486/L486</f>
        <v/>
      </c>
      <c r="X486" s="79">
        <f>ABS(W486)</f>
        <v/>
      </c>
      <c r="AG486" s="6" t="inlineStr">
        <is>
          <t>踢脚线长度</t>
        </is>
      </c>
    </row>
    <row r="487" ht="11.4" customHeight="1">
      <c r="A487" s="67" t="inlineStr">
        <is>
          <t>55</t>
        </is>
      </c>
      <c r="B487" s="67" t="inlineStr">
        <is>
          <t>1053</t>
        </is>
      </c>
      <c r="C487" s="67" t="inlineStr">
        <is>
          <t>1611</t>
        </is>
      </c>
      <c r="D487" s="68" t="inlineStr">
        <is>
          <t>01</t>
        </is>
      </c>
      <c r="E487" s="68" t="inlineStr">
        <is>
          <t>6 物业施工费</t>
        </is>
      </c>
      <c r="F487" s="68" t="inlineStr">
        <is>
          <t>6.1 总承包工程</t>
        </is>
      </c>
      <c r="G487" s="68" t="inlineStr">
        <is>
          <t>6.1.1 内部装修工程</t>
        </is>
      </c>
      <c r="H487" s="68" t="inlineStr">
        <is>
          <t>厨房地面(含不超过50mm厚的找平层)</t>
        </is>
      </c>
      <c r="I487" s="69" t="inlineStr">
        <is>
          <t>1000021456</t>
        </is>
      </c>
      <c r="J487" s="69" t="inlineStr">
        <is>
          <t>国产同质砖（琛雄，含不超过50mm厚的找平层）</t>
        </is>
      </c>
      <c r="K487" s="70" t="n"/>
      <c r="L487" s="70" t="n"/>
      <c r="M487" s="71" t="inlineStr">
        <is>
          <t>m2</t>
        </is>
      </c>
      <c r="N487" s="72" t="n">
        <v>180.78</v>
      </c>
      <c r="O487" s="72">
        <f>ROUND(N487*(1+$F$10),2)</f>
        <v/>
      </c>
      <c r="P487" s="73">
        <f>ROUND(K487*N487,2)</f>
        <v/>
      </c>
      <c r="Q487" s="74">
        <f>ROUND(L487*N487,2)</f>
        <v/>
      </c>
      <c r="R487" s="75" t="n"/>
      <c r="S487" s="76" t="n"/>
      <c r="T487" s="77">
        <f>K487-L487</f>
        <v/>
      </c>
      <c r="U487" s="77">
        <f>P487-Q487</f>
        <v/>
      </c>
      <c r="V487" s="77">
        <f>ABS(U487)</f>
        <v/>
      </c>
      <c r="W487" s="78">
        <f>T487/L487</f>
        <v/>
      </c>
      <c r="X487" s="79">
        <f>ABS(W487)</f>
        <v/>
      </c>
      <c r="AG487" s="6" t="inlineStr">
        <is>
          <t>楼板面积+基本墙面积</t>
        </is>
      </c>
    </row>
    <row r="488" ht="11.4" customHeight="1">
      <c r="A488" s="67" t="inlineStr">
        <is>
          <t>55</t>
        </is>
      </c>
      <c r="B488" s="67" t="inlineStr">
        <is>
          <t>1053</t>
        </is>
      </c>
      <c r="C488" s="67" t="inlineStr">
        <is>
          <t>1611</t>
        </is>
      </c>
      <c r="D488" s="68" t="inlineStr">
        <is>
          <t>01</t>
        </is>
      </c>
      <c r="E488" s="68" t="inlineStr">
        <is>
          <t>6 物业施工费</t>
        </is>
      </c>
      <c r="F488" s="68" t="inlineStr">
        <is>
          <t>6.1 总承包工程</t>
        </is>
      </c>
      <c r="G488" s="68" t="inlineStr">
        <is>
          <t>6.1.1 内部装修工程</t>
        </is>
      </c>
      <c r="H488" s="68" t="inlineStr">
        <is>
          <t>厨房地面(含不超过50mm厚的找平层)</t>
        </is>
      </c>
      <c r="I488" s="69" t="inlineStr">
        <is>
          <t>1000021457</t>
        </is>
      </c>
      <c r="J488" s="69" t="inlineStr">
        <is>
          <t>国产同质砖踢脚（琛雄）</t>
        </is>
      </c>
      <c r="K488" s="70" t="n"/>
      <c r="L488" s="70" t="n"/>
      <c r="M488" s="71" t="inlineStr">
        <is>
          <t>米</t>
        </is>
      </c>
      <c r="N488" s="72" t="n">
        <v>41.36</v>
      </c>
      <c r="O488" s="72">
        <f>ROUND(N488*(1+$F$10),2)</f>
        <v/>
      </c>
      <c r="P488" s="73">
        <f>ROUND(K488*N488,2)</f>
        <v/>
      </c>
      <c r="Q488" s="74">
        <f>ROUND(L488*N488,2)</f>
        <v/>
      </c>
      <c r="R488" s="75" t="n"/>
      <c r="S488" s="76" t="n"/>
      <c r="T488" s="77">
        <f>K488-L488</f>
        <v/>
      </c>
      <c r="U488" s="77">
        <f>P488-Q488</f>
        <v/>
      </c>
      <c r="V488" s="77">
        <f>ABS(U488)</f>
        <v/>
      </c>
      <c r="W488" s="78">
        <f>T488/L488</f>
        <v/>
      </c>
      <c r="X488" s="79">
        <f>ABS(W488)</f>
        <v/>
      </c>
      <c r="AG488" s="6" t="inlineStr">
        <is>
          <t>踢脚线长度</t>
        </is>
      </c>
    </row>
    <row r="489" ht="11.4" customHeight="1">
      <c r="A489" s="67" t="inlineStr">
        <is>
          <t>55</t>
        </is>
      </c>
      <c r="B489" s="67" t="inlineStr">
        <is>
          <t>1053</t>
        </is>
      </c>
      <c r="C489" s="67" t="inlineStr">
        <is>
          <t>1611</t>
        </is>
      </c>
      <c r="D489" s="68" t="inlineStr">
        <is>
          <t>01</t>
        </is>
      </c>
      <c r="E489" s="68" t="inlineStr">
        <is>
          <t>6 物业施工费</t>
        </is>
      </c>
      <c r="F489" s="68" t="inlineStr">
        <is>
          <t>6.1 总承包工程</t>
        </is>
      </c>
      <c r="G489" s="68" t="inlineStr">
        <is>
          <t>6.1.1 内部装修工程</t>
        </is>
      </c>
      <c r="H489" s="68" t="inlineStr">
        <is>
          <t>厨房地面(含不超过50mm厚的找平层)</t>
        </is>
      </c>
      <c r="I489" s="69" t="inlineStr">
        <is>
          <t>1000021643</t>
        </is>
      </c>
      <c r="J489" s="69" t="inlineStr">
        <is>
          <t>国产同质砖（共荣，含不超过50mm厚的找平层）</t>
        </is>
      </c>
      <c r="K489" s="70" t="n"/>
      <c r="L489" s="70" t="n"/>
      <c r="M489" s="71" t="inlineStr">
        <is>
          <t>m2</t>
        </is>
      </c>
      <c r="N489" s="72" t="n">
        <v>160.21</v>
      </c>
      <c r="O489" s="72">
        <f>ROUND(N489*(1+$F$10),2)</f>
        <v/>
      </c>
      <c r="P489" s="73">
        <f>ROUND(K489*N489,2)</f>
        <v/>
      </c>
      <c r="Q489" s="74">
        <f>ROUND(L489*N489,2)</f>
        <v/>
      </c>
      <c r="R489" s="75" t="n"/>
      <c r="S489" s="76" t="n"/>
      <c r="T489" s="77">
        <f>K489-L489</f>
        <v/>
      </c>
      <c r="U489" s="77">
        <f>P489-Q489</f>
        <v/>
      </c>
      <c r="V489" s="77">
        <f>ABS(U489)</f>
        <v/>
      </c>
      <c r="W489" s="78">
        <f>T489/L489</f>
        <v/>
      </c>
      <c r="X489" s="79">
        <f>ABS(W489)</f>
        <v/>
      </c>
      <c r="AG489" s="6" t="inlineStr">
        <is>
          <t>楼板面积+基本墙面积</t>
        </is>
      </c>
    </row>
    <row r="490" ht="11.4" customHeight="1">
      <c r="A490" s="67" t="inlineStr">
        <is>
          <t>55</t>
        </is>
      </c>
      <c r="B490" s="67" t="inlineStr">
        <is>
          <t>1053</t>
        </is>
      </c>
      <c r="C490" s="67" t="inlineStr">
        <is>
          <t>1611</t>
        </is>
      </c>
      <c r="D490" s="68" t="inlineStr">
        <is>
          <t>01</t>
        </is>
      </c>
      <c r="E490" s="68" t="inlineStr">
        <is>
          <t>6 物业施工费</t>
        </is>
      </c>
      <c r="F490" s="68" t="inlineStr">
        <is>
          <t>6.1 总承包工程</t>
        </is>
      </c>
      <c r="G490" s="68" t="inlineStr">
        <is>
          <t>6.1.1 内部装修工程</t>
        </is>
      </c>
      <c r="H490" s="68" t="inlineStr">
        <is>
          <t>厨房地面(含不超过50mm厚的找平层)</t>
        </is>
      </c>
      <c r="I490" s="69" t="inlineStr">
        <is>
          <t>1000021644</t>
        </is>
      </c>
      <c r="J490" s="69" t="inlineStr">
        <is>
          <t>国产同质砖踢脚（共荣）</t>
        </is>
      </c>
      <c r="K490" s="70" t="n"/>
      <c r="L490" s="70" t="n"/>
      <c r="M490" s="71" t="inlineStr">
        <is>
          <t>米</t>
        </is>
      </c>
      <c r="N490" s="72" t="n">
        <v>38.94</v>
      </c>
      <c r="O490" s="72">
        <f>ROUND(N490*(1+$F$10),2)</f>
        <v/>
      </c>
      <c r="P490" s="73">
        <f>ROUND(K490*N490,2)</f>
        <v/>
      </c>
      <c r="Q490" s="74">
        <f>ROUND(L490*N490,2)</f>
        <v/>
      </c>
      <c r="R490" s="75" t="n"/>
      <c r="S490" s="76" t="n"/>
      <c r="T490" s="77">
        <f>K490-L490</f>
        <v/>
      </c>
      <c r="U490" s="77">
        <f>P490-Q490</f>
        <v/>
      </c>
      <c r="V490" s="77">
        <f>ABS(U490)</f>
        <v/>
      </c>
      <c r="W490" s="78">
        <f>T490/L490</f>
        <v/>
      </c>
      <c r="X490" s="79">
        <f>ABS(W490)</f>
        <v/>
      </c>
      <c r="AG490" s="6" t="inlineStr">
        <is>
          <t>踢脚线长度</t>
        </is>
      </c>
    </row>
    <row r="491" ht="11.4" customHeight="1">
      <c r="A491" s="67" t="inlineStr">
        <is>
          <t>55</t>
        </is>
      </c>
      <c r="B491" s="67" t="inlineStr">
        <is>
          <t>1053</t>
        </is>
      </c>
      <c r="C491" s="67" t="inlineStr">
        <is>
          <t>1611</t>
        </is>
      </c>
      <c r="D491" s="68" t="inlineStr">
        <is>
          <t>01</t>
        </is>
      </c>
      <c r="E491" s="68" t="inlineStr">
        <is>
          <t>6 物业施工费</t>
        </is>
      </c>
      <c r="F491" s="68" t="inlineStr">
        <is>
          <t>6.1 总承包工程</t>
        </is>
      </c>
      <c r="G491" s="68" t="inlineStr">
        <is>
          <t>6.1.1 内部装修工程</t>
        </is>
      </c>
      <c r="H491" s="68" t="inlineStr">
        <is>
          <t>厨房地面(含不超过50mm厚的找平层)</t>
        </is>
      </c>
      <c r="I491" s="69" t="inlineStr">
        <is>
          <t>1000021622</t>
        </is>
      </c>
      <c r="J491" s="69" t="inlineStr">
        <is>
          <t>国产同质砖（冠军，含不超过50mm厚的找平层）</t>
        </is>
      </c>
      <c r="K491" s="70" t="n">
        <v>6.02</v>
      </c>
      <c r="L491" s="70" t="n">
        <v>6.01</v>
      </c>
      <c r="M491" s="71" t="inlineStr">
        <is>
          <t>m2</t>
        </is>
      </c>
      <c r="N491" s="72" t="n">
        <v>181.99</v>
      </c>
      <c r="O491" s="72">
        <f>ROUND(N491*(1+$F$10),2)</f>
        <v/>
      </c>
      <c r="P491" s="73">
        <f>ROUND(K491*N491,2)</f>
        <v/>
      </c>
      <c r="Q491" s="74">
        <f>ROUND(L491*N491,2)</f>
        <v/>
      </c>
      <c r="R491" s="75" t="n"/>
      <c r="S491" s="76" t="n"/>
      <c r="T491" s="77">
        <f>K491-L491</f>
        <v/>
      </c>
      <c r="U491" s="77">
        <f>P491-Q491</f>
        <v/>
      </c>
      <c r="V491" s="77">
        <f>ABS(U491)</f>
        <v/>
      </c>
      <c r="W491" s="78">
        <f>T491/L491</f>
        <v/>
      </c>
      <c r="X491" s="79">
        <f>ABS(W491)</f>
        <v/>
      </c>
      <c r="AG491" s="6" t="inlineStr">
        <is>
          <t>楼板面积+基本墙面积</t>
        </is>
      </c>
    </row>
    <row r="492" ht="11.4" customHeight="1">
      <c r="A492" s="67" t="inlineStr">
        <is>
          <t>55</t>
        </is>
      </c>
      <c r="B492" s="67" t="inlineStr">
        <is>
          <t>1053</t>
        </is>
      </c>
      <c r="C492" s="67" t="inlineStr">
        <is>
          <t>1611</t>
        </is>
      </c>
      <c r="D492" s="68" t="inlineStr">
        <is>
          <t>01</t>
        </is>
      </c>
      <c r="E492" s="68" t="inlineStr">
        <is>
          <t>6 物业施工费</t>
        </is>
      </c>
      <c r="F492" s="68" t="inlineStr">
        <is>
          <t>6.1 总承包工程</t>
        </is>
      </c>
      <c r="G492" s="68" t="inlineStr">
        <is>
          <t>6.1.1 内部装修工程</t>
        </is>
      </c>
      <c r="H492" s="68" t="inlineStr">
        <is>
          <t>厨房地面(含不超过50mm厚的找平层)</t>
        </is>
      </c>
      <c r="I492" s="69" t="inlineStr">
        <is>
          <t>1000021623</t>
        </is>
      </c>
      <c r="J492" s="69" t="inlineStr">
        <is>
          <t>国产同质砖踢脚（冠军）</t>
        </is>
      </c>
      <c r="K492" s="70" t="n">
        <v>10.21</v>
      </c>
      <c r="L492" s="70" t="n">
        <v>10.2</v>
      </c>
      <c r="M492" s="71" t="inlineStr">
        <is>
          <t>米</t>
        </is>
      </c>
      <c r="N492" s="72" t="n">
        <v>42.57</v>
      </c>
      <c r="O492" s="72">
        <f>ROUND(N492*(1+$F$10),2)</f>
        <v/>
      </c>
      <c r="P492" s="73">
        <f>ROUND(K492*N492,2)</f>
        <v/>
      </c>
      <c r="Q492" s="74">
        <f>ROUND(L492*N492,2)</f>
        <v/>
      </c>
      <c r="R492" s="75" t="n"/>
      <c r="S492" s="76" t="n"/>
      <c r="T492" s="77">
        <f>K492-L492</f>
        <v/>
      </c>
      <c r="U492" s="77">
        <f>P492-Q492</f>
        <v/>
      </c>
      <c r="V492" s="77">
        <f>ABS(U492)</f>
        <v/>
      </c>
      <c r="W492" s="78">
        <f>T492/L492</f>
        <v/>
      </c>
      <c r="X492" s="79">
        <f>ABS(W492)</f>
        <v/>
      </c>
      <c r="AG492" s="6" t="inlineStr">
        <is>
          <t>踢脚线长度</t>
        </is>
      </c>
    </row>
    <row r="493" ht="11.4" customHeight="1">
      <c r="A493" s="67" t="inlineStr">
        <is>
          <t>55</t>
        </is>
      </c>
      <c r="B493" s="67" t="inlineStr">
        <is>
          <t>1053</t>
        </is>
      </c>
      <c r="C493" s="67" t="inlineStr">
        <is>
          <t>1611</t>
        </is>
      </c>
      <c r="D493" s="68" t="inlineStr">
        <is>
          <t>01</t>
        </is>
      </c>
      <c r="E493" s="68" t="inlineStr">
        <is>
          <t>6 物业施工费</t>
        </is>
      </c>
      <c r="F493" s="68" t="inlineStr">
        <is>
          <t>6.1 总承包工程</t>
        </is>
      </c>
      <c r="G493" s="68" t="inlineStr">
        <is>
          <t>6.1.1 内部装修工程</t>
        </is>
      </c>
      <c r="H493" s="68" t="inlineStr">
        <is>
          <t>厨房地面(含不超过50mm厚的找平层)</t>
        </is>
      </c>
      <c r="I493" s="69" t="inlineStr">
        <is>
          <t>1000051755</t>
        </is>
      </c>
      <c r="J493" s="69" t="inlineStr">
        <is>
          <t>600*600mm灰色水泥地砖（琛雄，含不超过50mm厚的找平层）</t>
        </is>
      </c>
      <c r="K493" s="70" t="n"/>
      <c r="L493" s="70" t="n"/>
      <c r="M493" s="71" t="inlineStr">
        <is>
          <t>m2</t>
        </is>
      </c>
      <c r="N493" s="72" t="n">
        <v>187.98</v>
      </c>
      <c r="O493" s="72">
        <f>ROUND(N493*(1+$F$10),2)</f>
        <v/>
      </c>
      <c r="P493" s="73">
        <f>ROUND(K493*N493,2)</f>
        <v/>
      </c>
      <c r="Q493" s="74">
        <f>ROUND(L493*N493,2)</f>
        <v/>
      </c>
      <c r="R493" s="75" t="n"/>
      <c r="S493" s="76" t="n"/>
      <c r="T493" s="77">
        <f>K493-L493</f>
        <v/>
      </c>
      <c r="U493" s="77">
        <f>P493-Q493</f>
        <v/>
      </c>
      <c r="V493" s="77">
        <f>ABS(U493)</f>
        <v/>
      </c>
      <c r="W493" s="78">
        <f>T493/L493</f>
        <v/>
      </c>
      <c r="X493" s="79">
        <f>ABS(W493)</f>
        <v/>
      </c>
      <c r="AG493" s="6" t="inlineStr">
        <is>
          <t>楼板面积+基本墙面积</t>
        </is>
      </c>
    </row>
    <row r="494" ht="11.4" customHeight="1">
      <c r="A494" s="67" t="inlineStr">
        <is>
          <t>55</t>
        </is>
      </c>
      <c r="B494" s="67" t="inlineStr">
        <is>
          <t>1053</t>
        </is>
      </c>
      <c r="C494" s="67" t="inlineStr">
        <is>
          <t>1611</t>
        </is>
      </c>
      <c r="D494" s="68" t="inlineStr">
        <is>
          <t>01</t>
        </is>
      </c>
      <c r="E494" s="68" t="inlineStr">
        <is>
          <t>6 物业施工费</t>
        </is>
      </c>
      <c r="F494" s="68" t="inlineStr">
        <is>
          <t>6.1 总承包工程</t>
        </is>
      </c>
      <c r="G494" s="68" t="inlineStr">
        <is>
          <t>6.1.1 内部装修工程</t>
        </is>
      </c>
      <c r="H494" s="68" t="inlineStr">
        <is>
          <t>厨房地面(含不超过50mm厚的找平层)</t>
        </is>
      </c>
      <c r="I494" s="69" t="inlineStr">
        <is>
          <t>1000051756</t>
        </is>
      </c>
      <c r="J494" s="69" t="inlineStr">
        <is>
          <t>600*600mm灰色水泥地砖（共荣，含不超过50mm厚的找平层）</t>
        </is>
      </c>
      <c r="K494" s="70" t="n"/>
      <c r="L494" s="70" t="n"/>
      <c r="M494" s="71" t="inlineStr">
        <is>
          <t>m2</t>
        </is>
      </c>
      <c r="N494" s="72" t="n">
        <v>171.66</v>
      </c>
      <c r="O494" s="72">
        <f>ROUND(N494*(1+$F$10),2)</f>
        <v/>
      </c>
      <c r="P494" s="73">
        <f>ROUND(K494*N494,2)</f>
        <v/>
      </c>
      <c r="Q494" s="74">
        <f>ROUND(L494*N494,2)</f>
        <v/>
      </c>
      <c r="R494" s="75" t="n"/>
      <c r="S494" s="76" t="n"/>
      <c r="T494" s="77">
        <f>K494-L494</f>
        <v/>
      </c>
      <c r="U494" s="77">
        <f>P494-Q494</f>
        <v/>
      </c>
      <c r="V494" s="77">
        <f>ABS(U494)</f>
        <v/>
      </c>
      <c r="W494" s="78">
        <f>T494/L494</f>
        <v/>
      </c>
      <c r="X494" s="79">
        <f>ABS(W494)</f>
        <v/>
      </c>
      <c r="AG494" s="6" t="inlineStr">
        <is>
          <t>踢脚线长度</t>
        </is>
      </c>
    </row>
    <row r="495" ht="11.4" customHeight="1">
      <c r="A495" s="67" t="inlineStr">
        <is>
          <t>55</t>
        </is>
      </c>
      <c r="B495" s="67" t="inlineStr">
        <is>
          <t>1053</t>
        </is>
      </c>
      <c r="C495" s="67" t="inlineStr">
        <is>
          <t>1611</t>
        </is>
      </c>
      <c r="D495" s="68" t="inlineStr">
        <is>
          <t>01</t>
        </is>
      </c>
      <c r="E495" s="68" t="inlineStr">
        <is>
          <t>6 物业施工费</t>
        </is>
      </c>
      <c r="F495" s="68" t="inlineStr">
        <is>
          <t>6.1 总承包工程</t>
        </is>
      </c>
      <c r="G495" s="68" t="inlineStr">
        <is>
          <t>6.1.1 内部装修工程</t>
        </is>
      </c>
      <c r="H495" s="68" t="inlineStr">
        <is>
          <t>厨房地面(含不超过50mm厚的找平层)</t>
        </is>
      </c>
      <c r="I495" s="69" t="inlineStr">
        <is>
          <t>1000051757</t>
        </is>
      </c>
      <c r="J495" s="69" t="inlineStr">
        <is>
          <t>600*600mm灰色水泥地砖（冠军，含不超过50mm厚的找平层）</t>
        </is>
      </c>
      <c r="K495" s="70" t="n"/>
      <c r="L495" s="70" t="n"/>
      <c r="M495" s="71" t="inlineStr">
        <is>
          <t>m2</t>
        </is>
      </c>
      <c r="N495" s="72" t="n">
        <v>189.15</v>
      </c>
      <c r="O495" s="72">
        <f>ROUND(N495*(1+$F$10),2)</f>
        <v/>
      </c>
      <c r="P495" s="73">
        <f>ROUND(K495*N495,2)</f>
        <v/>
      </c>
      <c r="Q495" s="74">
        <f>ROUND(L495*N495,2)</f>
        <v/>
      </c>
      <c r="R495" s="75" t="n"/>
      <c r="S495" s="76" t="n"/>
      <c r="T495" s="77">
        <f>K495-L495</f>
        <v/>
      </c>
      <c r="U495" s="77">
        <f>P495-Q495</f>
        <v/>
      </c>
      <c r="V495" s="77">
        <f>ABS(U495)</f>
        <v/>
      </c>
      <c r="W495" s="78">
        <f>T495/L495</f>
        <v/>
      </c>
      <c r="X495" s="79">
        <f>ABS(W495)</f>
        <v/>
      </c>
      <c r="AG495" s="6" t="inlineStr">
        <is>
          <t>楼板面积+基本墙面积</t>
        </is>
      </c>
    </row>
    <row r="496" ht="11.4" customHeight="1">
      <c r="A496" s="67" t="inlineStr">
        <is>
          <t>55</t>
        </is>
      </c>
      <c r="B496" s="67" t="inlineStr">
        <is>
          <t>1053</t>
        </is>
      </c>
      <c r="C496" s="67" t="inlineStr">
        <is>
          <t>1611</t>
        </is>
      </c>
      <c r="D496" s="68" t="inlineStr">
        <is>
          <t>01</t>
        </is>
      </c>
      <c r="E496" s="68" t="inlineStr">
        <is>
          <t>6 物业施工费</t>
        </is>
      </c>
      <c r="F496" s="68" t="inlineStr">
        <is>
          <t>6.1 总承包工程</t>
        </is>
      </c>
      <c r="G496" s="68" t="inlineStr">
        <is>
          <t>6.1.1 内部装修工程</t>
        </is>
      </c>
      <c r="H496" s="68" t="inlineStr">
        <is>
          <t>厨房地面(含不超过50mm厚的找平层)</t>
        </is>
      </c>
      <c r="I496" s="69" t="inlineStr">
        <is>
          <t>1000053612</t>
        </is>
      </c>
      <c r="J496" s="69" t="inlineStr">
        <is>
          <t>灰色水泥纹踢脚（琛雄）</t>
        </is>
      </c>
      <c r="K496" s="70" t="n"/>
      <c r="L496" s="70" t="n"/>
      <c r="M496" s="71" t="inlineStr">
        <is>
          <t>米</t>
        </is>
      </c>
      <c r="N496" s="72" t="n">
        <v>41.36</v>
      </c>
      <c r="O496" s="72">
        <f>ROUND(N496*(1+$F$10),2)</f>
        <v/>
      </c>
      <c r="P496" s="73">
        <f>ROUND(K496*N496,2)</f>
        <v/>
      </c>
      <c r="Q496" s="74">
        <f>ROUND(L496*N496,2)</f>
        <v/>
      </c>
      <c r="R496" s="75" t="n"/>
      <c r="S496" s="76" t="n"/>
      <c r="T496" s="77">
        <f>K496-L496</f>
        <v/>
      </c>
      <c r="U496" s="77">
        <f>P496-Q496</f>
        <v/>
      </c>
      <c r="V496" s="77">
        <f>ABS(U496)</f>
        <v/>
      </c>
      <c r="W496" s="78">
        <f>T496/L496</f>
        <v/>
      </c>
      <c r="X496" s="79">
        <f>ABS(W496)</f>
        <v/>
      </c>
      <c r="AG496" s="6" t="inlineStr">
        <is>
          <t>踢脚线长度</t>
        </is>
      </c>
    </row>
    <row r="497" ht="11.4" customHeight="1">
      <c r="A497" s="67" t="inlineStr">
        <is>
          <t>55</t>
        </is>
      </c>
      <c r="B497" s="67" t="inlineStr">
        <is>
          <t>1053</t>
        </is>
      </c>
      <c r="C497" s="67" t="inlineStr">
        <is>
          <t>1611</t>
        </is>
      </c>
      <c r="D497" s="68" t="inlineStr">
        <is>
          <t>01</t>
        </is>
      </c>
      <c r="E497" s="68" t="inlineStr">
        <is>
          <t>6 物业施工费</t>
        </is>
      </c>
      <c r="F497" s="68" t="inlineStr">
        <is>
          <t>6.1 总承包工程</t>
        </is>
      </c>
      <c r="G497" s="68" t="inlineStr">
        <is>
          <t>6.1.1 内部装修工程</t>
        </is>
      </c>
      <c r="H497" s="68" t="inlineStr">
        <is>
          <t>厨房地面(含不超过50mm厚的找平层)</t>
        </is>
      </c>
      <c r="I497" s="69" t="inlineStr">
        <is>
          <t>1000053613</t>
        </is>
      </c>
      <c r="J497" s="69" t="inlineStr">
        <is>
          <t>灰色水泥纹踢脚（共荣）</t>
        </is>
      </c>
      <c r="K497" s="70" t="n"/>
      <c r="L497" s="70" t="n"/>
      <c r="M497" s="71" t="inlineStr">
        <is>
          <t>米</t>
        </is>
      </c>
      <c r="N497" s="72" t="n">
        <v>38.94</v>
      </c>
      <c r="O497" s="72">
        <f>ROUND(N497*(1+$F$10),2)</f>
        <v/>
      </c>
      <c r="P497" s="73">
        <f>ROUND(K497*N497,2)</f>
        <v/>
      </c>
      <c r="Q497" s="74">
        <f>ROUND(L497*N497,2)</f>
        <v/>
      </c>
      <c r="R497" s="75" t="n"/>
      <c r="S497" s="76" t="n"/>
      <c r="T497" s="77">
        <f>K497-L497</f>
        <v/>
      </c>
      <c r="U497" s="77">
        <f>P497-Q497</f>
        <v/>
      </c>
      <c r="V497" s="77">
        <f>ABS(U497)</f>
        <v/>
      </c>
      <c r="W497" s="78">
        <f>T497/L497</f>
        <v/>
      </c>
      <c r="X497" s="79">
        <f>ABS(W497)</f>
        <v/>
      </c>
      <c r="AG497" s="6" t="inlineStr">
        <is>
          <t>楼板面积+基本墙面积</t>
        </is>
      </c>
    </row>
    <row r="498" ht="11.4" customHeight="1">
      <c r="A498" s="67" t="inlineStr">
        <is>
          <t>55</t>
        </is>
      </c>
      <c r="B498" s="67" t="inlineStr">
        <is>
          <t>1053</t>
        </is>
      </c>
      <c r="C498" s="67" t="inlineStr">
        <is>
          <t>1611</t>
        </is>
      </c>
      <c r="D498" s="68" t="inlineStr">
        <is>
          <t>01</t>
        </is>
      </c>
      <c r="E498" s="68" t="inlineStr">
        <is>
          <t>6 物业施工费</t>
        </is>
      </c>
      <c r="F498" s="68" t="inlineStr">
        <is>
          <t>6.1 总承包工程</t>
        </is>
      </c>
      <c r="G498" s="68" t="inlineStr">
        <is>
          <t>6.1.1 内部装修工程</t>
        </is>
      </c>
      <c r="H498" s="68" t="inlineStr">
        <is>
          <t>厨房地面(含不超过50mm厚的找平层)</t>
        </is>
      </c>
      <c r="I498" s="69" t="inlineStr">
        <is>
          <t>1000053614</t>
        </is>
      </c>
      <c r="J498" s="69" t="inlineStr">
        <is>
          <t>灰色水泥纹踢脚（冠军）</t>
        </is>
      </c>
      <c r="K498" s="70" t="n"/>
      <c r="L498" s="70" t="n"/>
      <c r="M498" s="71" t="inlineStr">
        <is>
          <t>米</t>
        </is>
      </c>
      <c r="N498" s="72" t="n">
        <v>40.15</v>
      </c>
      <c r="O498" s="72">
        <f>ROUND(N498*(1+$F$10),2)</f>
        <v/>
      </c>
      <c r="P498" s="73">
        <f>ROUND(K498*N498,2)</f>
        <v/>
      </c>
      <c r="Q498" s="74">
        <f>ROUND(L498*N498,2)</f>
        <v/>
      </c>
      <c r="R498" s="75" t="n"/>
      <c r="S498" s="76" t="n"/>
      <c r="T498" s="77">
        <f>K498-L498</f>
        <v/>
      </c>
      <c r="U498" s="77">
        <f>P498-Q498</f>
        <v/>
      </c>
      <c r="V498" s="77">
        <f>ABS(U498)</f>
        <v/>
      </c>
      <c r="W498" s="78">
        <f>T498/L498</f>
        <v/>
      </c>
      <c r="X498" s="79">
        <f>ABS(W498)</f>
        <v/>
      </c>
      <c r="AG498" s="6" t="inlineStr">
        <is>
          <t>踢脚线长度</t>
        </is>
      </c>
    </row>
    <row r="499" ht="11.4" customHeight="1">
      <c r="A499" s="67" t="inlineStr">
        <is>
          <t>55</t>
        </is>
      </c>
      <c r="B499" s="67" t="inlineStr">
        <is>
          <t>1053</t>
        </is>
      </c>
      <c r="C499" s="67" t="inlineStr">
        <is>
          <t>1611</t>
        </is>
      </c>
      <c r="D499" s="68" t="inlineStr">
        <is>
          <t>01</t>
        </is>
      </c>
      <c r="E499" s="68" t="inlineStr">
        <is>
          <t>6 物业施工费</t>
        </is>
      </c>
      <c r="F499" s="68" t="inlineStr">
        <is>
          <t>6.1 总承包工程</t>
        </is>
      </c>
      <c r="G499" s="68" t="inlineStr">
        <is>
          <t>6.1.1 内部装修工程</t>
        </is>
      </c>
      <c r="H499" s="68" t="inlineStr">
        <is>
          <t>厨房地面(含不超过50mm厚的找平层)</t>
        </is>
      </c>
      <c r="I499" s="69" t="inlineStr">
        <is>
          <t>1000021666</t>
        </is>
      </c>
      <c r="J499" s="69" t="inlineStr">
        <is>
          <t>600*600mm水磨石地砖（琛雄，含不超过50mm厚的找平层）</t>
        </is>
      </c>
      <c r="K499" s="70" t="n"/>
      <c r="L499" s="70" t="n"/>
      <c r="M499" s="71" t="inlineStr">
        <is>
          <t>m2</t>
        </is>
      </c>
      <c r="N499" s="72" t="n">
        <v>196.14</v>
      </c>
      <c r="O499" s="72">
        <f>ROUND(N499*(1+$F$10),2)</f>
        <v/>
      </c>
      <c r="P499" s="73">
        <f>ROUND(K499*N499,2)</f>
        <v/>
      </c>
      <c r="Q499" s="74">
        <f>ROUND(L499*N499,2)</f>
        <v/>
      </c>
      <c r="R499" s="75" t="n"/>
      <c r="S499" s="76" t="n"/>
      <c r="T499" s="77">
        <f>K499-L499</f>
        <v/>
      </c>
      <c r="U499" s="77">
        <f>P499-Q499</f>
        <v/>
      </c>
      <c r="V499" s="77">
        <f>ABS(U499)</f>
        <v/>
      </c>
      <c r="W499" s="78">
        <f>T499/L499</f>
        <v/>
      </c>
      <c r="X499" s="79">
        <f>ABS(W499)</f>
        <v/>
      </c>
      <c r="AG499" s="6" t="inlineStr">
        <is>
          <t>楼板面积+基本墙面积</t>
        </is>
      </c>
    </row>
    <row r="500" ht="11.4" customHeight="1">
      <c r="A500" s="67" t="inlineStr">
        <is>
          <t>55</t>
        </is>
      </c>
      <c r="B500" s="67" t="inlineStr">
        <is>
          <t>1053</t>
        </is>
      </c>
      <c r="C500" s="67" t="inlineStr">
        <is>
          <t>1611</t>
        </is>
      </c>
      <c r="D500" s="68" t="inlineStr">
        <is>
          <t>01</t>
        </is>
      </c>
      <c r="E500" s="68" t="inlineStr">
        <is>
          <t>6 物业施工费</t>
        </is>
      </c>
      <c r="F500" s="68" t="inlineStr">
        <is>
          <t>6.1 总承包工程</t>
        </is>
      </c>
      <c r="G500" s="68" t="inlineStr">
        <is>
          <t>6.1.1 内部装修工程</t>
        </is>
      </c>
      <c r="H500" s="68" t="inlineStr">
        <is>
          <t>厨房地面(含不超过50mm厚的找平层)</t>
        </is>
      </c>
      <c r="I500" s="69" t="inlineStr">
        <is>
          <t>1000021667</t>
        </is>
      </c>
      <c r="J500" s="69" t="inlineStr">
        <is>
          <t>琛雄水磨石踢脚</t>
        </is>
      </c>
      <c r="K500" s="70" t="n"/>
      <c r="L500" s="70" t="n"/>
      <c r="M500" s="71" t="inlineStr">
        <is>
          <t>米</t>
        </is>
      </c>
      <c r="N500" s="72" t="n">
        <v>41.47</v>
      </c>
      <c r="O500" s="72">
        <f>ROUND(N500*(1+$F$10),2)</f>
        <v/>
      </c>
      <c r="P500" s="73">
        <f>ROUND(K500*N500,2)</f>
        <v/>
      </c>
      <c r="Q500" s="74">
        <f>ROUND(L500*N500,2)</f>
        <v/>
      </c>
      <c r="R500" s="75" t="n"/>
      <c r="S500" s="76" t="n"/>
      <c r="T500" s="77">
        <f>K500-L500</f>
        <v/>
      </c>
      <c r="U500" s="77">
        <f>P500-Q500</f>
        <v/>
      </c>
      <c r="V500" s="77">
        <f>ABS(U500)</f>
        <v/>
      </c>
      <c r="W500" s="78">
        <f>T500/L500</f>
        <v/>
      </c>
      <c r="X500" s="79">
        <f>ABS(W500)</f>
        <v/>
      </c>
      <c r="AG500" s="6" t="inlineStr">
        <is>
          <t>踢脚线长度</t>
        </is>
      </c>
    </row>
    <row r="501" ht="11.4" customHeight="1">
      <c r="A501" s="67" t="inlineStr">
        <is>
          <t>55</t>
        </is>
      </c>
      <c r="B501" s="67" t="inlineStr">
        <is>
          <t>1053</t>
        </is>
      </c>
      <c r="C501" s="67" t="inlineStr">
        <is>
          <t>1611</t>
        </is>
      </c>
      <c r="D501" s="68" t="inlineStr">
        <is>
          <t>01</t>
        </is>
      </c>
      <c r="E501" s="68" t="inlineStr">
        <is>
          <t>6 物业施工费</t>
        </is>
      </c>
      <c r="F501" s="68" t="inlineStr">
        <is>
          <t>6.1 总承包工程</t>
        </is>
      </c>
      <c r="G501" s="68" t="inlineStr">
        <is>
          <t>6.1.1 内部装修工程</t>
        </is>
      </c>
      <c r="H501" s="68" t="inlineStr">
        <is>
          <t>厨房地面(含不超过50mm厚的找平层)</t>
        </is>
      </c>
      <c r="I501" s="69" t="inlineStr">
        <is>
          <t>1000021462</t>
        </is>
      </c>
      <c r="J501" s="69" t="inlineStr">
        <is>
          <t>600*600mm水磨石地砖（共荣，含不超过50mm厚的找平层）</t>
        </is>
      </c>
      <c r="K501" s="70" t="n"/>
      <c r="L501" s="70" t="n"/>
      <c r="M501" s="71" t="inlineStr">
        <is>
          <t>m2</t>
        </is>
      </c>
      <c r="N501" s="72" t="n">
        <v>179.82</v>
      </c>
      <c r="O501" s="72">
        <f>ROUND(N501*(1+$F$10),2)</f>
        <v/>
      </c>
      <c r="P501" s="73">
        <f>ROUND(K501*N501,2)</f>
        <v/>
      </c>
      <c r="Q501" s="74">
        <f>ROUND(L501*N501,2)</f>
        <v/>
      </c>
      <c r="R501" s="75" t="n"/>
      <c r="S501" s="76" t="n"/>
      <c r="T501" s="77">
        <f>K501-L501</f>
        <v/>
      </c>
      <c r="U501" s="77">
        <f>P501-Q501</f>
        <v/>
      </c>
      <c r="V501" s="77">
        <f>ABS(U501)</f>
        <v/>
      </c>
      <c r="W501" s="78">
        <f>T501/L501</f>
        <v/>
      </c>
      <c r="X501" s="79">
        <f>ABS(W501)</f>
        <v/>
      </c>
      <c r="AG501" s="6" t="inlineStr">
        <is>
          <t>楼板面积+基本墙面积</t>
        </is>
      </c>
    </row>
    <row r="502" ht="11.4" customHeight="1">
      <c r="A502" s="67" t="inlineStr">
        <is>
          <t>55</t>
        </is>
      </c>
      <c r="B502" s="67" t="inlineStr">
        <is>
          <t>1053</t>
        </is>
      </c>
      <c r="C502" s="67" t="inlineStr">
        <is>
          <t>1611</t>
        </is>
      </c>
      <c r="D502" s="68" t="inlineStr">
        <is>
          <t>01</t>
        </is>
      </c>
      <c r="E502" s="68" t="inlineStr">
        <is>
          <t>6 物业施工费</t>
        </is>
      </c>
      <c r="F502" s="68" t="inlineStr">
        <is>
          <t>6.1 总承包工程</t>
        </is>
      </c>
      <c r="G502" s="68" t="inlineStr">
        <is>
          <t>6.1.1 内部装修工程</t>
        </is>
      </c>
      <c r="H502" s="68" t="inlineStr">
        <is>
          <t>厨房地面(含不超过50mm厚的找平层)</t>
        </is>
      </c>
      <c r="I502" s="69" t="inlineStr">
        <is>
          <t>1000021463</t>
        </is>
      </c>
      <c r="J502" s="69" t="inlineStr">
        <is>
          <t>共荣水磨石踢脚</t>
        </is>
      </c>
      <c r="K502" s="70" t="n"/>
      <c r="L502" s="70" t="n"/>
      <c r="M502" s="71" t="inlineStr">
        <is>
          <t>米</t>
        </is>
      </c>
      <c r="N502" s="72" t="n">
        <v>37.84</v>
      </c>
      <c r="O502" s="72">
        <f>ROUND(N502*(1+$F$10),2)</f>
        <v/>
      </c>
      <c r="P502" s="73">
        <f>ROUND(K502*N502,2)</f>
        <v/>
      </c>
      <c r="Q502" s="74">
        <f>ROUND(L502*N502,2)</f>
        <v/>
      </c>
      <c r="R502" s="75" t="n"/>
      <c r="S502" s="76" t="n"/>
      <c r="T502" s="77">
        <f>K502-L502</f>
        <v/>
      </c>
      <c r="U502" s="77">
        <f>P502-Q502</f>
        <v/>
      </c>
      <c r="V502" s="77">
        <f>ABS(U502)</f>
        <v/>
      </c>
      <c r="W502" s="78">
        <f>T502/L502</f>
        <v/>
      </c>
      <c r="X502" s="79">
        <f>ABS(W502)</f>
        <v/>
      </c>
      <c r="AG502" s="6" t="inlineStr">
        <is>
          <t>踢脚线长度</t>
        </is>
      </c>
    </row>
    <row r="503" ht="11.4" customHeight="1">
      <c r="A503" s="67" t="inlineStr">
        <is>
          <t>55</t>
        </is>
      </c>
      <c r="B503" s="67" t="inlineStr">
        <is>
          <t>1053</t>
        </is>
      </c>
      <c r="C503" s="67" t="inlineStr">
        <is>
          <t>1611</t>
        </is>
      </c>
      <c r="D503" s="68" t="inlineStr">
        <is>
          <t>01</t>
        </is>
      </c>
      <c r="E503" s="68" t="inlineStr">
        <is>
          <t>6 物业施工费</t>
        </is>
      </c>
      <c r="F503" s="68" t="inlineStr">
        <is>
          <t>6.1 总承包工程</t>
        </is>
      </c>
      <c r="G503" s="68" t="inlineStr">
        <is>
          <t>6.1.1 内部装修工程</t>
        </is>
      </c>
      <c r="H503" s="68" t="inlineStr">
        <is>
          <t>厨房地面(含不超过50mm厚的找平层)</t>
        </is>
      </c>
      <c r="I503" s="69" t="inlineStr">
        <is>
          <t>1000021668</t>
        </is>
      </c>
      <c r="J503" s="69" t="inlineStr">
        <is>
          <t>600*600mm水磨石地砖（冠军，含不超过50mm厚的找平层）</t>
        </is>
      </c>
      <c r="K503" s="70" t="n"/>
      <c r="L503" s="70" t="n"/>
      <c r="M503" s="71" t="inlineStr">
        <is>
          <t>m2</t>
        </is>
      </c>
      <c r="N503" s="72" t="n">
        <v>193.81</v>
      </c>
      <c r="O503" s="72">
        <f>ROUND(N503*(1+$F$10),2)</f>
        <v/>
      </c>
      <c r="P503" s="73">
        <f>ROUND(K503*N503,2)</f>
        <v/>
      </c>
      <c r="Q503" s="74">
        <f>ROUND(L503*N503,2)</f>
        <v/>
      </c>
      <c r="R503" s="75" t="n"/>
      <c r="S503" s="76" t="n"/>
      <c r="T503" s="77">
        <f>K503-L503</f>
        <v/>
      </c>
      <c r="U503" s="77">
        <f>P503-Q503</f>
        <v/>
      </c>
      <c r="V503" s="77">
        <f>ABS(U503)</f>
        <v/>
      </c>
      <c r="W503" s="78">
        <f>T503/L503</f>
        <v/>
      </c>
      <c r="X503" s="79">
        <f>ABS(W503)</f>
        <v/>
      </c>
      <c r="AG503" s="6" t="inlineStr">
        <is>
          <t>楼板面积+基本墙面积</t>
        </is>
      </c>
    </row>
    <row r="504" ht="11.4" customHeight="1">
      <c r="A504" s="67" t="inlineStr">
        <is>
          <t>55</t>
        </is>
      </c>
      <c r="B504" s="67" t="inlineStr">
        <is>
          <t>1053</t>
        </is>
      </c>
      <c r="C504" s="67" t="inlineStr">
        <is>
          <t>1611</t>
        </is>
      </c>
      <c r="D504" s="68" t="inlineStr">
        <is>
          <t>01</t>
        </is>
      </c>
      <c r="E504" s="68" t="inlineStr">
        <is>
          <t>6 物业施工费</t>
        </is>
      </c>
      <c r="F504" s="68" t="inlineStr">
        <is>
          <t>6.1 总承包工程</t>
        </is>
      </c>
      <c r="G504" s="68" t="inlineStr">
        <is>
          <t>6.1.1 内部装修工程</t>
        </is>
      </c>
      <c r="H504" s="68" t="inlineStr">
        <is>
          <t>厨房地面(含不超过50mm厚的找平层)</t>
        </is>
      </c>
      <c r="I504" s="69" t="inlineStr">
        <is>
          <t>1000021669</t>
        </is>
      </c>
      <c r="J504" s="69" t="inlineStr">
        <is>
          <t>冠军水磨石踢脚</t>
        </is>
      </c>
      <c r="K504" s="70" t="n"/>
      <c r="L504" s="70" t="n"/>
      <c r="M504" s="71" t="inlineStr">
        <is>
          <t>米</t>
        </is>
      </c>
      <c r="N504" s="72" t="n">
        <v>39.05</v>
      </c>
      <c r="O504" s="72">
        <f>ROUND(N504*(1+$F$10),2)</f>
        <v/>
      </c>
      <c r="P504" s="73">
        <f>ROUND(K504*N504,2)</f>
        <v/>
      </c>
      <c r="Q504" s="74">
        <f>ROUND(L504*N504,2)</f>
        <v/>
      </c>
      <c r="R504" s="75" t="n"/>
      <c r="S504" s="76" t="n"/>
      <c r="T504" s="77">
        <f>K504-L504</f>
        <v/>
      </c>
      <c r="U504" s="77">
        <f>P504-Q504</f>
        <v/>
      </c>
      <c r="V504" s="77">
        <f>ABS(U504)</f>
        <v/>
      </c>
      <c r="W504" s="78">
        <f>T504/L504</f>
        <v/>
      </c>
      <c r="X504" s="79">
        <f>ABS(W504)</f>
        <v/>
      </c>
      <c r="AG504" s="6" t="inlineStr">
        <is>
          <t>踢脚线长度</t>
        </is>
      </c>
    </row>
    <row r="505" ht="11.4" customHeight="1">
      <c r="A505" s="67" t="inlineStr">
        <is>
          <t>55</t>
        </is>
      </c>
      <c r="B505" s="67" t="inlineStr">
        <is>
          <t>1053</t>
        </is>
      </c>
      <c r="C505" s="67" t="inlineStr">
        <is>
          <t>1611</t>
        </is>
      </c>
      <c r="D505" s="68" t="inlineStr">
        <is>
          <t>01</t>
        </is>
      </c>
      <c r="E505" s="68" t="inlineStr">
        <is>
          <t>6 物业施工费</t>
        </is>
      </c>
      <c r="F505" s="68" t="inlineStr">
        <is>
          <t>6.1 总承包工程</t>
        </is>
      </c>
      <c r="G505" s="68" t="inlineStr">
        <is>
          <t>6.1.1 内部装修工程</t>
        </is>
      </c>
      <c r="H505" s="68" t="inlineStr">
        <is>
          <t>厨房地面(含不超过50mm厚的找平层)</t>
        </is>
      </c>
      <c r="I505" s="69" t="inlineStr">
        <is>
          <t>1000021824</t>
        </is>
      </c>
      <c r="J505" s="69" t="inlineStr">
        <is>
          <t>冷库水泥地面</t>
        </is>
      </c>
      <c r="K505" s="70" t="n">
        <v>10.28</v>
      </c>
      <c r="L505" s="70" t="n">
        <v>10.28</v>
      </c>
      <c r="M505" s="71" t="inlineStr">
        <is>
          <t>m2</t>
        </is>
      </c>
      <c r="N505" s="72" t="n">
        <v>46.31</v>
      </c>
      <c r="O505" s="72">
        <f>ROUND(N505*(1+$F$10),2)</f>
        <v/>
      </c>
      <c r="P505" s="73">
        <f>ROUND(K505*N505,2)</f>
        <v/>
      </c>
      <c r="Q505" s="74">
        <f>ROUND(L505*N505,2)</f>
        <v/>
      </c>
      <c r="R505" s="75" t="n"/>
      <c r="S505" s="76" t="n"/>
      <c r="T505" s="77">
        <f>K505-L505</f>
        <v/>
      </c>
      <c r="U505" s="77">
        <f>P505-Q505</f>
        <v/>
      </c>
      <c r="V505" s="77">
        <f>ABS(U505)</f>
        <v/>
      </c>
      <c r="W505" s="78">
        <f>T505/L505</f>
        <v/>
      </c>
      <c r="X505" s="79">
        <f>ABS(W505)</f>
        <v/>
      </c>
      <c r="AG505" s="80" t="inlineStr">
        <is>
          <t>楼板面积</t>
        </is>
      </c>
    </row>
    <row r="506" ht="11.4" customHeight="1">
      <c r="A506" s="67" t="inlineStr">
        <is>
          <t>55</t>
        </is>
      </c>
      <c r="B506" s="67" t="inlineStr">
        <is>
          <t>1053</t>
        </is>
      </c>
      <c r="C506" s="67" t="inlineStr">
        <is>
          <t>1611</t>
        </is>
      </c>
      <c r="D506" s="68" t="inlineStr">
        <is>
          <t>01</t>
        </is>
      </c>
      <c r="E506" s="68" t="inlineStr">
        <is>
          <t>6 物业施工费</t>
        </is>
      </c>
      <c r="F506" s="68" t="inlineStr">
        <is>
          <t>6.1 总承包工程</t>
        </is>
      </c>
      <c r="G506" s="68" t="inlineStr">
        <is>
          <t>6.1.1 内部装修工程</t>
        </is>
      </c>
      <c r="H506" s="68" t="inlineStr">
        <is>
          <t>厨房墙面（不含员休室）</t>
        </is>
      </c>
      <c r="I506" s="69" t="inlineStr">
        <is>
          <t>1000021518</t>
        </is>
      </c>
      <c r="J506" s="69" t="inlineStr">
        <is>
          <t>200x200x8mm白瓷砖（琛雄）</t>
        </is>
      </c>
      <c r="K506" s="70" t="n"/>
      <c r="L506" s="70" t="n"/>
      <c r="M506" s="71" t="inlineStr">
        <is>
          <t>m2</t>
        </is>
      </c>
      <c r="N506" s="72" t="n">
        <v>118.11</v>
      </c>
      <c r="O506" s="72">
        <f>ROUND(N506*(1+$F$10),2)</f>
        <v/>
      </c>
      <c r="P506" s="73">
        <f>ROUND(K506*N506,2)</f>
        <v/>
      </c>
      <c r="Q506" s="74">
        <f>ROUND(L506*N506,2)</f>
        <v/>
      </c>
      <c r="R506" s="75" t="n"/>
      <c r="S506" s="76" t="n"/>
      <c r="T506" s="77">
        <f>K506-L506</f>
        <v/>
      </c>
      <c r="U506" s="77">
        <f>P506-Q506</f>
        <v/>
      </c>
      <c r="V506" s="77">
        <f>ABS(U506)</f>
        <v/>
      </c>
      <c r="W506" s="78">
        <f>T506/L506</f>
        <v/>
      </c>
      <c r="X506" s="79">
        <f>ABS(W506)</f>
        <v/>
      </c>
      <c r="AG506" s="6" t="inlineStr">
        <is>
          <t>基本墙面积</t>
        </is>
      </c>
    </row>
    <row r="507" ht="11.4" customHeight="1">
      <c r="A507" s="67" t="inlineStr">
        <is>
          <t>55</t>
        </is>
      </c>
      <c r="B507" s="67" t="inlineStr">
        <is>
          <t>1053</t>
        </is>
      </c>
      <c r="C507" s="67" t="inlineStr">
        <is>
          <t>1611</t>
        </is>
      </c>
      <c r="D507" s="68" t="inlineStr">
        <is>
          <t>01</t>
        </is>
      </c>
      <c r="E507" s="68" t="inlineStr">
        <is>
          <t>6 物业施工费</t>
        </is>
      </c>
      <c r="F507" s="68" t="inlineStr">
        <is>
          <t>6.1 总承包工程</t>
        </is>
      </c>
      <c r="G507" s="68" t="inlineStr">
        <is>
          <t>6.1.1 内部装修工程</t>
        </is>
      </c>
      <c r="H507" s="68" t="inlineStr">
        <is>
          <t>厨房墙面（不含员休室）</t>
        </is>
      </c>
      <c r="I507" s="69" t="inlineStr">
        <is>
          <t>1000021656</t>
        </is>
      </c>
      <c r="J507" s="69" t="inlineStr">
        <is>
          <t>200x200x8mm白瓷砖（共荣）</t>
        </is>
      </c>
      <c r="K507" s="70" t="n"/>
      <c r="L507" s="70" t="n"/>
      <c r="M507" s="71" t="inlineStr">
        <is>
          <t>m2</t>
        </is>
      </c>
      <c r="N507" s="72" t="n">
        <v>113.49</v>
      </c>
      <c r="O507" s="72">
        <f>ROUND(N507*(1+$F$10),2)</f>
        <v/>
      </c>
      <c r="P507" s="73">
        <f>ROUND(K507*N507,2)</f>
        <v/>
      </c>
      <c r="Q507" s="74">
        <f>ROUND(L507*N507,2)</f>
        <v/>
      </c>
      <c r="R507" s="75" t="n"/>
      <c r="S507" s="76" t="n"/>
      <c r="T507" s="77">
        <f>K507-L507</f>
        <v/>
      </c>
      <c r="U507" s="77">
        <f>P507-Q507</f>
        <v/>
      </c>
      <c r="V507" s="77">
        <f>ABS(U507)</f>
        <v/>
      </c>
      <c r="W507" s="78">
        <f>T507/L507</f>
        <v/>
      </c>
      <c r="X507" s="79">
        <f>ABS(W507)</f>
        <v/>
      </c>
      <c r="AG507" s="6" t="inlineStr">
        <is>
          <t>基本墙面积</t>
        </is>
      </c>
    </row>
    <row r="508" ht="11.4" customHeight="1">
      <c r="A508" s="67" t="inlineStr">
        <is>
          <t>55</t>
        </is>
      </c>
      <c r="B508" s="67" t="inlineStr">
        <is>
          <t>1053</t>
        </is>
      </c>
      <c r="C508" s="67" t="inlineStr">
        <is>
          <t>1611</t>
        </is>
      </c>
      <c r="D508" s="68" t="inlineStr">
        <is>
          <t>01</t>
        </is>
      </c>
      <c r="E508" s="68" t="inlineStr">
        <is>
          <t>6 物业施工费</t>
        </is>
      </c>
      <c r="F508" s="68" t="inlineStr">
        <is>
          <t>6.1 总承包工程</t>
        </is>
      </c>
      <c r="G508" s="68" t="inlineStr">
        <is>
          <t>6.1.1 内部装修工程</t>
        </is>
      </c>
      <c r="H508" s="68" t="inlineStr">
        <is>
          <t>厨房墙面（不含员休室）</t>
        </is>
      </c>
      <c r="I508" s="69" t="inlineStr">
        <is>
          <t>1000021703</t>
        </is>
      </c>
      <c r="J508" s="69" t="inlineStr">
        <is>
          <t>200x200x8mm白瓷砖（冠军）</t>
        </is>
      </c>
      <c r="K508" s="70" t="n">
        <v>124.93</v>
      </c>
      <c r="L508" s="70" t="n">
        <v>124.46</v>
      </c>
      <c r="M508" s="71" t="inlineStr">
        <is>
          <t>m2</t>
        </is>
      </c>
      <c r="N508" s="72" t="n">
        <v>118.11</v>
      </c>
      <c r="O508" s="72">
        <f>ROUND(N508*(1+$F$10),2)</f>
        <v/>
      </c>
      <c r="P508" s="73">
        <f>ROUND(K508*N508,2)</f>
        <v/>
      </c>
      <c r="Q508" s="74">
        <f>ROUND(L508*N508,2)</f>
        <v/>
      </c>
      <c r="R508" s="75" t="n"/>
      <c r="S508" s="76" t="n"/>
      <c r="T508" s="77">
        <f>K508-L508</f>
        <v/>
      </c>
      <c r="U508" s="77">
        <f>P508-Q508</f>
        <v/>
      </c>
      <c r="V508" s="77">
        <f>ABS(U508)</f>
        <v/>
      </c>
      <c r="W508" s="78">
        <f>T508/L508</f>
        <v/>
      </c>
      <c r="X508" s="79">
        <f>ABS(W508)</f>
        <v/>
      </c>
      <c r="AG508" s="6" t="inlineStr">
        <is>
          <t>基本墙面积</t>
        </is>
      </c>
    </row>
    <row r="509" ht="11.4" customHeight="1">
      <c r="A509" s="67" t="inlineStr">
        <is>
          <t>55</t>
        </is>
      </c>
      <c r="B509" s="67" t="inlineStr">
        <is>
          <t>1053</t>
        </is>
      </c>
      <c r="C509" s="67" t="inlineStr">
        <is>
          <t>1611</t>
        </is>
      </c>
      <c r="D509" s="68" t="inlineStr">
        <is>
          <t>01</t>
        </is>
      </c>
      <c r="E509" s="68" t="inlineStr">
        <is>
          <t>6 物业施工费</t>
        </is>
      </c>
      <c r="F509" s="68" t="inlineStr">
        <is>
          <t>6.1 总承包工程</t>
        </is>
      </c>
      <c r="G509" s="68" t="inlineStr">
        <is>
          <t>6.1.1 内部装修工程</t>
        </is>
      </c>
      <c r="H509" s="68" t="inlineStr">
        <is>
          <t>厨房墙面（不含员休室）</t>
        </is>
      </c>
      <c r="I509" s="69" t="inlineStr">
        <is>
          <t>1000021825</t>
        </is>
      </c>
      <c r="J509" s="69" t="inlineStr">
        <is>
          <t>后区墙面贴发丝不锈钢</t>
        </is>
      </c>
      <c r="K509" s="70" t="n"/>
      <c r="L509" s="70" t="n"/>
      <c r="M509" s="71" t="inlineStr">
        <is>
          <t>m2</t>
        </is>
      </c>
      <c r="N509" s="72" t="n">
        <v>467.36</v>
      </c>
      <c r="O509" s="72">
        <f>ROUND(N509*(1+$F$10),2)</f>
        <v/>
      </c>
      <c r="P509" s="73">
        <f>ROUND(K509*N509,2)</f>
        <v/>
      </c>
      <c r="Q509" s="74">
        <f>ROUND(L509*N509,2)</f>
        <v/>
      </c>
      <c r="R509" s="75" t="n"/>
      <c r="S509" s="76" t="n"/>
      <c r="T509" s="77">
        <f>K509-L509</f>
        <v/>
      </c>
      <c r="U509" s="77">
        <f>P509-Q509</f>
        <v/>
      </c>
      <c r="V509" s="77">
        <f>ABS(U509)</f>
        <v/>
      </c>
      <c r="W509" s="78">
        <f>T509/L509</f>
        <v/>
      </c>
      <c r="X509" s="79">
        <f>ABS(W509)</f>
        <v/>
      </c>
      <c r="AG509" s="80" t="inlineStr">
        <is>
          <t>基本墙面积</t>
        </is>
      </c>
    </row>
    <row r="510" ht="11.4" customHeight="1">
      <c r="A510" s="67" t="inlineStr">
        <is>
          <t>55</t>
        </is>
      </c>
      <c r="B510" s="67" t="inlineStr">
        <is>
          <t>1053</t>
        </is>
      </c>
      <c r="C510" s="67" t="inlineStr">
        <is>
          <t>1611</t>
        </is>
      </c>
      <c r="D510" s="68" t="inlineStr">
        <is>
          <t>01</t>
        </is>
      </c>
      <c r="E510" s="68" t="inlineStr">
        <is>
          <t>6 物业施工费</t>
        </is>
      </c>
      <c r="F510" s="68" t="inlineStr">
        <is>
          <t>6.1 总承包工程</t>
        </is>
      </c>
      <c r="G510" s="68" t="inlineStr">
        <is>
          <t>6.1.1 内部装修工程</t>
        </is>
      </c>
      <c r="H510" s="68" t="inlineStr">
        <is>
          <t>厨房墙面（不含员休室）</t>
        </is>
      </c>
      <c r="I510" s="69" t="inlineStr">
        <is>
          <t>1000021826</t>
        </is>
      </c>
      <c r="J510" s="69" t="inlineStr">
        <is>
          <t>60x60x2.5 发丝不锈钢护角</t>
        </is>
      </c>
      <c r="K510" s="70" t="n">
        <v>7</v>
      </c>
      <c r="L510" s="70" t="n">
        <v>7</v>
      </c>
      <c r="M510" s="71" t="inlineStr">
        <is>
          <t>件</t>
        </is>
      </c>
      <c r="N510" s="72" t="n">
        <v>184.69</v>
      </c>
      <c r="O510" s="72">
        <f>ROUND(N510*(1+$F$10),2)</f>
        <v/>
      </c>
      <c r="P510" s="73">
        <f>ROUND(K510*N510,2)</f>
        <v/>
      </c>
      <c r="Q510" s="74">
        <f>ROUND(L510*N510,2)</f>
        <v/>
      </c>
      <c r="R510" s="75" t="n"/>
      <c r="S510" s="76" t="n"/>
      <c r="T510" s="77">
        <f>K510-L510</f>
        <v/>
      </c>
      <c r="U510" s="77">
        <f>P510-Q510</f>
        <v/>
      </c>
      <c r="V510" s="77">
        <f>ABS(U510)</f>
        <v/>
      </c>
      <c r="W510" s="78">
        <f>T510/L510</f>
        <v/>
      </c>
      <c r="X510" s="79">
        <f>ABS(W510)</f>
        <v/>
      </c>
    </row>
    <row r="511" ht="11.4" customHeight="1">
      <c r="A511" s="67" t="inlineStr">
        <is>
          <t>55</t>
        </is>
      </c>
      <c r="B511" s="67" t="inlineStr">
        <is>
          <t>1053</t>
        </is>
      </c>
      <c r="C511" s="67" t="inlineStr">
        <is>
          <t>1611</t>
        </is>
      </c>
      <c r="D511" s="68" t="inlineStr">
        <is>
          <t>01</t>
        </is>
      </c>
      <c r="E511" s="68" t="inlineStr">
        <is>
          <t>6 物业施工费</t>
        </is>
      </c>
      <c r="F511" s="68" t="inlineStr">
        <is>
          <t>6.1 总承包工程</t>
        </is>
      </c>
      <c r="G511" s="68" t="inlineStr">
        <is>
          <t>6.1.1 内部装修工程</t>
        </is>
      </c>
      <c r="H511" s="68" t="inlineStr">
        <is>
          <t>厨房墙面（不含员休室）</t>
        </is>
      </c>
      <c r="I511" s="69" t="inlineStr">
        <is>
          <t>1000021827</t>
        </is>
      </c>
      <c r="J511" s="69" t="inlineStr">
        <is>
          <t>60x180x60x2.5 U型发丝不锈钢护角</t>
        </is>
      </c>
      <c r="K511" s="70" t="n">
        <v>2</v>
      </c>
      <c r="L511" s="70" t="n">
        <v>2</v>
      </c>
      <c r="M511" s="71" t="inlineStr">
        <is>
          <t>件</t>
        </is>
      </c>
      <c r="N511" s="72" t="n">
        <v>374.99</v>
      </c>
      <c r="O511" s="72">
        <f>ROUND(N511*(1+$F$10),2)</f>
        <v/>
      </c>
      <c r="P511" s="73">
        <f>ROUND(K511*N511,2)</f>
        <v/>
      </c>
      <c r="Q511" s="74">
        <f>ROUND(L511*N511,2)</f>
        <v/>
      </c>
      <c r="R511" s="75" t="n"/>
      <c r="S511" s="76" t="n"/>
      <c r="T511" s="77">
        <f>K511-L511</f>
        <v/>
      </c>
      <c r="U511" s="77">
        <f>P511-Q511</f>
        <v/>
      </c>
      <c r="V511" s="77">
        <f>ABS(U511)</f>
        <v/>
      </c>
      <c r="W511" s="78">
        <f>T511/L511</f>
        <v/>
      </c>
      <c r="X511" s="79">
        <f>ABS(W511)</f>
        <v/>
      </c>
    </row>
    <row r="512" ht="11.4" customHeight="1">
      <c r="A512" s="67" t="inlineStr">
        <is>
          <t>55</t>
        </is>
      </c>
      <c r="B512" s="67" t="inlineStr">
        <is>
          <t>1053</t>
        </is>
      </c>
      <c r="C512" s="67" t="inlineStr">
        <is>
          <t>1611</t>
        </is>
      </c>
      <c r="D512" s="68" t="inlineStr">
        <is>
          <t>01</t>
        </is>
      </c>
      <c r="E512" s="68" t="inlineStr">
        <is>
          <t>6 物业施工费</t>
        </is>
      </c>
      <c r="F512" s="68" t="inlineStr">
        <is>
          <t>6.1 总承包工程</t>
        </is>
      </c>
      <c r="G512" s="68" t="inlineStr">
        <is>
          <t>6.1.1 内部装修工程</t>
        </is>
      </c>
      <c r="H512" s="68" t="inlineStr">
        <is>
          <t>厨房墙面（不含员休室）</t>
        </is>
      </c>
      <c r="I512" s="69" t="inlineStr">
        <is>
          <t>1000021635</t>
        </is>
      </c>
      <c r="J512" s="69" t="inlineStr">
        <is>
          <t>墙面其它面砖（琛雄）</t>
        </is>
      </c>
      <c r="K512" s="70" t="n"/>
      <c r="L512" s="70" t="n"/>
      <c r="M512" s="71" t="inlineStr">
        <is>
          <t>m2</t>
        </is>
      </c>
      <c r="N512" s="72" t="n">
        <v>167.98</v>
      </c>
      <c r="O512" s="72">
        <f>ROUND(N512*(1+$F$10),2)</f>
        <v/>
      </c>
      <c r="P512" s="73">
        <f>ROUND(K512*N512,2)</f>
        <v/>
      </c>
      <c r="Q512" s="74">
        <f>ROUND(L512*N512,2)</f>
        <v/>
      </c>
      <c r="R512" s="75" t="n"/>
      <c r="S512" s="76" t="n"/>
      <c r="T512" s="77">
        <f>K512-L512</f>
        <v/>
      </c>
      <c r="U512" s="77">
        <f>P512-Q512</f>
        <v/>
      </c>
      <c r="V512" s="77">
        <f>ABS(U512)</f>
        <v/>
      </c>
      <c r="W512" s="78">
        <f>T512/L512</f>
        <v/>
      </c>
      <c r="X512" s="79">
        <f>ABS(W512)</f>
        <v/>
      </c>
      <c r="AG512" s="80" t="inlineStr">
        <is>
          <t>基本墙面积</t>
        </is>
      </c>
    </row>
    <row r="513" ht="11.4" customHeight="1">
      <c r="A513" s="67" t="inlineStr">
        <is>
          <t>55</t>
        </is>
      </c>
      <c r="B513" s="67" t="inlineStr">
        <is>
          <t>1053</t>
        </is>
      </c>
      <c r="C513" s="67" t="inlineStr">
        <is>
          <t>1611</t>
        </is>
      </c>
      <c r="D513" s="68" t="inlineStr">
        <is>
          <t>01</t>
        </is>
      </c>
      <c r="E513" s="68" t="inlineStr">
        <is>
          <t>6 物业施工费</t>
        </is>
      </c>
      <c r="F513" s="68" t="inlineStr">
        <is>
          <t>6.1 总承包工程</t>
        </is>
      </c>
      <c r="G513" s="68" t="inlineStr">
        <is>
          <t>6.1.1 内部装修工程</t>
        </is>
      </c>
      <c r="H513" s="68" t="inlineStr">
        <is>
          <t>厨房墙面（不含员休室）</t>
        </is>
      </c>
      <c r="I513" s="69" t="inlineStr">
        <is>
          <t>1000021657</t>
        </is>
      </c>
      <c r="J513" s="69" t="inlineStr">
        <is>
          <t>墙面其它面砖（共荣）</t>
        </is>
      </c>
      <c r="K513" s="70" t="n"/>
      <c r="L513" s="70" t="n"/>
      <c r="M513" s="71" t="inlineStr">
        <is>
          <t>m2</t>
        </is>
      </c>
      <c r="N513" s="72" t="n">
        <v>147.41</v>
      </c>
      <c r="O513" s="72">
        <f>ROUND(N513*(1+$F$10),2)</f>
        <v/>
      </c>
      <c r="P513" s="73">
        <f>ROUND(K513*N513,2)</f>
        <v/>
      </c>
      <c r="Q513" s="74">
        <f>ROUND(L513*N513,2)</f>
        <v/>
      </c>
      <c r="R513" s="75" t="n"/>
      <c r="S513" s="76" t="n"/>
      <c r="T513" s="77">
        <f>K513-L513</f>
        <v/>
      </c>
      <c r="U513" s="77">
        <f>P513-Q513</f>
        <v/>
      </c>
      <c r="V513" s="77">
        <f>ABS(U513)</f>
        <v/>
      </c>
      <c r="W513" s="78">
        <f>T513/L513</f>
        <v/>
      </c>
      <c r="X513" s="79">
        <f>ABS(W513)</f>
        <v/>
      </c>
      <c r="AG513" s="80" t="inlineStr">
        <is>
          <t>基本墙面积</t>
        </is>
      </c>
    </row>
    <row r="514" ht="11.4" customHeight="1">
      <c r="A514" s="67" t="inlineStr">
        <is>
          <t>55</t>
        </is>
      </c>
      <c r="B514" s="67" t="inlineStr">
        <is>
          <t>1053</t>
        </is>
      </c>
      <c r="C514" s="67" t="inlineStr">
        <is>
          <t>1611</t>
        </is>
      </c>
      <c r="D514" s="68" t="inlineStr">
        <is>
          <t>01</t>
        </is>
      </c>
      <c r="E514" s="68" t="inlineStr">
        <is>
          <t>6 物业施工费</t>
        </is>
      </c>
      <c r="F514" s="68" t="inlineStr">
        <is>
          <t>6.1 总承包工程</t>
        </is>
      </c>
      <c r="G514" s="68" t="inlineStr">
        <is>
          <t>6.1.1 内部装修工程</t>
        </is>
      </c>
      <c r="H514" s="68" t="inlineStr">
        <is>
          <t>厨房墙面（不含员休室）</t>
        </is>
      </c>
      <c r="I514" s="69" t="inlineStr">
        <is>
          <t>1000021626</t>
        </is>
      </c>
      <c r="J514" s="69" t="inlineStr">
        <is>
          <t>墙面贴面砖（冠军）</t>
        </is>
      </c>
      <c r="K514" s="70" t="n"/>
      <c r="L514" s="70" t="n"/>
      <c r="M514" s="71" t="inlineStr">
        <is>
          <t>m2</t>
        </is>
      </c>
      <c r="N514" s="72" t="n">
        <v>169.19</v>
      </c>
      <c r="O514" s="72">
        <f>ROUND(N514*(1+$F$10),2)</f>
        <v/>
      </c>
      <c r="P514" s="73">
        <f>ROUND(K514*N514,2)</f>
        <v/>
      </c>
      <c r="Q514" s="74">
        <f>ROUND(L514*N514,2)</f>
        <v/>
      </c>
      <c r="R514" s="75" t="n"/>
      <c r="S514" s="76" t="n"/>
      <c r="T514" s="77">
        <f>K514-L514</f>
        <v/>
      </c>
      <c r="U514" s="77">
        <f>P514-Q514</f>
        <v/>
      </c>
      <c r="V514" s="77">
        <f>ABS(U514)</f>
        <v/>
      </c>
      <c r="W514" s="78">
        <f>T514/L514</f>
        <v/>
      </c>
      <c r="X514" s="79">
        <f>ABS(W514)</f>
        <v/>
      </c>
      <c r="AG514" s="80" t="inlineStr">
        <is>
          <t>基本墙面积</t>
        </is>
      </c>
    </row>
    <row r="515" ht="11.4" customHeight="1">
      <c r="A515" s="67" t="inlineStr">
        <is>
          <t>55</t>
        </is>
      </c>
      <c r="B515" s="67" t="inlineStr">
        <is>
          <t>1053</t>
        </is>
      </c>
      <c r="C515" s="67" t="inlineStr">
        <is>
          <t>1611</t>
        </is>
      </c>
      <c r="D515" s="68" t="inlineStr">
        <is>
          <t>01</t>
        </is>
      </c>
      <c r="E515" s="68" t="inlineStr">
        <is>
          <t>6 物业施工费</t>
        </is>
      </c>
      <c r="F515" s="68" t="inlineStr">
        <is>
          <t>6.1 总承包工程</t>
        </is>
      </c>
      <c r="G515" s="68" t="inlineStr">
        <is>
          <t>6.1.1 内部装修工程</t>
        </is>
      </c>
      <c r="H515" s="68" t="inlineStr">
        <is>
          <t>厨房墙面（不含员休室）</t>
        </is>
      </c>
      <c r="I515" s="69" t="inlineStr">
        <is>
          <t>1000021481</t>
        </is>
      </c>
      <c r="J515" s="69" t="inlineStr">
        <is>
          <t>100*300mm黑色哑光面砖（琛雄）</t>
        </is>
      </c>
      <c r="K515" s="70" t="n"/>
      <c r="L515" s="70" t="n"/>
      <c r="M515" s="71" t="inlineStr">
        <is>
          <t>m2</t>
        </is>
      </c>
      <c r="N515" s="72" t="n">
        <v>179.53</v>
      </c>
      <c r="O515" s="72">
        <f>ROUND(N515*(1+$F$10),2)</f>
        <v/>
      </c>
      <c r="P515" s="73">
        <f>ROUND(K515*N515,2)</f>
        <v/>
      </c>
      <c r="Q515" s="74">
        <f>ROUND(L515*N515,2)</f>
        <v/>
      </c>
      <c r="R515" s="75" t="n"/>
      <c r="S515" s="76" t="n"/>
      <c r="T515" s="77">
        <f>K515-L515</f>
        <v/>
      </c>
      <c r="U515" s="77">
        <f>P515-Q515</f>
        <v/>
      </c>
      <c r="V515" s="77">
        <f>ABS(U515)</f>
        <v/>
      </c>
      <c r="W515" s="78">
        <f>T515/L515</f>
        <v/>
      </c>
      <c r="X515" s="79">
        <f>ABS(W515)</f>
        <v/>
      </c>
      <c r="AG515" s="80" t="inlineStr">
        <is>
          <t>基本墙面积</t>
        </is>
      </c>
    </row>
    <row r="516" ht="11.4" customHeight="1">
      <c r="A516" s="67" t="inlineStr">
        <is>
          <t>55</t>
        </is>
      </c>
      <c r="B516" s="67" t="inlineStr">
        <is>
          <t>1053</t>
        </is>
      </c>
      <c r="C516" s="67" t="inlineStr">
        <is>
          <t>1611</t>
        </is>
      </c>
      <c r="D516" s="68" t="inlineStr">
        <is>
          <t>01</t>
        </is>
      </c>
      <c r="E516" s="68" t="inlineStr">
        <is>
          <t>6 物业施工费</t>
        </is>
      </c>
      <c r="F516" s="68" t="inlineStr">
        <is>
          <t>6.1 总承包工程</t>
        </is>
      </c>
      <c r="G516" s="68" t="inlineStr">
        <is>
          <t>6.1.1 内部装修工程</t>
        </is>
      </c>
      <c r="H516" s="68" t="inlineStr">
        <is>
          <t>厨房墙面（不含员休室）</t>
        </is>
      </c>
      <c r="I516" s="69" t="inlineStr">
        <is>
          <t>1000021672</t>
        </is>
      </c>
      <c r="J516" s="69" t="inlineStr">
        <is>
          <t>100*300mm黑色哑光面砖（共荣）</t>
        </is>
      </c>
      <c r="K516" s="70" t="n"/>
      <c r="L516" s="70" t="n"/>
      <c r="M516" s="71" t="inlineStr">
        <is>
          <t>m2</t>
        </is>
      </c>
      <c r="N516" s="72" t="n">
        <v>168.64</v>
      </c>
      <c r="O516" s="72">
        <f>ROUND(N516*(1+$F$10),2)</f>
        <v/>
      </c>
      <c r="P516" s="73">
        <f>ROUND(K516*N516,2)</f>
        <v/>
      </c>
      <c r="Q516" s="74">
        <f>ROUND(L516*N516,2)</f>
        <v/>
      </c>
      <c r="R516" s="75" t="n"/>
      <c r="S516" s="76" t="n"/>
      <c r="T516" s="77">
        <f>K516-L516</f>
        <v/>
      </c>
      <c r="U516" s="77">
        <f>P516-Q516</f>
        <v/>
      </c>
      <c r="V516" s="77">
        <f>ABS(U516)</f>
        <v/>
      </c>
      <c r="W516" s="78">
        <f>T516/L516</f>
        <v/>
      </c>
      <c r="X516" s="79">
        <f>ABS(W516)</f>
        <v/>
      </c>
      <c r="AG516" s="80" t="inlineStr">
        <is>
          <t>基本墙面积</t>
        </is>
      </c>
    </row>
    <row r="517" ht="11.4" customHeight="1">
      <c r="A517" s="67" t="inlineStr">
        <is>
          <t>55</t>
        </is>
      </c>
      <c r="B517" s="67" t="inlineStr">
        <is>
          <t>1053</t>
        </is>
      </c>
      <c r="C517" s="67" t="inlineStr">
        <is>
          <t>1611</t>
        </is>
      </c>
      <c r="D517" s="68" t="inlineStr">
        <is>
          <t>01</t>
        </is>
      </c>
      <c r="E517" s="68" t="inlineStr">
        <is>
          <t>6 物业施工费</t>
        </is>
      </c>
      <c r="F517" s="68" t="inlineStr">
        <is>
          <t>6.1 总承包工程</t>
        </is>
      </c>
      <c r="G517" s="68" t="inlineStr">
        <is>
          <t>6.1.1 内部装修工程</t>
        </is>
      </c>
      <c r="H517" s="68" t="inlineStr">
        <is>
          <t>厨房墙面（不含员休室）</t>
        </is>
      </c>
      <c r="I517" s="69" t="inlineStr">
        <is>
          <t>1000021698</t>
        </is>
      </c>
      <c r="J517" s="69" t="inlineStr">
        <is>
          <t>100*300mm黑色哑光面砖（冠军）</t>
        </is>
      </c>
      <c r="K517" s="70" t="n"/>
      <c r="L517" s="70" t="n"/>
      <c r="M517" s="71" t="inlineStr">
        <is>
          <t>m2</t>
        </is>
      </c>
      <c r="N517" s="72" t="n">
        <v>179.53</v>
      </c>
      <c r="O517" s="72">
        <f>ROUND(N517*(1+$F$10),2)</f>
        <v/>
      </c>
      <c r="P517" s="73">
        <f>ROUND(K517*N517,2)</f>
        <v/>
      </c>
      <c r="Q517" s="74">
        <f>ROUND(L517*N517,2)</f>
        <v/>
      </c>
      <c r="R517" s="75" t="n"/>
      <c r="S517" s="76" t="n"/>
      <c r="T517" s="77">
        <f>K517-L517</f>
        <v/>
      </c>
      <c r="U517" s="77">
        <f>P517-Q517</f>
        <v/>
      </c>
      <c r="V517" s="77">
        <f>ABS(U517)</f>
        <v/>
      </c>
      <c r="W517" s="78">
        <f>T517/L517</f>
        <v/>
      </c>
      <c r="X517" s="79">
        <f>ABS(W517)</f>
        <v/>
      </c>
      <c r="AG517" s="80" t="inlineStr">
        <is>
          <t>基本墙面积</t>
        </is>
      </c>
    </row>
    <row r="518" ht="11.4" customHeight="1">
      <c r="A518" s="67" t="inlineStr">
        <is>
          <t>55</t>
        </is>
      </c>
      <c r="B518" s="67" t="inlineStr">
        <is>
          <t>1053</t>
        </is>
      </c>
      <c r="C518" s="67" t="inlineStr">
        <is>
          <t>1611</t>
        </is>
      </c>
      <c r="D518" s="68" t="inlineStr">
        <is>
          <t>01</t>
        </is>
      </c>
      <c r="E518" s="68" t="inlineStr">
        <is>
          <t>6 物业施工费</t>
        </is>
      </c>
      <c r="F518" s="68" t="inlineStr">
        <is>
          <t>6.1 总承包工程</t>
        </is>
      </c>
      <c r="G518" s="68" t="inlineStr">
        <is>
          <t>6.1.1 内部装修工程</t>
        </is>
      </c>
      <c r="H518" s="68" t="inlineStr">
        <is>
          <t>厨房墙面（不含员休室）</t>
        </is>
      </c>
      <c r="I518" s="69" t="inlineStr">
        <is>
          <t>1000021773</t>
        </is>
      </c>
      <c r="J518" s="69" t="inlineStr">
        <is>
          <t>墙面基层（木工板或硅酸钙板）</t>
        </is>
      </c>
      <c r="K518" s="70" t="n"/>
      <c r="L518" s="70" t="n"/>
      <c r="M518" s="71" t="inlineStr">
        <is>
          <t>m2</t>
        </is>
      </c>
      <c r="N518" s="72" t="n">
        <v>114.06</v>
      </c>
      <c r="O518" s="72">
        <f>ROUND(N518*(1+$F$10),2)</f>
        <v/>
      </c>
      <c r="P518" s="73">
        <f>ROUND(K518*N518,2)</f>
        <v/>
      </c>
      <c r="Q518" s="74">
        <f>ROUND(L518*N518,2)</f>
        <v/>
      </c>
      <c r="R518" s="75" t="n"/>
      <c r="S518" s="76" t="n"/>
      <c r="T518" s="77">
        <f>K518-L518</f>
        <v/>
      </c>
      <c r="U518" s="77">
        <f>P518-Q518</f>
        <v/>
      </c>
      <c r="V518" s="77">
        <f>ABS(U518)</f>
        <v/>
      </c>
      <c r="W518" s="78">
        <f>T518/L518</f>
        <v/>
      </c>
      <c r="X518" s="79">
        <f>ABS(W518)</f>
        <v/>
      </c>
      <c r="AG518" s="80" t="inlineStr">
        <is>
          <t>公式【主材.墙饰面.木纹色防火板（不含基层）.实际面积】+【主材.墙饰面.纤维水泥板（室内）.实际面积】</t>
        </is>
      </c>
    </row>
    <row r="519" ht="11.4" customHeight="1">
      <c r="A519" s="67" t="inlineStr">
        <is>
          <t>55</t>
        </is>
      </c>
      <c r="B519" s="67" t="inlineStr">
        <is>
          <t>1053</t>
        </is>
      </c>
      <c r="C519" s="67" t="inlineStr">
        <is>
          <t>1611</t>
        </is>
      </c>
      <c r="D519" s="68" t="inlineStr">
        <is>
          <t>01</t>
        </is>
      </c>
      <c r="E519" s="68" t="inlineStr">
        <is>
          <t>6 物业施工费</t>
        </is>
      </c>
      <c r="F519" s="68" t="inlineStr">
        <is>
          <t>6.1 总承包工程</t>
        </is>
      </c>
      <c r="G519" s="68" t="inlineStr">
        <is>
          <t>6.1.1 内部装修工程</t>
        </is>
      </c>
      <c r="H519" s="68" t="inlineStr">
        <is>
          <t>厨房墙面（不含员休室）</t>
        </is>
      </c>
      <c r="I519" s="69" t="inlineStr">
        <is>
          <t>1000021465</t>
        </is>
      </c>
      <c r="J519" s="69" t="inlineStr">
        <is>
          <t>墙面 /富美家木纹色防火板（不含基层）</t>
        </is>
      </c>
      <c r="K519" s="70" t="n"/>
      <c r="L519" s="70" t="n"/>
      <c r="M519" s="71" t="inlineStr">
        <is>
          <t>m2</t>
        </is>
      </c>
      <c r="N519" s="72" t="n">
        <v>197.83</v>
      </c>
      <c r="O519" s="72">
        <f>ROUND(N519*(1+$F$10),2)</f>
        <v/>
      </c>
      <c r="P519" s="73">
        <f>ROUND(K519*N519,2)</f>
        <v/>
      </c>
      <c r="Q519" s="74">
        <f>ROUND(L519*N519,2)</f>
        <v/>
      </c>
      <c r="R519" s="75" t="n"/>
      <c r="S519" s="76" t="n"/>
      <c r="T519" s="77">
        <f>K519-L519</f>
        <v/>
      </c>
      <c r="U519" s="77">
        <f>P519-Q519</f>
        <v/>
      </c>
      <c r="V519" s="77">
        <f>ABS(U519)</f>
        <v/>
      </c>
      <c r="W519" s="78">
        <f>T519/L519</f>
        <v/>
      </c>
      <c r="X519" s="79">
        <f>ABS(W519)</f>
        <v/>
      </c>
      <c r="AG519" s="80" t="inlineStr">
        <is>
          <t>基本墙面积</t>
        </is>
      </c>
    </row>
    <row r="520" ht="11.4" customHeight="1">
      <c r="A520" s="67" t="inlineStr">
        <is>
          <t>55</t>
        </is>
      </c>
      <c r="B520" s="67" t="inlineStr">
        <is>
          <t>1053</t>
        </is>
      </c>
      <c r="C520" s="67" t="inlineStr">
        <is>
          <t>1611</t>
        </is>
      </c>
      <c r="D520" s="68" t="inlineStr">
        <is>
          <t>01</t>
        </is>
      </c>
      <c r="E520" s="68" t="inlineStr">
        <is>
          <t>6 物业施工费</t>
        </is>
      </c>
      <c r="F520" s="68" t="inlineStr">
        <is>
          <t>6.1 总承包工程</t>
        </is>
      </c>
      <c r="G520" s="68" t="inlineStr">
        <is>
          <t>6.1.1 内部装修工程</t>
        </is>
      </c>
      <c r="H520" s="68" t="inlineStr">
        <is>
          <t>厨房墙面（不含员休室）</t>
        </is>
      </c>
      <c r="I520" s="69" t="inlineStr">
        <is>
          <t>1000040124</t>
        </is>
      </c>
      <c r="J520" s="69" t="inlineStr">
        <is>
          <t>墙面 /富美家深灰色防火板（不含基层）</t>
        </is>
      </c>
      <c r="K520" s="70" t="n"/>
      <c r="L520" s="70" t="n"/>
      <c r="M520" s="71" t="inlineStr">
        <is>
          <t>m2</t>
        </is>
      </c>
      <c r="N520" s="72" t="n">
        <v>182.9</v>
      </c>
      <c r="O520" s="72">
        <f>ROUND(N520*(1+$F$10),2)</f>
        <v/>
      </c>
      <c r="P520" s="73">
        <f>ROUND(K520*N520,2)</f>
        <v/>
      </c>
      <c r="Q520" s="74">
        <f>ROUND(L520*N520,2)</f>
        <v/>
      </c>
      <c r="R520" s="75" t="n"/>
      <c r="S520" s="76" t="n"/>
      <c r="T520" s="77">
        <f>K520-L520</f>
        <v/>
      </c>
      <c r="U520" s="77">
        <f>P520-Q520</f>
        <v/>
      </c>
      <c r="V520" s="77">
        <f>ABS(U520)</f>
        <v/>
      </c>
      <c r="W520" s="78">
        <f>T520/L520</f>
        <v/>
      </c>
      <c r="X520" s="79">
        <f>ABS(W520)</f>
        <v/>
      </c>
      <c r="AG520" s="80" t="inlineStr">
        <is>
          <t>基本墙面积</t>
        </is>
      </c>
    </row>
    <row r="521" ht="11.4" customHeight="1">
      <c r="A521" s="67" t="inlineStr">
        <is>
          <t>55</t>
        </is>
      </c>
      <c r="B521" s="67" t="inlineStr">
        <is>
          <t>1053</t>
        </is>
      </c>
      <c r="C521" s="67" t="inlineStr">
        <is>
          <t>1611</t>
        </is>
      </c>
      <c r="D521" s="68" t="inlineStr">
        <is>
          <t>01</t>
        </is>
      </c>
      <c r="E521" s="68" t="inlineStr">
        <is>
          <t>6 物业施工费</t>
        </is>
      </c>
      <c r="F521" s="68" t="inlineStr">
        <is>
          <t>6.1 总承包工程</t>
        </is>
      </c>
      <c r="G521" s="68" t="inlineStr">
        <is>
          <t>6.1.1 内部装修工程</t>
        </is>
      </c>
      <c r="H521" s="68" t="inlineStr">
        <is>
          <t>厨房墙面（不含员休室）</t>
        </is>
      </c>
      <c r="I521" s="69" t="inlineStr">
        <is>
          <t>1000021625</t>
        </is>
      </c>
      <c r="J521" s="69" t="inlineStr">
        <is>
          <t>墙面 /威盛亚木纹色防火板（不含基层）</t>
        </is>
      </c>
      <c r="K521" s="70" t="n"/>
      <c r="L521" s="70" t="n"/>
      <c r="M521" s="71" t="inlineStr">
        <is>
          <t>m2</t>
        </is>
      </c>
      <c r="N521" s="72" t="n">
        <v>186.66</v>
      </c>
      <c r="O521" s="72">
        <f>ROUND(N521*(1+$F$10),2)</f>
        <v/>
      </c>
      <c r="P521" s="73">
        <f>ROUND(K521*N521,2)</f>
        <v/>
      </c>
      <c r="Q521" s="74">
        <f>ROUND(L521*N521,2)</f>
        <v/>
      </c>
      <c r="R521" s="75" t="n"/>
      <c r="S521" s="76" t="n"/>
      <c r="T521" s="77">
        <f>K521-L521</f>
        <v/>
      </c>
      <c r="U521" s="77">
        <f>P521-Q521</f>
        <v/>
      </c>
      <c r="V521" s="77">
        <f>ABS(U521)</f>
        <v/>
      </c>
      <c r="W521" s="78">
        <f>T521/L521</f>
        <v/>
      </c>
      <c r="X521" s="79">
        <f>ABS(W521)</f>
        <v/>
      </c>
      <c r="AG521" s="80" t="inlineStr">
        <is>
          <t>基本墙面积</t>
        </is>
      </c>
    </row>
    <row r="522" ht="11.4" customHeight="1">
      <c r="A522" s="67" t="inlineStr">
        <is>
          <t>55</t>
        </is>
      </c>
      <c r="B522" s="67" t="inlineStr">
        <is>
          <t>1053</t>
        </is>
      </c>
      <c r="C522" s="67" t="inlineStr">
        <is>
          <t>1611</t>
        </is>
      </c>
      <c r="D522" s="68" t="inlineStr">
        <is>
          <t>01</t>
        </is>
      </c>
      <c r="E522" s="68" t="inlineStr">
        <is>
          <t>6 物业施工费</t>
        </is>
      </c>
      <c r="F522" s="68" t="inlineStr">
        <is>
          <t>6.1 总承包工程</t>
        </is>
      </c>
      <c r="G522" s="68" t="inlineStr">
        <is>
          <t>6.1.1 内部装修工程</t>
        </is>
      </c>
      <c r="H522" s="68" t="inlineStr">
        <is>
          <t>厨房墙面（不含员休室）</t>
        </is>
      </c>
      <c r="I522" s="69" t="inlineStr">
        <is>
          <t>1000021624</t>
        </is>
      </c>
      <c r="J522" s="69" t="inlineStr">
        <is>
          <t>墙面 /威盛亚深灰色防火板（不含基层）</t>
        </is>
      </c>
      <c r="K522" s="70" t="n"/>
      <c r="L522" s="70" t="n"/>
      <c r="M522" s="71" t="inlineStr">
        <is>
          <t>m2</t>
        </is>
      </c>
      <c r="N522" s="72" t="n">
        <v>174.35</v>
      </c>
      <c r="O522" s="72">
        <f>ROUND(N522*(1+$F$10),2)</f>
        <v/>
      </c>
      <c r="P522" s="73">
        <f>ROUND(K522*N522,2)</f>
        <v/>
      </c>
      <c r="Q522" s="74">
        <f>ROUND(L522*N522,2)</f>
        <v/>
      </c>
      <c r="R522" s="75" t="n"/>
      <c r="S522" s="76" t="n"/>
      <c r="T522" s="77">
        <f>K522-L522</f>
        <v/>
      </c>
      <c r="U522" s="77">
        <f>P522-Q522</f>
        <v/>
      </c>
      <c r="V522" s="77">
        <f>ABS(U522)</f>
        <v/>
      </c>
      <c r="W522" s="78">
        <f>T522/L522</f>
        <v/>
      </c>
      <c r="X522" s="79">
        <f>ABS(W522)</f>
        <v/>
      </c>
      <c r="AG522" s="80" t="inlineStr">
        <is>
          <t>基本墙面积</t>
        </is>
      </c>
    </row>
    <row r="523" ht="11.4" customHeight="1">
      <c r="A523" s="67" t="inlineStr">
        <is>
          <t>55</t>
        </is>
      </c>
      <c r="B523" s="67" t="inlineStr">
        <is>
          <t>1053</t>
        </is>
      </c>
      <c r="C523" s="67" t="inlineStr">
        <is>
          <t>1611</t>
        </is>
      </c>
      <c r="D523" s="68" t="inlineStr">
        <is>
          <t>01</t>
        </is>
      </c>
      <c r="E523" s="68" t="inlineStr">
        <is>
          <t>6 物业施工费</t>
        </is>
      </c>
      <c r="F523" s="68" t="inlineStr">
        <is>
          <t>6.1 总承包工程</t>
        </is>
      </c>
      <c r="G523" s="68" t="inlineStr">
        <is>
          <t>6.1.1 内部装修工程</t>
        </is>
      </c>
      <c r="H523" s="68" t="inlineStr">
        <is>
          <t>厨房墙面（不含员休室）</t>
        </is>
      </c>
      <c r="I523" s="69" t="inlineStr">
        <is>
          <t>1000021774</t>
        </is>
      </c>
      <c r="J523" s="69" t="inlineStr">
        <is>
          <t>A级防火铝型材墙板-墙面基层（方管龙骨）</t>
        </is>
      </c>
      <c r="K523" s="70" t="n"/>
      <c r="L523" s="70" t="n"/>
      <c r="M523" s="71" t="inlineStr">
        <is>
          <t>m2</t>
        </is>
      </c>
      <c r="N523" s="72" t="n">
        <v>70.84999999999999</v>
      </c>
      <c r="O523" s="72">
        <f>ROUND(N523*(1+$F$10),2)</f>
        <v/>
      </c>
      <c r="P523" s="73">
        <f>ROUND(K523*N523,2)</f>
        <v/>
      </c>
      <c r="Q523" s="74">
        <f>ROUND(L523*N523,2)</f>
        <v/>
      </c>
      <c r="R523" s="75" t="n"/>
      <c r="S523" s="76" t="n"/>
      <c r="T523" s="77">
        <f>K523-L523</f>
        <v/>
      </c>
      <c r="U523" s="77">
        <f>P523-Q523</f>
        <v/>
      </c>
      <c r="V523" s="77">
        <f>ABS(U523)</f>
        <v/>
      </c>
      <c r="W523" s="78">
        <f>T523/L523</f>
        <v/>
      </c>
      <c r="X523" s="79">
        <f>ABS(W523)</f>
        <v/>
      </c>
      <c r="AG523" s="80" t="inlineStr">
        <is>
          <t>基本墙面积</t>
        </is>
      </c>
    </row>
    <row r="524" ht="11.4" customHeight="1">
      <c r="A524" s="67" t="inlineStr">
        <is>
          <t>55</t>
        </is>
      </c>
      <c r="B524" s="67" t="inlineStr">
        <is>
          <t>1053</t>
        </is>
      </c>
      <c r="C524" s="67" t="inlineStr">
        <is>
          <t>1611</t>
        </is>
      </c>
      <c r="D524" s="68" t="inlineStr">
        <is>
          <t>01</t>
        </is>
      </c>
      <c r="E524" s="68" t="inlineStr">
        <is>
          <t>6 物业施工费</t>
        </is>
      </c>
      <c r="F524" s="68" t="inlineStr">
        <is>
          <t>6.1 总承包工程</t>
        </is>
      </c>
      <c r="G524" s="68" t="inlineStr">
        <is>
          <t>6.1.1 内部装修工程</t>
        </is>
      </c>
      <c r="H524" s="68" t="inlineStr">
        <is>
          <t>厨房墙面（不含员休室）</t>
        </is>
      </c>
      <c r="I524" s="69" t="inlineStr">
        <is>
          <t>1000021775</t>
        </is>
      </c>
      <c r="J524" s="69" t="inlineStr">
        <is>
          <t>A级防火铝型材墙板-主材</t>
        </is>
      </c>
      <c r="K524" s="70" t="n"/>
      <c r="L524" s="70" t="n"/>
      <c r="M524" s="71" t="inlineStr">
        <is>
          <t>m2</t>
        </is>
      </c>
      <c r="N524" s="72" t="n">
        <v>307.56</v>
      </c>
      <c r="O524" s="72">
        <f>ROUND(N524*(1+$F$10),2)</f>
        <v/>
      </c>
      <c r="P524" s="73">
        <f>ROUND(K524*N524,2)</f>
        <v/>
      </c>
      <c r="Q524" s="74">
        <f>ROUND(L524*N524,2)</f>
        <v/>
      </c>
      <c r="R524" s="75" t="n"/>
      <c r="S524" s="76" t="n"/>
      <c r="T524" s="77">
        <f>K524-L524</f>
        <v/>
      </c>
      <c r="U524" s="77">
        <f>P524-Q524</f>
        <v/>
      </c>
      <c r="V524" s="77">
        <f>ABS(U524)</f>
        <v/>
      </c>
      <c r="W524" s="78">
        <f>T524/L524</f>
        <v/>
      </c>
      <c r="X524" s="79">
        <f>ABS(W524)</f>
        <v/>
      </c>
      <c r="AG524" s="80" t="inlineStr">
        <is>
          <t>基本墙面积</t>
        </is>
      </c>
    </row>
    <row r="525" ht="11.4" customHeight="1">
      <c r="A525" s="67" t="inlineStr">
        <is>
          <t>55</t>
        </is>
      </c>
      <c r="B525" s="67" t="inlineStr">
        <is>
          <t>1053</t>
        </is>
      </c>
      <c r="C525" s="67" t="inlineStr">
        <is>
          <t>1611</t>
        </is>
      </c>
      <c r="D525" s="68" t="inlineStr">
        <is>
          <t>01</t>
        </is>
      </c>
      <c r="E525" s="68" t="inlineStr">
        <is>
          <t>6 物业施工费</t>
        </is>
      </c>
      <c r="F525" s="68" t="inlineStr">
        <is>
          <t>6.1 总承包工程</t>
        </is>
      </c>
      <c r="G525" s="68" t="inlineStr">
        <is>
          <t>6.1.1 内部装修工程</t>
        </is>
      </c>
      <c r="H525" s="68" t="inlineStr">
        <is>
          <t>厨房墙面（不含员休室）</t>
        </is>
      </c>
      <c r="I525" s="69" t="inlineStr">
        <is>
          <t>1000021776</t>
        </is>
      </c>
      <c r="J525" s="69" t="inlineStr">
        <is>
          <t>A级防火铝型材墙板--安装</t>
        </is>
      </c>
      <c r="K525" s="70" t="n"/>
      <c r="L525" s="70" t="n"/>
      <c r="M525" s="71" t="inlineStr">
        <is>
          <t>m2</t>
        </is>
      </c>
      <c r="N525" s="72" t="n">
        <v>39.59</v>
      </c>
      <c r="O525" s="72">
        <f>ROUND(N525*(1+$F$10),2)</f>
        <v/>
      </c>
      <c r="P525" s="73">
        <f>ROUND(K525*N525,2)</f>
        <v/>
      </c>
      <c r="Q525" s="74">
        <f>ROUND(L525*N525,2)</f>
        <v/>
      </c>
      <c r="R525" s="75" t="n"/>
      <c r="S525" s="76" t="n"/>
      <c r="T525" s="77">
        <f>K525-L525</f>
        <v/>
      </c>
      <c r="U525" s="77">
        <f>P525-Q525</f>
        <v/>
      </c>
      <c r="V525" s="77">
        <f>ABS(U525)</f>
        <v/>
      </c>
      <c r="W525" s="78">
        <f>T525/L525</f>
        <v/>
      </c>
      <c r="X525" s="79">
        <f>ABS(W525)</f>
        <v/>
      </c>
      <c r="AG525" s="80" t="inlineStr">
        <is>
          <t>基本墙面积</t>
        </is>
      </c>
    </row>
    <row r="526" ht="11.4" customHeight="1">
      <c r="A526" s="67" t="inlineStr">
        <is>
          <t>55</t>
        </is>
      </c>
      <c r="B526" s="67" t="inlineStr">
        <is>
          <t>1053</t>
        </is>
      </c>
      <c r="C526" s="67" t="inlineStr">
        <is>
          <t>1611</t>
        </is>
      </c>
      <c r="D526" s="68" t="inlineStr">
        <is>
          <t>01</t>
        </is>
      </c>
      <c r="E526" s="68" t="inlineStr">
        <is>
          <t>6 物业施工费</t>
        </is>
      </c>
      <c r="F526" s="68" t="inlineStr">
        <is>
          <t>6.1 总承包工程</t>
        </is>
      </c>
      <c r="G526" s="68" t="inlineStr">
        <is>
          <t>6.1.1 内部装修工程</t>
        </is>
      </c>
      <c r="H526" s="68" t="inlineStr">
        <is>
          <t>厨房墙面（不含员休室）</t>
        </is>
      </c>
      <c r="I526" s="69" t="inlineStr">
        <is>
          <t>1000021517</t>
        </is>
      </c>
      <c r="J526" s="69" t="inlineStr">
        <is>
          <t>室内浅色乳胶漆（含批搪，遮盖）</t>
        </is>
      </c>
      <c r="K526" s="70" t="n">
        <v>32.78</v>
      </c>
      <c r="L526" s="70" t="n">
        <v>32.76</v>
      </c>
      <c r="M526" s="71" t="inlineStr">
        <is>
          <t>m2</t>
        </is>
      </c>
      <c r="N526" s="72" t="n">
        <v>58.39</v>
      </c>
      <c r="O526" s="72">
        <f>ROUND(N526*(1+$F$10),2)</f>
        <v/>
      </c>
      <c r="P526" s="73">
        <f>ROUND(K526*N526,2)</f>
        <v/>
      </c>
      <c r="Q526" s="74">
        <f>ROUND(L526*N526,2)</f>
        <v/>
      </c>
      <c r="R526" s="75" t="n"/>
      <c r="S526" s="76" t="n"/>
      <c r="T526" s="77">
        <f>K526-L526</f>
        <v/>
      </c>
      <c r="U526" s="77">
        <f>P526-Q526</f>
        <v/>
      </c>
      <c r="V526" s="77">
        <f>ABS(U526)</f>
        <v/>
      </c>
      <c r="W526" s="78">
        <f>T526/L526</f>
        <v/>
      </c>
      <c r="X526" s="79">
        <f>ABS(W526)</f>
        <v/>
      </c>
      <c r="AG526" s="80" t="inlineStr">
        <is>
          <t>基本墙面积</t>
        </is>
      </c>
    </row>
    <row r="527" ht="11.4" customHeight="1">
      <c r="A527" s="67" t="inlineStr">
        <is>
          <t>55</t>
        </is>
      </c>
      <c r="B527" s="67" t="inlineStr">
        <is>
          <t>1053</t>
        </is>
      </c>
      <c r="C527" s="67" t="inlineStr">
        <is>
          <t>1611</t>
        </is>
      </c>
      <c r="D527" s="68" t="inlineStr">
        <is>
          <t>01</t>
        </is>
      </c>
      <c r="E527" s="68" t="inlineStr">
        <is>
          <t>6 物业施工费</t>
        </is>
      </c>
      <c r="F527" s="68" t="inlineStr">
        <is>
          <t>6.1 总承包工程</t>
        </is>
      </c>
      <c r="G527" s="68" t="inlineStr">
        <is>
          <t>6.1.1 内部装修工程</t>
        </is>
      </c>
      <c r="H527" s="68" t="inlineStr">
        <is>
          <t>厨房墙面（不含员休室）</t>
        </is>
      </c>
      <c r="I527" s="69" t="inlineStr">
        <is>
          <t>1000021777</t>
        </is>
      </c>
      <c r="J527" s="69" t="inlineStr">
        <is>
          <t>墙面抹平压光</t>
        </is>
      </c>
      <c r="K527" s="70" t="n"/>
      <c r="L527" s="70" t="n"/>
      <c r="M527" s="71" t="inlineStr">
        <is>
          <t>m2</t>
        </is>
      </c>
      <c r="N527" s="72" t="n">
        <v>17.39</v>
      </c>
      <c r="O527" s="72">
        <f>ROUND(N527*(1+$F$10),2)</f>
        <v/>
      </c>
      <c r="P527" s="73">
        <f>ROUND(K527*N527,2)</f>
        <v/>
      </c>
      <c r="Q527" s="74">
        <f>ROUND(L527*N527,2)</f>
        <v/>
      </c>
      <c r="R527" s="75" t="n"/>
      <c r="S527" s="76" t="n"/>
      <c r="T527" s="77">
        <f>K527-L527</f>
        <v/>
      </c>
      <c r="U527" s="77">
        <f>P527-Q527</f>
        <v/>
      </c>
      <c r="V527" s="77">
        <f>ABS(U527)</f>
        <v/>
      </c>
      <c r="W527" s="78">
        <f>T527/L527</f>
        <v/>
      </c>
      <c r="X527" s="79">
        <f>ABS(W527)</f>
        <v/>
      </c>
      <c r="AG527" s="80" t="n"/>
      <c r="AH527" s="80" t="inlineStr">
        <is>
          <t>调整</t>
        </is>
      </c>
    </row>
    <row r="528" ht="11.4" customHeight="1">
      <c r="A528" s="67" t="inlineStr">
        <is>
          <t>55</t>
        </is>
      </c>
      <c r="B528" s="67" t="inlineStr">
        <is>
          <t>1053</t>
        </is>
      </c>
      <c r="C528" s="67" t="inlineStr">
        <is>
          <t>1611</t>
        </is>
      </c>
      <c r="D528" s="68" t="inlineStr">
        <is>
          <t>01</t>
        </is>
      </c>
      <c r="E528" s="68" t="inlineStr">
        <is>
          <t>6 物业施工费</t>
        </is>
      </c>
      <c r="F528" s="68" t="inlineStr">
        <is>
          <t>6.1 总承包工程</t>
        </is>
      </c>
      <c r="G528" s="68" t="inlineStr">
        <is>
          <t>6.1.1 内部装修工程</t>
        </is>
      </c>
      <c r="H528" s="68" t="inlineStr">
        <is>
          <t>厨房吊顶（不含员休室）</t>
        </is>
      </c>
      <c r="I528" s="69" t="inlineStr">
        <is>
          <t>1000021519</t>
        </is>
      </c>
      <c r="J528" s="69" t="inlineStr">
        <is>
          <t>600x600 烤漆龙骨防油石膏板天花</t>
        </is>
      </c>
      <c r="K528" s="70" t="n">
        <v>53.29</v>
      </c>
      <c r="L528" s="70" t="n">
        <v>49.54</v>
      </c>
      <c r="M528" s="71" t="inlineStr">
        <is>
          <t>m2</t>
        </is>
      </c>
      <c r="N528" s="72" t="n">
        <v>132.76</v>
      </c>
      <c r="O528" s="72">
        <f>ROUND(N528*(1+$F$10),2)</f>
        <v/>
      </c>
      <c r="P528" s="73">
        <f>ROUND(K528*N528,2)</f>
        <v/>
      </c>
      <c r="Q528" s="74">
        <f>ROUND(L528*N528,2)</f>
        <v/>
      </c>
      <c r="R528" s="75" t="n"/>
      <c r="S528" s="76" t="n"/>
      <c r="T528" s="77">
        <f>K528-L528</f>
        <v/>
      </c>
      <c r="U528" s="77">
        <f>P528-Q528</f>
        <v/>
      </c>
      <c r="V528" s="77">
        <f>ABS(U528)</f>
        <v/>
      </c>
      <c r="W528" s="78">
        <f>T528/L528</f>
        <v/>
      </c>
      <c r="X528" s="79">
        <f>ABS(W528)</f>
        <v/>
      </c>
      <c r="AG528" s="80" t="inlineStr">
        <is>
          <t>天花板面积</t>
        </is>
      </c>
    </row>
    <row r="529" ht="11.4" customHeight="1">
      <c r="A529" s="67" t="inlineStr">
        <is>
          <t>55</t>
        </is>
      </c>
      <c r="B529" s="67" t="inlineStr">
        <is>
          <t>1053</t>
        </is>
      </c>
      <c r="C529" s="67" t="inlineStr">
        <is>
          <t>1611</t>
        </is>
      </c>
      <c r="D529" s="68" t="inlineStr">
        <is>
          <t>01</t>
        </is>
      </c>
      <c r="E529" s="68" t="inlineStr">
        <is>
          <t>6 物业施工费</t>
        </is>
      </c>
      <c r="F529" s="68" t="inlineStr">
        <is>
          <t>6.1 总承包工程</t>
        </is>
      </c>
      <c r="G529" s="68" t="inlineStr">
        <is>
          <t>6.1.1 内部装修工程</t>
        </is>
      </c>
      <c r="H529" s="68" t="inlineStr">
        <is>
          <t>厨房吊顶（不含员休室）</t>
        </is>
      </c>
      <c r="I529" s="69" t="inlineStr">
        <is>
          <t>1000022181</t>
        </is>
      </c>
      <c r="J529" s="69" t="inlineStr">
        <is>
          <t>轻钢龙骨石膏板天花 (干仓/清洁间/礼品房等)</t>
        </is>
      </c>
      <c r="K529" s="70" t="n">
        <v>8.359999999999999</v>
      </c>
      <c r="L529" s="70" t="n">
        <v>8.35</v>
      </c>
      <c r="M529" s="71" t="inlineStr">
        <is>
          <t>m2</t>
        </is>
      </c>
      <c r="N529" s="72" t="n">
        <v>139.73</v>
      </c>
      <c r="O529" s="72">
        <f>ROUND(N529*(1+$F$10),2)</f>
        <v/>
      </c>
      <c r="P529" s="73">
        <f>ROUND(K529*N529,2)</f>
        <v/>
      </c>
      <c r="Q529" s="74">
        <f>ROUND(L529*N529,2)</f>
        <v/>
      </c>
      <c r="R529" s="75" t="n"/>
      <c r="S529" s="76" t="n"/>
      <c r="T529" s="77">
        <f>K529-L529</f>
        <v/>
      </c>
      <c r="U529" s="77">
        <f>P529-Q529</f>
        <v/>
      </c>
      <c r="V529" s="77">
        <f>ABS(U529)</f>
        <v/>
      </c>
      <c r="W529" s="78">
        <f>T529/L529</f>
        <v/>
      </c>
      <c r="X529" s="79">
        <f>ABS(W529)</f>
        <v/>
      </c>
      <c r="AG529" s="80" t="inlineStr">
        <is>
          <t>天花板面积</t>
        </is>
      </c>
    </row>
    <row r="530" ht="11.4" customHeight="1">
      <c r="A530" s="67" t="inlineStr">
        <is>
          <t>55</t>
        </is>
      </c>
      <c r="B530" s="67" t="inlineStr">
        <is>
          <t>1053</t>
        </is>
      </c>
      <c r="C530" s="67" t="inlineStr">
        <is>
          <t>1611</t>
        </is>
      </c>
      <c r="D530" s="68" t="inlineStr">
        <is>
          <t>01</t>
        </is>
      </c>
      <c r="E530" s="68" t="inlineStr">
        <is>
          <t>6 物业施工费</t>
        </is>
      </c>
      <c r="F530" s="68" t="inlineStr">
        <is>
          <t>6.1 总承包工程</t>
        </is>
      </c>
      <c r="G530" s="68" t="inlineStr">
        <is>
          <t>6.1.1 内部装修工程</t>
        </is>
      </c>
      <c r="H530" s="68" t="inlineStr">
        <is>
          <t>厨房吊顶（不含员休室）</t>
        </is>
      </c>
      <c r="I530" s="69" t="inlineStr">
        <is>
          <t>1000021485</t>
        </is>
      </c>
      <c r="J530" s="69" t="inlineStr">
        <is>
          <t>600x600烤漆T龙防潮隔音矿棉天花</t>
        </is>
      </c>
      <c r="K530" s="70" t="n"/>
      <c r="L530" s="70" t="n"/>
      <c r="M530" s="71" t="inlineStr">
        <is>
          <t>m2</t>
        </is>
      </c>
      <c r="N530" s="72" t="n">
        <v>127.36</v>
      </c>
      <c r="O530" s="72">
        <f>ROUND(N530*(1+$F$10),2)</f>
        <v/>
      </c>
      <c r="P530" s="73">
        <f>ROUND(K530*N530,2)</f>
        <v/>
      </c>
      <c r="Q530" s="74">
        <f>ROUND(L530*N530,2)</f>
        <v/>
      </c>
      <c r="R530" s="75" t="n"/>
      <c r="S530" s="76" t="n"/>
      <c r="T530" s="77">
        <f>K530-L530</f>
        <v/>
      </c>
      <c r="U530" s="77">
        <f>P530-Q530</f>
        <v/>
      </c>
      <c r="V530" s="77">
        <f>ABS(U530)</f>
        <v/>
      </c>
      <c r="W530" s="78">
        <f>T530/L530</f>
        <v/>
      </c>
      <c r="X530" s="79">
        <f>ABS(W530)</f>
        <v/>
      </c>
      <c r="AG530" s="80" t="inlineStr">
        <is>
          <t>天花板面积</t>
        </is>
      </c>
    </row>
    <row r="531" ht="11.4" customHeight="1">
      <c r="A531" s="67" t="inlineStr">
        <is>
          <t>55</t>
        </is>
      </c>
      <c r="B531" s="67" t="inlineStr">
        <is>
          <t>1053</t>
        </is>
      </c>
      <c r="C531" s="67" t="inlineStr">
        <is>
          <t>1611</t>
        </is>
      </c>
      <c r="D531" s="68" t="inlineStr">
        <is>
          <t>01</t>
        </is>
      </c>
      <c r="E531" s="68" t="inlineStr">
        <is>
          <t>6 物业施工费</t>
        </is>
      </c>
      <c r="F531" s="68" t="inlineStr">
        <is>
          <t>6.1 总承包工程</t>
        </is>
      </c>
      <c r="G531" s="68" t="inlineStr">
        <is>
          <t>6.1.1 内部装修工程</t>
        </is>
      </c>
      <c r="H531" s="68" t="inlineStr">
        <is>
          <t>厨房吊顶（不含员休室）</t>
        </is>
      </c>
      <c r="I531" s="69" t="inlineStr">
        <is>
          <t>1000021486</t>
        </is>
      </c>
      <c r="J531" s="69" t="inlineStr">
        <is>
          <t>600*1200烤漆龙骨防潮矿棉板天花</t>
        </is>
      </c>
      <c r="K531" s="70" t="n"/>
      <c r="L531" s="70" t="n"/>
      <c r="M531" s="71" t="inlineStr">
        <is>
          <t>m2</t>
        </is>
      </c>
      <c r="N531" s="72" t="n">
        <v>138.36</v>
      </c>
      <c r="O531" s="72">
        <f>ROUND(N531*(1+$F$10),2)</f>
        <v/>
      </c>
      <c r="P531" s="73">
        <f>ROUND(K531*N531,2)</f>
        <v/>
      </c>
      <c r="Q531" s="74">
        <f>ROUND(L531*N531,2)</f>
        <v/>
      </c>
      <c r="R531" s="75" t="n"/>
      <c r="S531" s="76" t="n"/>
      <c r="T531" s="77">
        <f>K531-L531</f>
        <v/>
      </c>
      <c r="U531" s="77">
        <f>P531-Q531</f>
        <v/>
      </c>
      <c r="V531" s="77">
        <f>ABS(U531)</f>
        <v/>
      </c>
      <c r="W531" s="78">
        <f>T531/L531</f>
        <v/>
      </c>
      <c r="X531" s="79">
        <f>ABS(W531)</f>
        <v/>
      </c>
      <c r="AG531" s="80" t="inlineStr">
        <is>
          <t>天花板面积</t>
        </is>
      </c>
    </row>
    <row r="532" ht="11.4" customHeight="1">
      <c r="A532" s="67" t="inlineStr">
        <is>
          <t>55</t>
        </is>
      </c>
      <c r="B532" s="67" t="inlineStr">
        <is>
          <t>1053</t>
        </is>
      </c>
      <c r="C532" s="67" t="inlineStr">
        <is>
          <t>1611</t>
        </is>
      </c>
      <c r="D532" s="68" t="inlineStr">
        <is>
          <t>01</t>
        </is>
      </c>
      <c r="E532" s="68" t="inlineStr">
        <is>
          <t>6 物业施工费</t>
        </is>
      </c>
      <c r="F532" s="68" t="inlineStr">
        <is>
          <t>6.1 总承包工程</t>
        </is>
      </c>
      <c r="G532" s="68" t="inlineStr">
        <is>
          <t>6.1.1 内部装修工程</t>
        </is>
      </c>
      <c r="H532" s="68" t="inlineStr">
        <is>
          <t>厨房吊顶（不含员休室）</t>
        </is>
      </c>
      <c r="I532" s="69" t="inlineStr">
        <is>
          <t>1000021828</t>
        </is>
      </c>
      <c r="J532" s="84" t="inlineStr">
        <is>
          <t>菜单牌钢支架</t>
        </is>
      </c>
      <c r="K532" s="70" t="n"/>
      <c r="L532" s="70" t="n"/>
      <c r="M532" s="71" t="inlineStr">
        <is>
          <t>米</t>
        </is>
      </c>
      <c r="N532" s="72" t="n">
        <v>323.64</v>
      </c>
      <c r="O532" s="72">
        <f>ROUND(N532*(1+$F$10),2)</f>
        <v/>
      </c>
      <c r="P532" s="73">
        <f>ROUND(K532*N532,2)</f>
        <v/>
      </c>
      <c r="Q532" s="74">
        <f>ROUND(L532*N532,2)</f>
        <v/>
      </c>
      <c r="R532" s="75" t="n"/>
      <c r="S532" s="76" t="n"/>
      <c r="T532" s="77">
        <f>K532-L532</f>
        <v/>
      </c>
      <c r="U532" s="77">
        <f>P532-Q532</f>
        <v/>
      </c>
      <c r="V532" s="77">
        <f>ABS(U532)</f>
        <v/>
      </c>
      <c r="W532" s="78">
        <f>T532/L532</f>
        <v/>
      </c>
      <c r="X532" s="79">
        <f>ABS(W532)</f>
        <v/>
      </c>
    </row>
    <row r="533" ht="11.4" customHeight="1">
      <c r="A533" s="67" t="inlineStr">
        <is>
          <t>55</t>
        </is>
      </c>
      <c r="B533" s="67" t="inlineStr">
        <is>
          <t>1053</t>
        </is>
      </c>
      <c r="C533" s="67" t="inlineStr">
        <is>
          <t>1611</t>
        </is>
      </c>
      <c r="D533" s="68" t="inlineStr">
        <is>
          <t>01</t>
        </is>
      </c>
      <c r="E533" s="68" t="inlineStr">
        <is>
          <t>6 物业施工费</t>
        </is>
      </c>
      <c r="F533" s="68" t="inlineStr">
        <is>
          <t>6.1 总承包工程</t>
        </is>
      </c>
      <c r="G533" s="68" t="inlineStr">
        <is>
          <t>6.1.1 内部装修工程</t>
        </is>
      </c>
      <c r="H533" s="68" t="inlineStr">
        <is>
          <t>厨房家具及其他（不含员休室）</t>
        </is>
      </c>
      <c r="I533" s="69" t="inlineStr">
        <is>
          <t>1000021829</t>
        </is>
      </c>
      <c r="J533" s="69" t="inlineStr">
        <is>
          <t>经理室防火板贴面胶边写字桌连吊柜及布告板</t>
        </is>
      </c>
      <c r="K533" s="70" t="n"/>
      <c r="L533" s="70" t="n"/>
      <c r="M533" s="71" t="inlineStr">
        <is>
          <t>米</t>
        </is>
      </c>
      <c r="N533" s="72" t="n">
        <v>1368.15</v>
      </c>
      <c r="O533" s="72">
        <f>ROUND(N533*(1+$F$10),2)</f>
        <v/>
      </c>
      <c r="P533" s="73">
        <f>ROUND(K533*N533,2)</f>
        <v/>
      </c>
      <c r="Q533" s="74">
        <f>ROUND(L533*N533,2)</f>
        <v/>
      </c>
      <c r="R533" s="75" t="n"/>
      <c r="S533" s="76" t="n"/>
      <c r="T533" s="77">
        <f>K533-L533</f>
        <v/>
      </c>
      <c r="U533" s="77">
        <f>P533-Q533</f>
        <v/>
      </c>
      <c r="V533" s="77">
        <f>ABS(U533)</f>
        <v/>
      </c>
      <c r="W533" s="78">
        <f>T533/L533</f>
        <v/>
      </c>
      <c r="X533" s="79">
        <f>ABS(W533)</f>
        <v/>
      </c>
      <c r="AH533" s="80" t="inlineStr">
        <is>
          <t>调整</t>
        </is>
      </c>
    </row>
    <row r="534" ht="11.4" customHeight="1">
      <c r="A534" s="67" t="inlineStr">
        <is>
          <t>55</t>
        </is>
      </c>
      <c r="B534" s="67" t="inlineStr">
        <is>
          <t>1053</t>
        </is>
      </c>
      <c r="C534" s="67" t="inlineStr">
        <is>
          <t>1611</t>
        </is>
      </c>
      <c r="D534" s="68" t="inlineStr">
        <is>
          <t>01</t>
        </is>
      </c>
      <c r="E534" s="68" t="inlineStr">
        <is>
          <t>6 物业施工费</t>
        </is>
      </c>
      <c r="F534" s="68" t="inlineStr">
        <is>
          <t>6.1 总承包工程</t>
        </is>
      </c>
      <c r="G534" s="68" t="inlineStr">
        <is>
          <t>6.1.1 内部装修工程</t>
        </is>
      </c>
      <c r="H534" s="68" t="inlineStr">
        <is>
          <t>厨房家具及其他（不含员休室）</t>
        </is>
      </c>
      <c r="I534" s="69" t="inlineStr">
        <is>
          <t>1000085721</t>
        </is>
      </c>
      <c r="J534" s="69" t="inlineStr">
        <is>
          <t>员休室及经理室家具安装费</t>
        </is>
      </c>
      <c r="K534" s="70" t="n">
        <v>1</v>
      </c>
      <c r="L534" s="70" t="n">
        <v>1</v>
      </c>
      <c r="M534" s="71" t="inlineStr">
        <is>
          <t>项</t>
        </is>
      </c>
      <c r="N534" s="72" t="n">
        <v>1175</v>
      </c>
      <c r="O534" s="72">
        <f>ROUND(N534*(1+$F$10),2)</f>
        <v/>
      </c>
      <c r="P534" s="73">
        <f>ROUND(K534*N534,2)</f>
        <v/>
      </c>
      <c r="Q534" s="74">
        <f>ROUND(L534*N534,2)</f>
        <v/>
      </c>
      <c r="R534" s="75" t="n"/>
      <c r="S534" s="76" t="n"/>
      <c r="T534" s="77">
        <f>K534-L534</f>
        <v/>
      </c>
      <c r="U534" s="77">
        <f>P534-Q534</f>
        <v/>
      </c>
      <c r="V534" s="77">
        <f>ABS(U534)</f>
        <v/>
      </c>
      <c r="W534" s="78">
        <f>T534/L534</f>
        <v/>
      </c>
      <c r="X534" s="79">
        <f>ABS(W534)</f>
        <v/>
      </c>
      <c r="AH534" s="80" t="inlineStr">
        <is>
          <t>餐厅常规配置</t>
        </is>
      </c>
    </row>
    <row r="535" ht="11.4" customHeight="1">
      <c r="A535" s="67" t="inlineStr">
        <is>
          <t>55</t>
        </is>
      </c>
      <c r="B535" s="67" t="inlineStr">
        <is>
          <t>1053</t>
        </is>
      </c>
      <c r="C535" s="67" t="inlineStr">
        <is>
          <t>1611</t>
        </is>
      </c>
      <c r="D535" s="68" t="inlineStr">
        <is>
          <t>01</t>
        </is>
      </c>
      <c r="E535" s="68" t="inlineStr">
        <is>
          <t>6 物业施工费</t>
        </is>
      </c>
      <c r="F535" s="68" t="inlineStr">
        <is>
          <t>6.1 总承包工程</t>
        </is>
      </c>
      <c r="G535" s="68" t="inlineStr">
        <is>
          <t>6.1.1 内部装修工程</t>
        </is>
      </c>
      <c r="H535" s="68" t="inlineStr">
        <is>
          <t>厨房家具及其他（不含员休室）</t>
        </is>
      </c>
      <c r="I535" s="69" t="inlineStr">
        <is>
          <t>1000040110</t>
        </is>
      </c>
      <c r="J535" s="69" t="inlineStr">
        <is>
          <t>经理室翻新</t>
        </is>
      </c>
      <c r="K535" s="70" t="n"/>
      <c r="L535" s="70" t="n"/>
      <c r="M535" s="71" t="inlineStr">
        <is>
          <t>项</t>
        </is>
      </c>
      <c r="N535" s="72" t="n"/>
      <c r="O535" s="72">
        <f>ROUND(N535*(1+$F$10),2)</f>
        <v/>
      </c>
      <c r="P535" s="73">
        <f>ROUND(K535*N535,2)</f>
        <v/>
      </c>
      <c r="Q535" s="74">
        <f>ROUND(L535*N535,2)</f>
        <v/>
      </c>
      <c r="R535" s="75" t="n"/>
      <c r="S535" s="76" t="n"/>
      <c r="T535" s="77">
        <f>K535-L535</f>
        <v/>
      </c>
      <c r="U535" s="77">
        <f>P535-Q535</f>
        <v/>
      </c>
      <c r="V535" s="77">
        <f>ABS(U535)</f>
        <v/>
      </c>
      <c r="W535" s="78">
        <f>T535/L535</f>
        <v/>
      </c>
      <c r="X535" s="79">
        <f>ABS(W535)</f>
        <v/>
      </c>
      <c r="AH535" s="80" t="inlineStr">
        <is>
          <t>委托书</t>
        </is>
      </c>
    </row>
    <row r="536" ht="11.4" customHeight="1">
      <c r="A536" s="67" t="inlineStr">
        <is>
          <t>55</t>
        </is>
      </c>
      <c r="B536" s="67" t="inlineStr">
        <is>
          <t>1053</t>
        </is>
      </c>
      <c r="C536" s="67" t="inlineStr">
        <is>
          <t>1611</t>
        </is>
      </c>
      <c r="D536" s="68" t="inlineStr">
        <is>
          <t>01</t>
        </is>
      </c>
      <c r="E536" s="68" t="inlineStr">
        <is>
          <t>6 物业施工费</t>
        </is>
      </c>
      <c r="F536" s="68" t="inlineStr">
        <is>
          <t>6.1 总承包工程</t>
        </is>
      </c>
      <c r="G536" s="68" t="inlineStr">
        <is>
          <t>6.1.1 内部装修工程</t>
        </is>
      </c>
      <c r="H536" s="68" t="inlineStr">
        <is>
          <t>厨房家具及其他（不含员休室）</t>
        </is>
      </c>
      <c r="I536" s="69" t="inlineStr">
        <is>
          <t>1000021830</t>
        </is>
      </c>
      <c r="J536" s="69" t="inlineStr">
        <is>
          <t>干货间营运物料柜</t>
        </is>
      </c>
      <c r="K536" s="70" t="n"/>
      <c r="L536" s="70" t="n"/>
      <c r="M536" s="71" t="inlineStr">
        <is>
          <t>组</t>
        </is>
      </c>
      <c r="N536" s="72" t="n">
        <v>1841.7</v>
      </c>
      <c r="O536" s="72">
        <f>ROUND(N536*(1+$F$10),2)</f>
        <v/>
      </c>
      <c r="P536" s="73">
        <f>ROUND(K536*N536,2)</f>
        <v/>
      </c>
      <c r="Q536" s="74">
        <f>ROUND(L536*N536,2)</f>
        <v/>
      </c>
      <c r="R536" s="75" t="n"/>
      <c r="S536" s="76" t="n"/>
      <c r="T536" s="77">
        <f>K536-L536</f>
        <v/>
      </c>
      <c r="U536" s="77">
        <f>P536-Q536</f>
        <v/>
      </c>
      <c r="V536" s="77">
        <f>ABS(U536)</f>
        <v/>
      </c>
      <c r="W536" s="78">
        <f>T536/L536</f>
        <v/>
      </c>
      <c r="X536" s="79">
        <f>ABS(W536)</f>
        <v/>
      </c>
      <c r="AH536" s="80" t="inlineStr">
        <is>
          <t>委托书</t>
        </is>
      </c>
    </row>
    <row r="537" ht="11.4" customHeight="1">
      <c r="A537" s="67" t="inlineStr">
        <is>
          <t>55</t>
        </is>
      </c>
      <c r="B537" s="67" t="inlineStr">
        <is>
          <t>1053</t>
        </is>
      </c>
      <c r="C537" s="67" t="inlineStr">
        <is>
          <t>1611</t>
        </is>
      </c>
      <c r="D537" s="68" t="inlineStr">
        <is>
          <t>01</t>
        </is>
      </c>
      <c r="E537" s="68" t="inlineStr">
        <is>
          <t>6 物业施工费</t>
        </is>
      </c>
      <c r="F537" s="68" t="inlineStr">
        <is>
          <t>6.1 总承包工程</t>
        </is>
      </c>
      <c r="G537" s="68" t="inlineStr">
        <is>
          <t>6.1.1 内部装修工程</t>
        </is>
      </c>
      <c r="H537" s="68" t="inlineStr">
        <is>
          <t>厨房家具及其他（不含员休室）</t>
        </is>
      </c>
      <c r="I537" s="69" t="inlineStr">
        <is>
          <t>1000021831</t>
        </is>
      </c>
      <c r="J537" s="69" t="inlineStr">
        <is>
          <t>小件设备物品安装</t>
        </is>
      </c>
      <c r="K537" s="70" t="n">
        <v>1</v>
      </c>
      <c r="L537" s="70" t="n">
        <v>1</v>
      </c>
      <c r="M537" s="71" t="inlineStr">
        <is>
          <t>项</t>
        </is>
      </c>
      <c r="N537" s="72" t="n">
        <v>493.05</v>
      </c>
      <c r="O537" s="72">
        <f>ROUND(N537*(1+$F$10),2)</f>
        <v/>
      </c>
      <c r="P537" s="73">
        <f>ROUND(K537*N537,2)</f>
        <v/>
      </c>
      <c r="Q537" s="74">
        <f>ROUND(L537*N537,2)</f>
        <v/>
      </c>
      <c r="R537" s="75" t="n"/>
      <c r="S537" s="76" t="n"/>
      <c r="T537" s="77">
        <f>K537-L537</f>
        <v/>
      </c>
      <c r="U537" s="77">
        <f>P537-Q537</f>
        <v/>
      </c>
      <c r="V537" s="77">
        <f>ABS(U537)</f>
        <v/>
      </c>
      <c r="W537" s="78">
        <f>T537/L537</f>
        <v/>
      </c>
      <c r="X537" s="79">
        <f>ABS(W537)</f>
        <v/>
      </c>
      <c r="AH537" s="6" t="inlineStr">
        <is>
          <t>餐厅常规配置</t>
        </is>
      </c>
    </row>
    <row r="538" ht="11.4" customHeight="1">
      <c r="A538" s="67" t="inlineStr">
        <is>
          <t>65</t>
        </is>
      </c>
      <c r="B538" s="67" t="inlineStr">
        <is>
          <t>1063</t>
        </is>
      </c>
      <c r="C538" s="67" t="inlineStr">
        <is>
          <t>1643</t>
        </is>
      </c>
      <c r="D538" s="68" t="inlineStr">
        <is>
          <t>01</t>
        </is>
      </c>
      <c r="E538" s="68" t="inlineStr">
        <is>
          <t>6 物业施工费</t>
        </is>
      </c>
      <c r="F538" s="68" t="inlineStr">
        <is>
          <t>6.1 总承包工程</t>
        </is>
      </c>
      <c r="G538" s="68" t="inlineStr">
        <is>
          <t>6.1.1 内部装修工程</t>
        </is>
      </c>
      <c r="H538" s="68" t="inlineStr">
        <is>
          <t>墙体（均包含规范要求之圈梁、构造柱、粉墙）</t>
        </is>
      </c>
      <c r="I538" s="69" t="inlineStr">
        <is>
          <t>1000021832</t>
        </is>
      </c>
      <c r="J538" s="69" t="inlineStr">
        <is>
          <t>240厚砌块墙</t>
        </is>
      </c>
      <c r="K538" s="70" t="n"/>
      <c r="L538" s="70" t="n"/>
      <c r="M538" s="71" t="inlineStr">
        <is>
          <t>m2</t>
        </is>
      </c>
      <c r="N538" s="72" t="n">
        <v>153.82</v>
      </c>
      <c r="O538" s="72">
        <f>ROUND(N538*(1+$F$10),2)</f>
        <v/>
      </c>
      <c r="P538" s="73">
        <f>ROUND(K538*N538,2)</f>
        <v/>
      </c>
      <c r="Q538" s="74">
        <f>ROUND(L538*N538,2)</f>
        <v/>
      </c>
      <c r="R538" s="75" t="n"/>
      <c r="S538" s="76" t="n"/>
      <c r="T538" s="77">
        <f>K538-L538</f>
        <v/>
      </c>
      <c r="U538" s="77">
        <f>P538-Q538</f>
        <v/>
      </c>
      <c r="V538" s="77">
        <f>ABS(U538)</f>
        <v/>
      </c>
      <c r="W538" s="78">
        <f>T538/L538</f>
        <v/>
      </c>
      <c r="X538" s="79">
        <f>ABS(W538)</f>
        <v/>
      </c>
      <c r="AG538" s="80" t="inlineStr">
        <is>
          <t>基本墙面积</t>
        </is>
      </c>
    </row>
    <row r="539" ht="11.4" customHeight="1">
      <c r="A539" s="67" t="inlineStr">
        <is>
          <t>65</t>
        </is>
      </c>
      <c r="B539" s="67" t="inlineStr">
        <is>
          <t>1063</t>
        </is>
      </c>
      <c r="C539" s="67" t="inlineStr">
        <is>
          <t>1643</t>
        </is>
      </c>
      <c r="D539" s="68" t="inlineStr">
        <is>
          <t>01</t>
        </is>
      </c>
      <c r="E539" s="68" t="inlineStr">
        <is>
          <t>6 物业施工费</t>
        </is>
      </c>
      <c r="F539" s="68" t="inlineStr">
        <is>
          <t>6.1 总承包工程</t>
        </is>
      </c>
      <c r="G539" s="68" t="inlineStr">
        <is>
          <t>6.1.1 内部装修工程</t>
        </is>
      </c>
      <c r="H539" s="68" t="inlineStr">
        <is>
          <t>墙体（均包含规范要求之圈梁、构造柱、粉墙）</t>
        </is>
      </c>
      <c r="I539" s="69" t="inlineStr">
        <is>
          <t>1000021833</t>
        </is>
      </c>
      <c r="J539" s="69" t="inlineStr">
        <is>
          <t>150厚砌块墙</t>
        </is>
      </c>
      <c r="K539" s="70" t="n">
        <v>261.79</v>
      </c>
      <c r="L539" s="70" t="n">
        <v>263.07</v>
      </c>
      <c r="M539" s="71" t="inlineStr">
        <is>
          <t>m2</t>
        </is>
      </c>
      <c r="N539" s="72" t="n">
        <v>121.97</v>
      </c>
      <c r="O539" s="72">
        <f>ROUND(N539*(1+$F$10),2)</f>
        <v/>
      </c>
      <c r="P539" s="73">
        <f>ROUND(K539*N539,2)</f>
        <v/>
      </c>
      <c r="Q539" s="74">
        <f>ROUND(L539*N539,2)</f>
        <v/>
      </c>
      <c r="R539" s="75" t="n"/>
      <c r="S539" s="76" t="n"/>
      <c r="T539" s="77">
        <f>K539-L539</f>
        <v/>
      </c>
      <c r="U539" s="77">
        <f>P539-Q539</f>
        <v/>
      </c>
      <c r="V539" s="77">
        <f>ABS(U539)</f>
        <v/>
      </c>
      <c r="W539" s="78">
        <f>T539/L539</f>
        <v/>
      </c>
      <c r="X539" s="79">
        <f>ABS(W539)</f>
        <v/>
      </c>
      <c r="AG539" s="80" t="inlineStr">
        <is>
          <t>基本墙面积</t>
        </is>
      </c>
    </row>
    <row r="540" ht="11.4" customHeight="1">
      <c r="A540" s="67" t="inlineStr">
        <is>
          <t>65</t>
        </is>
      </c>
      <c r="B540" s="67" t="inlineStr">
        <is>
          <t>1063</t>
        </is>
      </c>
      <c r="C540" s="67" t="inlineStr">
        <is>
          <t>1643</t>
        </is>
      </c>
      <c r="D540" s="68" t="inlineStr">
        <is>
          <t>01</t>
        </is>
      </c>
      <c r="E540" s="68" t="inlineStr">
        <is>
          <t>6 物业施工费</t>
        </is>
      </c>
      <c r="F540" s="68" t="inlineStr">
        <is>
          <t>6.1 总承包工程</t>
        </is>
      </c>
      <c r="G540" s="68" t="inlineStr">
        <is>
          <t>6.1.1 内部装修工程</t>
        </is>
      </c>
      <c r="H540" s="68" t="inlineStr">
        <is>
          <t>墙体（均包含规范要求之圈梁、构造柱、粉墙）</t>
        </is>
      </c>
      <c r="I540" s="69" t="inlineStr">
        <is>
          <t>1000021834</t>
        </is>
      </c>
      <c r="J540" s="69" t="inlineStr">
        <is>
          <t>120厚砌块墙</t>
        </is>
      </c>
      <c r="K540" s="70" t="n"/>
      <c r="L540" s="70" t="n"/>
      <c r="M540" s="71" t="inlineStr">
        <is>
          <t>m2</t>
        </is>
      </c>
      <c r="N540" s="72" t="n">
        <v>93.01000000000001</v>
      </c>
      <c r="O540" s="72">
        <f>ROUND(N540*(1+$F$10),2)</f>
        <v/>
      </c>
      <c r="P540" s="73">
        <f>ROUND(K540*N540,2)</f>
        <v/>
      </c>
      <c r="Q540" s="74">
        <f>ROUND(L540*N540,2)</f>
        <v/>
      </c>
      <c r="R540" s="75" t="n"/>
      <c r="S540" s="76" t="n"/>
      <c r="T540" s="77">
        <f>K540-L540</f>
        <v/>
      </c>
      <c r="U540" s="77">
        <f>P540-Q540</f>
        <v/>
      </c>
      <c r="V540" s="77">
        <f>ABS(U540)</f>
        <v/>
      </c>
      <c r="W540" s="78">
        <f>T540/L540</f>
        <v/>
      </c>
      <c r="X540" s="79">
        <f>ABS(W540)</f>
        <v/>
      </c>
      <c r="AG540" s="80" t="inlineStr">
        <is>
          <t>基本墙面积</t>
        </is>
      </c>
    </row>
    <row r="541" ht="11.4" customHeight="1">
      <c r="A541" s="67" t="inlineStr">
        <is>
          <t>65</t>
        </is>
      </c>
      <c r="B541" s="67" t="inlineStr">
        <is>
          <t>1063</t>
        </is>
      </c>
      <c r="C541" s="67" t="inlineStr">
        <is>
          <t>1643</t>
        </is>
      </c>
      <c r="D541" s="68" t="inlineStr">
        <is>
          <t>01</t>
        </is>
      </c>
      <c r="E541" s="68" t="inlineStr">
        <is>
          <t>6 物业施工费</t>
        </is>
      </c>
      <c r="F541" s="68" t="inlineStr">
        <is>
          <t>6.1 总承包工程</t>
        </is>
      </c>
      <c r="G541" s="68" t="inlineStr">
        <is>
          <t>6.1.1 内部装修工程</t>
        </is>
      </c>
      <c r="H541" s="68" t="inlineStr">
        <is>
          <t>墙体（均包含规范要求之圈梁、构造柱、粉墙）</t>
        </is>
      </c>
      <c r="I541" s="69" t="inlineStr">
        <is>
          <t>1000021835</t>
        </is>
      </c>
      <c r="J541" s="69" t="inlineStr">
        <is>
          <t>100轻钢龙骨隔墙</t>
        </is>
      </c>
      <c r="K541" s="70" t="n"/>
      <c r="L541" s="70" t="n"/>
      <c r="M541" s="71" t="inlineStr">
        <is>
          <t>m2</t>
        </is>
      </c>
      <c r="N541" s="72" t="n">
        <v>147.12</v>
      </c>
      <c r="O541" s="72">
        <f>ROUND(N541*(1+$F$10),2)</f>
        <v/>
      </c>
      <c r="P541" s="73">
        <f>ROUND(K541*N541,2)</f>
        <v/>
      </c>
      <c r="Q541" s="74">
        <f>ROUND(L541*N541,2)</f>
        <v/>
      </c>
      <c r="R541" s="75" t="n"/>
      <c r="S541" s="76" t="n"/>
      <c r="T541" s="77">
        <f>K541-L541</f>
        <v/>
      </c>
      <c r="U541" s="77">
        <f>P541-Q541</f>
        <v/>
      </c>
      <c r="V541" s="77">
        <f>ABS(U541)</f>
        <v/>
      </c>
      <c r="W541" s="78">
        <f>T541/L541</f>
        <v/>
      </c>
      <c r="X541" s="79">
        <f>ABS(W541)</f>
        <v/>
      </c>
      <c r="AG541" s="80" t="inlineStr">
        <is>
          <t>基本墙面积</t>
        </is>
      </c>
    </row>
    <row r="542" ht="11.4" customHeight="1">
      <c r="A542" s="67" t="inlineStr">
        <is>
          <t>65</t>
        </is>
      </c>
      <c r="B542" s="67" t="inlineStr">
        <is>
          <t>1063</t>
        </is>
      </c>
      <c r="C542" s="67" t="inlineStr">
        <is>
          <t>1643</t>
        </is>
      </c>
      <c r="D542" s="68" t="inlineStr">
        <is>
          <t>01</t>
        </is>
      </c>
      <c r="E542" s="68" t="inlineStr">
        <is>
          <t>6 物业施工费</t>
        </is>
      </c>
      <c r="F542" s="68" t="inlineStr">
        <is>
          <t>6.1 总承包工程</t>
        </is>
      </c>
      <c r="G542" s="68" t="inlineStr">
        <is>
          <t>6.1.1 内部装修工程</t>
        </is>
      </c>
      <c r="H542" s="68" t="inlineStr">
        <is>
          <t>墙体（均包含规范要求之圈梁、构造柱、粉墙）</t>
        </is>
      </c>
      <c r="I542" s="69" t="inlineStr">
        <is>
          <t>1000021836</t>
        </is>
      </c>
      <c r="J542" s="69" t="inlineStr">
        <is>
          <t>50厚钢构墙体蒙网抹灰（双面）</t>
        </is>
      </c>
      <c r="K542" s="70" t="n"/>
      <c r="L542" s="70" t="n"/>
      <c r="M542" s="71" t="inlineStr">
        <is>
          <t>m2</t>
        </is>
      </c>
      <c r="N542" s="72" t="n">
        <v>246.52</v>
      </c>
      <c r="O542" s="72">
        <f>ROUND(N542*(1+$F$10),2)</f>
        <v/>
      </c>
      <c r="P542" s="73">
        <f>ROUND(K542*N542,2)</f>
        <v/>
      </c>
      <c r="Q542" s="74">
        <f>ROUND(L542*N542,2)</f>
        <v/>
      </c>
      <c r="R542" s="75" t="n"/>
      <c r="S542" s="76" t="n"/>
      <c r="T542" s="77">
        <f>K542-L542</f>
        <v/>
      </c>
      <c r="U542" s="77">
        <f>P542-Q542</f>
        <v/>
      </c>
      <c r="V542" s="77">
        <f>ABS(U542)</f>
        <v/>
      </c>
      <c r="W542" s="78">
        <f>T542/L542</f>
        <v/>
      </c>
      <c r="X542" s="79">
        <f>ABS(W542)</f>
        <v/>
      </c>
      <c r="AG542" s="80" t="n"/>
      <c r="AH542" s="80" t="inlineStr">
        <is>
          <t>调整</t>
        </is>
      </c>
    </row>
    <row r="543" ht="11.4" customHeight="1">
      <c r="A543" s="67" t="inlineStr">
        <is>
          <t>65</t>
        </is>
      </c>
      <c r="B543" s="67" t="inlineStr">
        <is>
          <t>1063</t>
        </is>
      </c>
      <c r="C543" s="67" t="inlineStr">
        <is>
          <t>1643</t>
        </is>
      </c>
      <c r="D543" s="68" t="inlineStr">
        <is>
          <t>01</t>
        </is>
      </c>
      <c r="E543" s="68" t="inlineStr">
        <is>
          <t>6 物业施工费</t>
        </is>
      </c>
      <c r="F543" s="68" t="inlineStr">
        <is>
          <t>6.1 总承包工程</t>
        </is>
      </c>
      <c r="G543" s="68" t="inlineStr">
        <is>
          <t>6.1.1 内部装修工程</t>
        </is>
      </c>
      <c r="H543" s="68" t="inlineStr">
        <is>
          <t>墙体（均包含规范要求之圈梁、构造柱、粉墙）</t>
        </is>
      </c>
      <c r="I543" s="69" t="inlineStr">
        <is>
          <t>1000021837</t>
        </is>
      </c>
      <c r="J543" s="69" t="inlineStr">
        <is>
          <t>50厚钢构墙体蒙网抹灰（单面）</t>
        </is>
      </c>
      <c r="K543" s="70" t="n"/>
      <c r="L543" s="70" t="n"/>
      <c r="M543" s="71" t="inlineStr">
        <is>
          <t>m2</t>
        </is>
      </c>
      <c r="N543" s="72" t="n">
        <v>142.03</v>
      </c>
      <c r="O543" s="72">
        <f>ROUND(N543*(1+$F$10),2)</f>
        <v/>
      </c>
      <c r="P543" s="73">
        <f>ROUND(K543*N543,2)</f>
        <v/>
      </c>
      <c r="Q543" s="74">
        <f>ROUND(L543*N543,2)</f>
        <v/>
      </c>
      <c r="R543" s="75" t="n"/>
      <c r="S543" s="76" t="n"/>
      <c r="T543" s="77">
        <f>K543-L543</f>
        <v/>
      </c>
      <c r="U543" s="77">
        <f>P543-Q543</f>
        <v/>
      </c>
      <c r="V543" s="77">
        <f>ABS(U543)</f>
        <v/>
      </c>
      <c r="W543" s="78">
        <f>T543/L543</f>
        <v/>
      </c>
      <c r="X543" s="79">
        <f>ABS(W543)</f>
        <v/>
      </c>
      <c r="AG543" s="80" t="n"/>
      <c r="AH543" s="80" t="inlineStr">
        <is>
          <t>调整</t>
        </is>
      </c>
    </row>
    <row r="544" ht="11.4" customHeight="1">
      <c r="A544" s="67" t="inlineStr">
        <is>
          <t>65</t>
        </is>
      </c>
      <c r="B544" s="67" t="inlineStr">
        <is>
          <t>1063</t>
        </is>
      </c>
      <c r="C544" s="67" t="inlineStr">
        <is>
          <t>1643</t>
        </is>
      </c>
      <c r="D544" s="68" t="inlineStr">
        <is>
          <t>01</t>
        </is>
      </c>
      <c r="E544" s="68" t="inlineStr">
        <is>
          <t>6 物业施工费</t>
        </is>
      </c>
      <c r="F544" s="68" t="inlineStr">
        <is>
          <t>6.1 总承包工程</t>
        </is>
      </c>
      <c r="G544" s="68" t="inlineStr">
        <is>
          <t>6.1.1 内部装修工程</t>
        </is>
      </c>
      <c r="H544" s="68" t="inlineStr">
        <is>
          <t>墙体（均包含规范要求之圈梁、构造柱、粉墙）</t>
        </is>
      </c>
      <c r="I544" s="69" t="inlineStr">
        <is>
          <t>1000021838</t>
        </is>
      </c>
      <c r="J544" s="69" t="inlineStr">
        <is>
          <t>1000mm高矮墙（上口人造石）（不含防火板）</t>
        </is>
      </c>
      <c r="K544" s="70" t="n"/>
      <c r="L544" s="70" t="n"/>
      <c r="M544" s="71" t="inlineStr">
        <is>
          <t>米</t>
        </is>
      </c>
      <c r="N544" s="72" t="n">
        <v>550.98</v>
      </c>
      <c r="O544" s="72">
        <f>ROUND(N544*(1+$F$10),2)</f>
        <v/>
      </c>
      <c r="P544" s="73">
        <f>ROUND(K544*N544,2)</f>
        <v/>
      </c>
      <c r="Q544" s="74">
        <f>ROUND(L544*N544,2)</f>
        <v/>
      </c>
      <c r="R544" s="75" t="n"/>
      <c r="S544" s="76" t="n"/>
      <c r="T544" s="77">
        <f>K544-L544</f>
        <v/>
      </c>
      <c r="U544" s="77">
        <f>P544-Q544</f>
        <v/>
      </c>
      <c r="V544" s="77">
        <f>ABS(U544)</f>
        <v/>
      </c>
      <c r="W544" s="78">
        <f>T544/L544</f>
        <v/>
      </c>
      <c r="X544" s="79">
        <f>ABS(W544)</f>
        <v/>
      </c>
      <c r="AG544" s="80" t="inlineStr">
        <is>
          <t>基本墙长度参数</t>
        </is>
      </c>
    </row>
    <row r="545" ht="11.4" customHeight="1">
      <c r="A545" s="67" t="inlineStr">
        <is>
          <t>65</t>
        </is>
      </c>
      <c r="B545" s="67" t="inlineStr">
        <is>
          <t>1063</t>
        </is>
      </c>
      <c r="C545" s="67" t="inlineStr">
        <is>
          <t>1643</t>
        </is>
      </c>
      <c r="D545" s="68" t="inlineStr">
        <is>
          <t>01</t>
        </is>
      </c>
      <c r="E545" s="68" t="inlineStr">
        <is>
          <t>6 物业施工费</t>
        </is>
      </c>
      <c r="F545" s="68" t="inlineStr">
        <is>
          <t>6.1 总承包工程</t>
        </is>
      </c>
      <c r="G545" s="68" t="inlineStr">
        <is>
          <t>6.1.1 内部装修工程</t>
        </is>
      </c>
      <c r="H545" s="68" t="inlineStr">
        <is>
          <t>墙体（均包含规范要求之圈梁、构造柱、粉墙）</t>
        </is>
      </c>
      <c r="I545" s="69" t="inlineStr">
        <is>
          <t>1000021839</t>
        </is>
      </c>
      <c r="J545" s="84" t="inlineStr">
        <is>
          <t>高凳侧面屏风仅龙骨</t>
        </is>
      </c>
      <c r="K545" s="70" t="n"/>
      <c r="L545" s="70" t="n"/>
      <c r="M545" s="71" t="inlineStr">
        <is>
          <t>m2</t>
        </is>
      </c>
      <c r="N545" s="72" t="n">
        <v>360.14</v>
      </c>
      <c r="O545" s="72">
        <f>ROUND(N545*(1+$F$10),2)</f>
        <v/>
      </c>
      <c r="P545" s="73">
        <f>ROUND(K545*N545,2)</f>
        <v/>
      </c>
      <c r="Q545" s="74">
        <f>ROUND(L545*N545,2)</f>
        <v/>
      </c>
      <c r="R545" s="75" t="n"/>
      <c r="S545" s="76" t="n"/>
      <c r="T545" s="77">
        <f>K545-L545</f>
        <v/>
      </c>
      <c r="U545" s="77">
        <f>P545-Q545</f>
        <v/>
      </c>
      <c r="V545" s="77">
        <f>ABS(U545)</f>
        <v/>
      </c>
      <c r="W545" s="78">
        <f>T545/L545</f>
        <v/>
      </c>
      <c r="X545" s="79">
        <f>ABS(W545)</f>
        <v/>
      </c>
    </row>
    <row r="546" ht="11.4" customHeight="1">
      <c r="A546" s="67" t="inlineStr">
        <is>
          <t>65</t>
        </is>
      </c>
      <c r="B546" s="67" t="inlineStr">
        <is>
          <t>1063</t>
        </is>
      </c>
      <c r="C546" s="67" t="inlineStr">
        <is>
          <t>1643</t>
        </is>
      </c>
      <c r="D546" s="68" t="inlineStr">
        <is>
          <t>01</t>
        </is>
      </c>
      <c r="E546" s="68" t="inlineStr">
        <is>
          <t>6 物业施工费</t>
        </is>
      </c>
      <c r="F546" s="68" t="inlineStr">
        <is>
          <t>6.1 总承包工程</t>
        </is>
      </c>
      <c r="G546" s="68" t="inlineStr">
        <is>
          <t>6.1.1 内部装修工程</t>
        </is>
      </c>
      <c r="H546" s="68" t="inlineStr">
        <is>
          <t>墙体（均包含规范要求之圈梁、构造柱、粉墙）</t>
        </is>
      </c>
      <c r="I546" s="69" t="inlineStr">
        <is>
          <t>1000021840</t>
        </is>
      </c>
      <c r="J546" s="69" t="inlineStr">
        <is>
          <t>墙面粉墙找平</t>
        </is>
      </c>
      <c r="K546" s="70" t="n"/>
      <c r="L546" s="70" t="n"/>
      <c r="M546" s="71" t="inlineStr">
        <is>
          <t>m2</t>
        </is>
      </c>
      <c r="N546" s="72" t="n">
        <v>36.37</v>
      </c>
      <c r="O546" s="72">
        <f>ROUND(N546*(1+$F$10),2)</f>
        <v/>
      </c>
      <c r="P546" s="73">
        <f>ROUND(K546*N546,2)</f>
        <v/>
      </c>
      <c r="Q546" s="74">
        <f>ROUND(L546*N546,2)</f>
        <v/>
      </c>
      <c r="R546" s="75" t="n"/>
      <c r="S546" s="76" t="n"/>
      <c r="T546" s="77">
        <f>K546-L546</f>
        <v/>
      </c>
      <c r="U546" s="77">
        <f>P546-Q546</f>
        <v/>
      </c>
      <c r="V546" s="77">
        <f>ABS(U546)</f>
        <v/>
      </c>
      <c r="W546" s="78">
        <f>T546/L546</f>
        <v/>
      </c>
      <c r="X546" s="79">
        <f>ABS(W546)</f>
        <v/>
      </c>
      <c r="AH546" s="80" t="inlineStr">
        <is>
          <t>调整</t>
        </is>
      </c>
    </row>
    <row r="547" ht="11.4" customHeight="1">
      <c r="A547" s="67" t="inlineStr">
        <is>
          <t>65</t>
        </is>
      </c>
      <c r="B547" s="67" t="inlineStr">
        <is>
          <t>1063</t>
        </is>
      </c>
      <c r="C547" s="67" t="inlineStr">
        <is>
          <t>1643</t>
        </is>
      </c>
      <c r="D547" s="68" t="inlineStr">
        <is>
          <t>01</t>
        </is>
      </c>
      <c r="E547" s="68" t="inlineStr">
        <is>
          <t>6 物业施工费</t>
        </is>
      </c>
      <c r="F547" s="68" t="inlineStr">
        <is>
          <t>6.1 总承包工程</t>
        </is>
      </c>
      <c r="G547" s="68" t="inlineStr">
        <is>
          <t>6.1.1 内部装修工程</t>
        </is>
      </c>
      <c r="H547" s="68" t="inlineStr">
        <is>
          <t>墙体（均包含规范要求之圈梁、构造柱、粉墙）</t>
        </is>
      </c>
      <c r="I547" s="69" t="inlineStr">
        <is>
          <t>1000021841</t>
        </is>
      </c>
      <c r="J547" s="69" t="inlineStr">
        <is>
          <t>配电柜/员工柜/洗衣机之地台</t>
        </is>
      </c>
      <c r="K547" s="70" t="n">
        <v>3</v>
      </c>
      <c r="L547" s="70" t="n">
        <v>3</v>
      </c>
      <c r="M547" s="71" t="inlineStr">
        <is>
          <t>m2</t>
        </is>
      </c>
      <c r="N547" s="72" t="n">
        <v>106.36</v>
      </c>
      <c r="O547" s="72">
        <f>ROUND(N547*(1+$F$10),2)</f>
        <v/>
      </c>
      <c r="P547" s="73">
        <f>ROUND(K547*N547,2)</f>
        <v/>
      </c>
      <c r="Q547" s="74">
        <f>ROUND(L547*N547,2)</f>
        <v/>
      </c>
      <c r="R547" s="75" t="n"/>
      <c r="S547" s="76" t="n"/>
      <c r="T547" s="77">
        <f>K547-L547</f>
        <v/>
      </c>
      <c r="U547" s="77">
        <f>P547-Q547</f>
        <v/>
      </c>
      <c r="V547" s="77">
        <f>ABS(U547)</f>
        <v/>
      </c>
      <c r="W547" s="78">
        <f>T547/L547</f>
        <v/>
      </c>
      <c r="X547" s="79">
        <f>ABS(W547)</f>
        <v/>
      </c>
      <c r="AG547" s="80" t="inlineStr">
        <is>
          <t>个数</t>
        </is>
      </c>
    </row>
    <row r="548" ht="11.4" customHeight="1">
      <c r="A548" s="67" t="inlineStr">
        <is>
          <t>64</t>
        </is>
      </c>
      <c r="B548" s="67" t="inlineStr">
        <is>
          <t>1062</t>
        </is>
      </c>
      <c r="C548" s="67" t="inlineStr">
        <is>
          <t>1611</t>
        </is>
      </c>
      <c r="D548" s="68" t="inlineStr">
        <is>
          <t>01</t>
        </is>
      </c>
      <c r="E548" s="68" t="inlineStr">
        <is>
          <t>6 物业施工费</t>
        </is>
      </c>
      <c r="F548" s="68" t="inlineStr">
        <is>
          <t>6.1 总承包工程</t>
        </is>
      </c>
      <c r="G548" s="68" t="inlineStr">
        <is>
          <t>6.1.1 内部装修工程</t>
        </is>
      </c>
      <c r="H548" s="68" t="inlineStr">
        <is>
          <t>其他零星装修</t>
        </is>
      </c>
      <c r="I548" s="69" t="inlineStr">
        <is>
          <t>1000021520</t>
        </is>
      </c>
      <c r="J548" s="69" t="inlineStr">
        <is>
          <t>40mm厚成品门（含门套，连桥供应）</t>
        </is>
      </c>
      <c r="K548" s="70" t="n">
        <v>3</v>
      </c>
      <c r="L548" s="70" t="n">
        <v>3</v>
      </c>
      <c r="M548" s="71" t="inlineStr">
        <is>
          <t>樘</t>
        </is>
      </c>
      <c r="N548" s="72" t="n">
        <v>2585.55</v>
      </c>
      <c r="O548" s="72">
        <f>ROUND(N548*(1+$F$10),2)</f>
        <v/>
      </c>
      <c r="P548" s="73">
        <f>ROUND(K548*N548,2)</f>
        <v/>
      </c>
      <c r="Q548" s="74">
        <f>ROUND(L548*N548,2)</f>
        <v/>
      </c>
      <c r="R548" s="75" t="n"/>
      <c r="S548" s="76" t="n"/>
      <c r="T548" s="77">
        <f>K548-L548</f>
        <v/>
      </c>
      <c r="U548" s="77">
        <f>P548-Q548</f>
        <v/>
      </c>
      <c r="V548" s="77">
        <f>ABS(U548)</f>
        <v/>
      </c>
      <c r="W548" s="78">
        <f>T548/L548</f>
        <v/>
      </c>
      <c r="X548" s="79">
        <f>ABS(W548)</f>
        <v/>
      </c>
      <c r="AG548" s="80" t="inlineStr">
        <is>
          <t>个数</t>
        </is>
      </c>
    </row>
    <row r="549" ht="11.4" customHeight="1">
      <c r="A549" s="67" t="inlineStr">
        <is>
          <t>64</t>
        </is>
      </c>
      <c r="B549" s="67" t="inlineStr">
        <is>
          <t>1062</t>
        </is>
      </c>
      <c r="C549" s="67" t="inlineStr">
        <is>
          <t>1611</t>
        </is>
      </c>
      <c r="D549" s="68" t="inlineStr">
        <is>
          <t>01</t>
        </is>
      </c>
      <c r="E549" s="68" t="inlineStr">
        <is>
          <t>6 物业施工费</t>
        </is>
      </c>
      <c r="F549" s="68" t="inlineStr">
        <is>
          <t>6.1 总承包工程</t>
        </is>
      </c>
      <c r="G549" s="68" t="inlineStr">
        <is>
          <t>6.1.1 内部装修工程</t>
        </is>
      </c>
      <c r="H549" s="68" t="inlineStr">
        <is>
          <t>其他零星装修</t>
        </is>
      </c>
      <c r="I549" s="69" t="inlineStr">
        <is>
          <t>1000021658</t>
        </is>
      </c>
      <c r="J549" s="69" t="inlineStr">
        <is>
          <t>40mm厚成品门（含门套，远达供应）</t>
        </is>
      </c>
      <c r="K549" s="70" t="n"/>
      <c r="L549" s="70" t="n"/>
      <c r="M549" s="71" t="inlineStr">
        <is>
          <t>樘</t>
        </is>
      </c>
      <c r="N549" s="72" t="n">
        <v>2585.55</v>
      </c>
      <c r="O549" s="72">
        <f>ROUND(N549*(1+$F$10),2)</f>
        <v/>
      </c>
      <c r="P549" s="73">
        <f>ROUND(K549*N549,2)</f>
        <v/>
      </c>
      <c r="Q549" s="74">
        <f>ROUND(L549*N549,2)</f>
        <v/>
      </c>
      <c r="R549" s="75" t="n"/>
      <c r="S549" s="76" t="n"/>
      <c r="T549" s="77">
        <f>K549-L549</f>
        <v/>
      </c>
      <c r="U549" s="77">
        <f>P549-Q549</f>
        <v/>
      </c>
      <c r="V549" s="77">
        <f>ABS(U549)</f>
        <v/>
      </c>
      <c r="W549" s="78">
        <f>T549/L549</f>
        <v/>
      </c>
      <c r="X549" s="79">
        <f>ABS(W549)</f>
        <v/>
      </c>
      <c r="AG549" s="80" t="inlineStr">
        <is>
          <t>个数</t>
        </is>
      </c>
    </row>
    <row r="550" ht="11.4" customHeight="1">
      <c r="A550" s="67" t="inlineStr">
        <is>
          <t>64</t>
        </is>
      </c>
      <c r="B550" s="67" t="inlineStr">
        <is>
          <t>1062</t>
        </is>
      </c>
      <c r="C550" s="67" t="inlineStr">
        <is>
          <t>1611</t>
        </is>
      </c>
      <c r="D550" s="68" t="inlineStr">
        <is>
          <t>01</t>
        </is>
      </c>
      <c r="E550" s="68" t="inlineStr">
        <is>
          <t>6 物业施工费</t>
        </is>
      </c>
      <c r="F550" s="68" t="inlineStr">
        <is>
          <t>6.1 总承包工程</t>
        </is>
      </c>
      <c r="G550" s="68" t="inlineStr">
        <is>
          <t>6.1.1 内部装修工程</t>
        </is>
      </c>
      <c r="H550" s="68" t="inlineStr">
        <is>
          <t>其他零星装修</t>
        </is>
      </c>
      <c r="I550" s="69" t="inlineStr">
        <is>
          <t>1000053617</t>
        </is>
      </c>
      <c r="J550" s="69" t="inlineStr">
        <is>
          <t>40mm厚成品门（含门套，航凯供应）</t>
        </is>
      </c>
      <c r="K550" s="70" t="n"/>
      <c r="L550" s="70" t="n"/>
      <c r="M550" s="71" t="inlineStr">
        <is>
          <t>樘</t>
        </is>
      </c>
      <c r="N550" s="72" t="n">
        <v>2941.14</v>
      </c>
      <c r="O550" s="72">
        <f>ROUND(N550*(1+$F$10),2)</f>
        <v/>
      </c>
      <c r="P550" s="73">
        <f>ROUND(K550*N550,2)</f>
        <v/>
      </c>
      <c r="Q550" s="74">
        <f>ROUND(L550*N550,2)</f>
        <v/>
      </c>
      <c r="R550" s="75" t="n"/>
      <c r="S550" s="76" t="n"/>
      <c r="T550" s="77">
        <f>K550-L550</f>
        <v/>
      </c>
      <c r="U550" s="77">
        <f>P550-Q550</f>
        <v/>
      </c>
      <c r="V550" s="77">
        <f>ABS(U550)</f>
        <v/>
      </c>
      <c r="W550" s="78">
        <f>T550/L550</f>
        <v/>
      </c>
      <c r="X550" s="79">
        <f>ABS(W550)</f>
        <v/>
      </c>
      <c r="AG550" s="80" t="inlineStr">
        <is>
          <t>个数</t>
        </is>
      </c>
    </row>
    <row r="551" ht="11.4" customHeight="1">
      <c r="A551" s="67" t="inlineStr">
        <is>
          <t>64</t>
        </is>
      </c>
      <c r="B551" s="67" t="inlineStr">
        <is>
          <t>1062</t>
        </is>
      </c>
      <c r="C551" s="67" t="inlineStr">
        <is>
          <t>1611</t>
        </is>
      </c>
      <c r="D551" s="68" t="inlineStr">
        <is>
          <t>01</t>
        </is>
      </c>
      <c r="E551" s="68" t="inlineStr">
        <is>
          <t>6 物业施工费</t>
        </is>
      </c>
      <c r="F551" s="68" t="inlineStr">
        <is>
          <t>6.1 总承包工程</t>
        </is>
      </c>
      <c r="G551" s="68" t="inlineStr">
        <is>
          <t>6.1.1 内部装修工程</t>
        </is>
      </c>
      <c r="H551" s="68" t="inlineStr">
        <is>
          <t>其他零星装修</t>
        </is>
      </c>
      <c r="I551" s="69" t="inlineStr">
        <is>
          <t>1000021521</t>
        </is>
      </c>
      <c r="J551" s="69" t="inlineStr">
        <is>
          <t>员工室入口 门套（连桥供应）</t>
        </is>
      </c>
      <c r="K551" s="70" t="n"/>
      <c r="L551" s="70" t="n"/>
      <c r="M551" s="71" t="inlineStr">
        <is>
          <t>樘</t>
        </is>
      </c>
      <c r="N551" s="72" t="n">
        <v>1580.15</v>
      </c>
      <c r="O551" s="72">
        <f>ROUND(N551*(1+$F$10),2)</f>
        <v/>
      </c>
      <c r="P551" s="73">
        <f>ROUND(K551*N551,2)</f>
        <v/>
      </c>
      <c r="Q551" s="74">
        <f>ROUND(L551*N551,2)</f>
        <v/>
      </c>
      <c r="R551" s="75" t="n"/>
      <c r="S551" s="76" t="n"/>
      <c r="T551" s="77">
        <f>K551-L551</f>
        <v/>
      </c>
      <c r="U551" s="77">
        <f>P551-Q551</f>
        <v/>
      </c>
      <c r="V551" s="77">
        <f>ABS(U551)</f>
        <v/>
      </c>
      <c r="W551" s="78">
        <f>T551/L551</f>
        <v/>
      </c>
      <c r="X551" s="79">
        <f>ABS(W551)</f>
        <v/>
      </c>
      <c r="AG551" s="80" t="inlineStr">
        <is>
          <t>个数</t>
        </is>
      </c>
    </row>
    <row r="552" ht="11.4" customHeight="1">
      <c r="A552" s="67" t="inlineStr">
        <is>
          <t>64</t>
        </is>
      </c>
      <c r="B552" s="67" t="inlineStr">
        <is>
          <t>1062</t>
        </is>
      </c>
      <c r="C552" s="67" t="inlineStr">
        <is>
          <t>1611</t>
        </is>
      </c>
      <c r="D552" s="68" t="inlineStr">
        <is>
          <t>01</t>
        </is>
      </c>
      <c r="E552" s="68" t="inlineStr">
        <is>
          <t>6 物业施工费</t>
        </is>
      </c>
      <c r="F552" s="68" t="inlineStr">
        <is>
          <t>6.1 总承包工程</t>
        </is>
      </c>
      <c r="G552" s="68" t="inlineStr">
        <is>
          <t>6.1.1 内部装修工程</t>
        </is>
      </c>
      <c r="H552" s="68" t="inlineStr">
        <is>
          <t>其他零星装修</t>
        </is>
      </c>
      <c r="I552" s="69" t="inlineStr">
        <is>
          <t>1000021664</t>
        </is>
      </c>
      <c r="J552" s="69" t="inlineStr">
        <is>
          <t>员工室入口 门套（远达供应）</t>
        </is>
      </c>
      <c r="K552" s="70" t="n"/>
      <c r="L552" s="70" t="n"/>
      <c r="M552" s="71" t="inlineStr">
        <is>
          <t>樘</t>
        </is>
      </c>
      <c r="N552" s="72" t="n">
        <v>1238.26</v>
      </c>
      <c r="O552" s="72">
        <f>ROUND(N552*(1+$F$10),2)</f>
        <v/>
      </c>
      <c r="P552" s="73">
        <f>ROUND(K552*N552,2)</f>
        <v/>
      </c>
      <c r="Q552" s="74">
        <f>ROUND(L552*N552,2)</f>
        <v/>
      </c>
      <c r="R552" s="75" t="n"/>
      <c r="S552" s="76" t="n"/>
      <c r="T552" s="77">
        <f>K552-L552</f>
        <v/>
      </c>
      <c r="U552" s="77">
        <f>P552-Q552</f>
        <v/>
      </c>
      <c r="V552" s="77">
        <f>ABS(U552)</f>
        <v/>
      </c>
      <c r="W552" s="78">
        <f>T552/L552</f>
        <v/>
      </c>
      <c r="X552" s="79">
        <f>ABS(W552)</f>
        <v/>
      </c>
      <c r="AG552" s="80" t="inlineStr">
        <is>
          <t>个数</t>
        </is>
      </c>
    </row>
    <row r="553" ht="11.4" customHeight="1">
      <c r="A553" s="67" t="inlineStr">
        <is>
          <t>64</t>
        </is>
      </c>
      <c r="B553" s="67" t="inlineStr">
        <is>
          <t>1062</t>
        </is>
      </c>
      <c r="C553" s="67" t="inlineStr">
        <is>
          <t>1611</t>
        </is>
      </c>
      <c r="D553" s="68" t="inlineStr">
        <is>
          <t>01</t>
        </is>
      </c>
      <c r="E553" s="68" t="inlineStr">
        <is>
          <t>6 物业施工费</t>
        </is>
      </c>
      <c r="F553" s="68" t="inlineStr">
        <is>
          <t>6.1 总承包工程</t>
        </is>
      </c>
      <c r="G553" s="68" t="inlineStr">
        <is>
          <t>6.1.1 内部装修工程</t>
        </is>
      </c>
      <c r="H553" s="68" t="inlineStr">
        <is>
          <t>其他零星装修</t>
        </is>
      </c>
      <c r="I553" s="69" t="inlineStr">
        <is>
          <t>1000021522</t>
        </is>
      </c>
      <c r="J553" s="69" t="inlineStr">
        <is>
          <t>卫生间入口 成品门套（连桥供应）</t>
        </is>
      </c>
      <c r="K553" s="70" t="n"/>
      <c r="L553" s="70" t="n"/>
      <c r="M553" s="71" t="inlineStr">
        <is>
          <t>樘</t>
        </is>
      </c>
      <c r="N553" s="72" t="n">
        <v>1580.15</v>
      </c>
      <c r="O553" s="72">
        <f>ROUND(N553*(1+$F$10),2)</f>
        <v/>
      </c>
      <c r="P553" s="73">
        <f>ROUND(K553*N553,2)</f>
        <v/>
      </c>
      <c r="Q553" s="74">
        <f>ROUND(L553*N553,2)</f>
        <v/>
      </c>
      <c r="R553" s="75" t="n"/>
      <c r="S553" s="76" t="n"/>
      <c r="T553" s="77">
        <f>K553-L553</f>
        <v/>
      </c>
      <c r="U553" s="77">
        <f>P553-Q553</f>
        <v/>
      </c>
      <c r="V553" s="77">
        <f>ABS(U553)</f>
        <v/>
      </c>
      <c r="W553" s="78">
        <f>T553/L553</f>
        <v/>
      </c>
      <c r="X553" s="79">
        <f>ABS(W553)</f>
        <v/>
      </c>
      <c r="AG553" s="80" t="inlineStr">
        <is>
          <t>个数</t>
        </is>
      </c>
    </row>
    <row r="554" ht="11.4" customHeight="1">
      <c r="A554" s="67" t="inlineStr">
        <is>
          <t>64</t>
        </is>
      </c>
      <c r="B554" s="67" t="inlineStr">
        <is>
          <t>1062</t>
        </is>
      </c>
      <c r="C554" s="67" t="inlineStr">
        <is>
          <t>1611</t>
        </is>
      </c>
      <c r="D554" s="68" t="inlineStr">
        <is>
          <t>01</t>
        </is>
      </c>
      <c r="E554" s="68" t="inlineStr">
        <is>
          <t>6 物业施工费</t>
        </is>
      </c>
      <c r="F554" s="68" t="inlineStr">
        <is>
          <t>6.1 总承包工程</t>
        </is>
      </c>
      <c r="G554" s="68" t="inlineStr">
        <is>
          <t>6.1.1 内部装修工程</t>
        </is>
      </c>
      <c r="H554" s="68" t="inlineStr">
        <is>
          <t>其他零星装修</t>
        </is>
      </c>
      <c r="I554" s="69" t="inlineStr">
        <is>
          <t>1000021659</t>
        </is>
      </c>
      <c r="J554" s="69" t="inlineStr">
        <is>
          <t>卫生间入口 成品门套（远达供应）</t>
        </is>
      </c>
      <c r="K554" s="70" t="n"/>
      <c r="L554" s="70" t="n"/>
      <c r="M554" s="71" t="inlineStr">
        <is>
          <t>樘</t>
        </is>
      </c>
      <c r="N554" s="72" t="n">
        <v>1238.26</v>
      </c>
      <c r="O554" s="72">
        <f>ROUND(N554*(1+$F$10),2)</f>
        <v/>
      </c>
      <c r="P554" s="73">
        <f>ROUND(K554*N554,2)</f>
        <v/>
      </c>
      <c r="Q554" s="74">
        <f>ROUND(L554*N554,2)</f>
        <v/>
      </c>
      <c r="R554" s="75" t="n"/>
      <c r="S554" s="76" t="n"/>
      <c r="T554" s="77">
        <f>K554-L554</f>
        <v/>
      </c>
      <c r="U554" s="77">
        <f>P554-Q554</f>
        <v/>
      </c>
      <c r="V554" s="77">
        <f>ABS(U554)</f>
        <v/>
      </c>
      <c r="W554" s="78">
        <f>T554/L554</f>
        <v/>
      </c>
      <c r="X554" s="79">
        <f>ABS(W554)</f>
        <v/>
      </c>
      <c r="AG554" s="80" t="inlineStr">
        <is>
          <t>个数</t>
        </is>
      </c>
    </row>
    <row r="555" ht="11.4" customHeight="1">
      <c r="A555" s="67" t="inlineStr">
        <is>
          <t>64</t>
        </is>
      </c>
      <c r="B555" s="67" t="inlineStr">
        <is>
          <t>1062</t>
        </is>
      </c>
      <c r="C555" s="67" t="inlineStr">
        <is>
          <t>1611</t>
        </is>
      </c>
      <c r="D555" s="68" t="inlineStr">
        <is>
          <t>01</t>
        </is>
      </c>
      <c r="E555" s="68" t="inlineStr">
        <is>
          <t>6 物业施工费</t>
        </is>
      </c>
      <c r="F555" s="68" t="inlineStr">
        <is>
          <t>6.1 总承包工程</t>
        </is>
      </c>
      <c r="G555" s="68" t="inlineStr">
        <is>
          <t>6.1.1 内部装修工程</t>
        </is>
      </c>
      <c r="H555" s="68" t="inlineStr">
        <is>
          <t>其他零星装修</t>
        </is>
      </c>
      <c r="I555" s="69" t="inlineStr">
        <is>
          <t>1000022165</t>
        </is>
      </c>
      <c r="J555" s="69" t="inlineStr">
        <is>
          <t>干仓钢丝网门</t>
        </is>
      </c>
      <c r="K555" s="70" t="n"/>
      <c r="L555" s="70" t="n"/>
      <c r="M555" s="71" t="inlineStr">
        <is>
          <t>樘</t>
        </is>
      </c>
      <c r="N555" s="72" t="n">
        <v>972.95</v>
      </c>
      <c r="O555" s="72">
        <f>ROUND(N555*(1+$F$10),2)</f>
        <v/>
      </c>
      <c r="P555" s="73">
        <f>ROUND(K555*N555,2)</f>
        <v/>
      </c>
      <c r="Q555" s="74">
        <f>ROUND(L555*N555,2)</f>
        <v/>
      </c>
      <c r="R555" s="75" t="n"/>
      <c r="S555" s="76" t="n"/>
      <c r="T555" s="77">
        <f>K555-L555</f>
        <v/>
      </c>
      <c r="U555" s="77">
        <f>P555-Q555</f>
        <v/>
      </c>
      <c r="V555" s="77">
        <f>ABS(U555)</f>
        <v/>
      </c>
      <c r="W555" s="78">
        <f>T555/L555</f>
        <v/>
      </c>
      <c r="X555" s="79">
        <f>ABS(W555)</f>
        <v/>
      </c>
      <c r="AG555" s="80" t="inlineStr">
        <is>
          <t>个数</t>
        </is>
      </c>
    </row>
    <row r="556" ht="11.4" customHeight="1">
      <c r="A556" s="67" t="inlineStr">
        <is>
          <t>64</t>
        </is>
      </c>
      <c r="B556" s="67" t="inlineStr">
        <is>
          <t>1062</t>
        </is>
      </c>
      <c r="C556" s="67" t="inlineStr">
        <is>
          <t>1611</t>
        </is>
      </c>
      <c r="D556" s="68" t="inlineStr">
        <is>
          <t>01</t>
        </is>
      </c>
      <c r="E556" s="68" t="inlineStr">
        <is>
          <t>6 物业施工费</t>
        </is>
      </c>
      <c r="F556" s="68" t="inlineStr">
        <is>
          <t>6.1 总承包工程</t>
        </is>
      </c>
      <c r="G556" s="68" t="inlineStr">
        <is>
          <t>6.1.1 内部装修工程</t>
        </is>
      </c>
      <c r="H556" s="68" t="inlineStr">
        <is>
          <t>其他零星装修</t>
        </is>
      </c>
      <c r="I556" s="69" t="inlineStr">
        <is>
          <t>1000021842</t>
        </is>
      </c>
      <c r="J556" s="69" t="inlineStr">
        <is>
          <t>钢制送货后门（单开门）</t>
        </is>
      </c>
      <c r="K556" s="70" t="n"/>
      <c r="L556" s="70" t="n"/>
      <c r="M556" s="71" t="inlineStr">
        <is>
          <t>樘</t>
        </is>
      </c>
      <c r="N556" s="72" t="n">
        <v>1852.95</v>
      </c>
      <c r="O556" s="72">
        <f>ROUND(N556*(1+$F$10),2)</f>
        <v/>
      </c>
      <c r="P556" s="73">
        <f>ROUND(K556*N556,2)</f>
        <v/>
      </c>
      <c r="Q556" s="74">
        <f>ROUND(L556*N556,2)</f>
        <v/>
      </c>
      <c r="R556" s="75" t="n"/>
      <c r="S556" s="76" t="n"/>
      <c r="T556" s="77">
        <f>K556-L556</f>
        <v/>
      </c>
      <c r="U556" s="77">
        <f>P556-Q556</f>
        <v/>
      </c>
      <c r="V556" s="77">
        <f>ABS(U556)</f>
        <v/>
      </c>
      <c r="W556" s="78">
        <f>T556/L556</f>
        <v/>
      </c>
      <c r="X556" s="79">
        <f>ABS(W556)</f>
        <v/>
      </c>
      <c r="AG556" s="80" t="inlineStr">
        <is>
          <t>个数</t>
        </is>
      </c>
    </row>
    <row r="557" ht="11.4" customHeight="1">
      <c r="A557" s="67" t="inlineStr">
        <is>
          <t>64</t>
        </is>
      </c>
      <c r="B557" s="67" t="inlineStr">
        <is>
          <t>1062</t>
        </is>
      </c>
      <c r="C557" s="67" t="inlineStr">
        <is>
          <t>1611</t>
        </is>
      </c>
      <c r="D557" s="68" t="inlineStr">
        <is>
          <t>01</t>
        </is>
      </c>
      <c r="E557" s="68" t="inlineStr">
        <is>
          <t>6 物业施工费</t>
        </is>
      </c>
      <c r="F557" s="68" t="inlineStr">
        <is>
          <t>6.1 总承包工程</t>
        </is>
      </c>
      <c r="G557" s="68" t="inlineStr">
        <is>
          <t>6.1.1 内部装修工程</t>
        </is>
      </c>
      <c r="H557" s="68" t="inlineStr">
        <is>
          <t>其他零星装修</t>
        </is>
      </c>
      <c r="I557" s="69" t="inlineStr">
        <is>
          <t>1000021843</t>
        </is>
      </c>
      <c r="J557" s="69" t="inlineStr">
        <is>
          <t>传送带窗口</t>
        </is>
      </c>
      <c r="K557" s="70" t="n"/>
      <c r="L557" s="70" t="n"/>
      <c r="M557" s="71" t="inlineStr">
        <is>
          <t>套</t>
        </is>
      </c>
      <c r="N557" s="72" t="n">
        <v>2221.2</v>
      </c>
      <c r="O557" s="72">
        <f>ROUND(N557*(1+$F$10),2)</f>
        <v/>
      </c>
      <c r="P557" s="73">
        <f>ROUND(K557*N557,2)</f>
        <v/>
      </c>
      <c r="Q557" s="74">
        <f>ROUND(L557*N557,2)</f>
        <v/>
      </c>
      <c r="R557" s="75" t="n"/>
      <c r="S557" s="76" t="n"/>
      <c r="T557" s="77">
        <f>K557-L557</f>
        <v/>
      </c>
      <c r="U557" s="77">
        <f>P557-Q557</f>
        <v/>
      </c>
      <c r="V557" s="77">
        <f>ABS(U557)</f>
        <v/>
      </c>
      <c r="W557" s="78">
        <f>T557/L557</f>
        <v/>
      </c>
      <c r="X557" s="79">
        <f>ABS(W557)</f>
        <v/>
      </c>
      <c r="AG557" s="80" t="inlineStr">
        <is>
          <t>个数</t>
        </is>
      </c>
    </row>
    <row r="558" ht="11.4" customHeight="1">
      <c r="A558" s="67" t="inlineStr">
        <is>
          <t>64</t>
        </is>
      </c>
      <c r="B558" s="67" t="inlineStr">
        <is>
          <t>1062</t>
        </is>
      </c>
      <c r="C558" s="67" t="inlineStr">
        <is>
          <t>1611</t>
        </is>
      </c>
      <c r="D558" s="68" t="inlineStr">
        <is>
          <t>01</t>
        </is>
      </c>
      <c r="E558" s="68" t="inlineStr">
        <is>
          <t>6 物业施工费</t>
        </is>
      </c>
      <c r="F558" s="68" t="inlineStr">
        <is>
          <t>6.1 总承包工程</t>
        </is>
      </c>
      <c r="G558" s="68" t="inlineStr">
        <is>
          <t>6.1.1 内部装修工程</t>
        </is>
      </c>
      <c r="H558" s="68" t="inlineStr">
        <is>
          <t>其他零星装修</t>
        </is>
      </c>
      <c r="I558" s="69" t="inlineStr">
        <is>
          <t>1000021844</t>
        </is>
      </c>
      <c r="J558" s="69" t="inlineStr">
        <is>
          <t>传送带单元门</t>
        </is>
      </c>
      <c r="K558" s="70" t="n"/>
      <c r="L558" s="70" t="n"/>
      <c r="M558" s="71" t="inlineStr">
        <is>
          <t>樘</t>
        </is>
      </c>
      <c r="N558" s="72" t="n">
        <v>1687.95</v>
      </c>
      <c r="O558" s="72">
        <f>ROUND(N558*(1+$F$10),2)</f>
        <v/>
      </c>
      <c r="P558" s="73">
        <f>ROUND(K558*N558,2)</f>
        <v/>
      </c>
      <c r="Q558" s="74">
        <f>ROUND(L558*N558,2)</f>
        <v/>
      </c>
      <c r="R558" s="75" t="n"/>
      <c r="S558" s="76" t="n"/>
      <c r="T558" s="77">
        <f>K558-L558</f>
        <v/>
      </c>
      <c r="U558" s="77">
        <f>P558-Q558</f>
        <v/>
      </c>
      <c r="V558" s="77">
        <f>ABS(U558)</f>
        <v/>
      </c>
      <c r="W558" s="78">
        <f>T558/L558</f>
        <v/>
      </c>
      <c r="X558" s="79">
        <f>ABS(W558)</f>
        <v/>
      </c>
      <c r="AG558" s="80" t="inlineStr">
        <is>
          <t>个数</t>
        </is>
      </c>
    </row>
    <row r="559" ht="11.4" customHeight="1">
      <c r="A559" s="67" t="inlineStr">
        <is>
          <t>64</t>
        </is>
      </c>
      <c r="B559" s="67" t="inlineStr">
        <is>
          <t>1062</t>
        </is>
      </c>
      <c r="C559" s="67" t="inlineStr">
        <is>
          <t>1611</t>
        </is>
      </c>
      <c r="D559" s="68" t="inlineStr">
        <is>
          <t>01</t>
        </is>
      </c>
      <c r="E559" s="68" t="inlineStr">
        <is>
          <t>6 物业施工费</t>
        </is>
      </c>
      <c r="F559" s="68" t="inlineStr">
        <is>
          <t>6.1 总承包工程</t>
        </is>
      </c>
      <c r="G559" s="68" t="inlineStr">
        <is>
          <t>6.1.1 内部装修工程</t>
        </is>
      </c>
      <c r="H559" s="68" t="inlineStr">
        <is>
          <t>其他零星装修</t>
        </is>
      </c>
      <c r="I559" s="69" t="inlineStr">
        <is>
          <t>1000021845</t>
        </is>
      </c>
      <c r="J559" s="69" t="inlineStr">
        <is>
          <t>分区推拉门</t>
        </is>
      </c>
      <c r="K559" s="70" t="n"/>
      <c r="L559" s="70" t="n"/>
      <c r="M559" s="71" t="inlineStr">
        <is>
          <t>m2</t>
        </is>
      </c>
      <c r="N559" s="72" t="n">
        <v>1204.38</v>
      </c>
      <c r="O559" s="72">
        <f>ROUND(N559*(1+$F$10),2)</f>
        <v/>
      </c>
      <c r="P559" s="73">
        <f>ROUND(K559*N559,2)</f>
        <v/>
      </c>
      <c r="Q559" s="74">
        <f>ROUND(L559*N559,2)</f>
        <v/>
      </c>
      <c r="R559" s="75" t="n"/>
      <c r="S559" s="76" t="n"/>
      <c r="T559" s="77">
        <f>K559-L559</f>
        <v/>
      </c>
      <c r="U559" s="77">
        <f>P559-Q559</f>
        <v/>
      </c>
      <c r="V559" s="77">
        <f>ABS(U559)</f>
        <v/>
      </c>
      <c r="W559" s="78">
        <f>T559/L559</f>
        <v/>
      </c>
      <c r="X559" s="79">
        <f>ABS(W559)</f>
        <v/>
      </c>
      <c r="AG559" s="80" t="inlineStr">
        <is>
          <t>基本墙面积</t>
        </is>
      </c>
    </row>
    <row r="560" ht="11.4" customHeight="1">
      <c r="A560" s="67" t="inlineStr">
        <is>
          <t>64</t>
        </is>
      </c>
      <c r="B560" s="67" t="inlineStr">
        <is>
          <t>1062</t>
        </is>
      </c>
      <c r="C560" s="67" t="inlineStr">
        <is>
          <t>1611</t>
        </is>
      </c>
      <c r="D560" s="68" t="inlineStr">
        <is>
          <t>01</t>
        </is>
      </c>
      <c r="E560" s="68" t="inlineStr">
        <is>
          <t>6 物业施工费</t>
        </is>
      </c>
      <c r="F560" s="68" t="inlineStr">
        <is>
          <t>6.1 总承包工程</t>
        </is>
      </c>
      <c r="G560" s="68" t="inlineStr">
        <is>
          <t>6.1.1 内部装修工程</t>
        </is>
      </c>
      <c r="H560" s="68" t="inlineStr">
        <is>
          <t>其他零星装修</t>
        </is>
      </c>
      <c r="I560" s="69" t="inlineStr">
        <is>
          <t>1000021846</t>
        </is>
      </c>
      <c r="J560" s="69" t="inlineStr">
        <is>
          <t>双开消防门（含消防推杆锁）</t>
        </is>
      </c>
      <c r="K560" s="70" t="n"/>
      <c r="L560" s="70" t="n"/>
      <c r="M560" s="71" t="inlineStr">
        <is>
          <t>樘</t>
        </is>
      </c>
      <c r="N560" s="72" t="n">
        <v>2804.45</v>
      </c>
      <c r="O560" s="72">
        <f>ROUND(N560*(1+$F$10),2)</f>
        <v/>
      </c>
      <c r="P560" s="73">
        <f>ROUND(K560*N560,2)</f>
        <v/>
      </c>
      <c r="Q560" s="74">
        <f>ROUND(L560*N560,2)</f>
        <v/>
      </c>
      <c r="R560" s="75" t="n"/>
      <c r="S560" s="76" t="n"/>
      <c r="T560" s="77">
        <f>K560-L560</f>
        <v/>
      </c>
      <c r="U560" s="77">
        <f>P560-Q560</f>
        <v/>
      </c>
      <c r="V560" s="77">
        <f>ABS(U560)</f>
        <v/>
      </c>
      <c r="W560" s="78">
        <f>T560/L560</f>
        <v/>
      </c>
      <c r="X560" s="79">
        <f>ABS(W560)</f>
        <v/>
      </c>
      <c r="AG560" s="80" t="inlineStr">
        <is>
          <t>个数</t>
        </is>
      </c>
    </row>
    <row r="561" ht="11.4" customHeight="1">
      <c r="A561" s="67" t="inlineStr">
        <is>
          <t>64</t>
        </is>
      </c>
      <c r="B561" s="67" t="inlineStr">
        <is>
          <t>1062</t>
        </is>
      </c>
      <c r="C561" s="67" t="inlineStr">
        <is>
          <t>1611</t>
        </is>
      </c>
      <c r="D561" s="68" t="inlineStr">
        <is>
          <t>01</t>
        </is>
      </c>
      <c r="E561" s="68" t="inlineStr">
        <is>
          <t>6 物业施工费</t>
        </is>
      </c>
      <c r="F561" s="68" t="inlineStr">
        <is>
          <t>6.1 总承包工程</t>
        </is>
      </c>
      <c r="G561" s="68" t="inlineStr">
        <is>
          <t>6.1.1 内部装修工程</t>
        </is>
      </c>
      <c r="H561" s="68" t="inlineStr">
        <is>
          <t>其他零星装修</t>
        </is>
      </c>
      <c r="I561" s="69" t="inlineStr">
        <is>
          <t>1000021847</t>
        </is>
      </c>
      <c r="J561" s="69" t="inlineStr">
        <is>
          <t>单开消防门（含消防推杆锁）</t>
        </is>
      </c>
      <c r="K561" s="70" t="n">
        <v>2</v>
      </c>
      <c r="L561" s="70" t="n">
        <v>2</v>
      </c>
      <c r="M561" s="71" t="inlineStr">
        <is>
          <t>樘</t>
        </is>
      </c>
      <c r="N561" s="72" t="n">
        <v>2496.45</v>
      </c>
      <c r="O561" s="72">
        <f>ROUND(N561*(1+$F$10),2)</f>
        <v/>
      </c>
      <c r="P561" s="73">
        <f>ROUND(K561*N561,2)</f>
        <v/>
      </c>
      <c r="Q561" s="74">
        <f>ROUND(L561*N561,2)</f>
        <v/>
      </c>
      <c r="R561" s="75" t="n"/>
      <c r="S561" s="76" t="n"/>
      <c r="T561" s="77">
        <f>K561-L561</f>
        <v/>
      </c>
      <c r="U561" s="77">
        <f>P561-Q561</f>
        <v/>
      </c>
      <c r="V561" s="77">
        <f>ABS(U561)</f>
        <v/>
      </c>
      <c r="W561" s="78">
        <f>T561/L561</f>
        <v/>
      </c>
      <c r="X561" s="79">
        <f>ABS(W561)</f>
        <v/>
      </c>
      <c r="AG561" s="80" t="inlineStr">
        <is>
          <t>个数</t>
        </is>
      </c>
    </row>
    <row r="562" ht="11.4" customHeight="1">
      <c r="A562" s="67" t="inlineStr">
        <is>
          <t>64</t>
        </is>
      </c>
      <c r="B562" s="67" t="inlineStr">
        <is>
          <t>1062</t>
        </is>
      </c>
      <c r="C562" s="67" t="inlineStr">
        <is>
          <t>1611</t>
        </is>
      </c>
      <c r="D562" s="68" t="inlineStr">
        <is>
          <t>01</t>
        </is>
      </c>
      <c r="E562" s="68" t="inlineStr">
        <is>
          <t>6 物业施工费</t>
        </is>
      </c>
      <c r="F562" s="68" t="inlineStr">
        <is>
          <t>6.1 总承包工程</t>
        </is>
      </c>
      <c r="G562" s="68" t="inlineStr">
        <is>
          <t>6.1.1 内部装修工程</t>
        </is>
      </c>
      <c r="H562" s="68" t="inlineStr">
        <is>
          <t>其他零星装修</t>
        </is>
      </c>
      <c r="I562" s="69" t="inlineStr">
        <is>
          <t>1000021848</t>
        </is>
      </c>
      <c r="J562" s="69" t="inlineStr">
        <is>
          <t>密码锁</t>
        </is>
      </c>
      <c r="K562" s="70" t="n">
        <v>1</v>
      </c>
      <c r="L562" s="70" t="n">
        <v>1</v>
      </c>
      <c r="M562" s="71" t="inlineStr">
        <is>
          <t>把</t>
        </is>
      </c>
      <c r="N562" s="72" t="n">
        <v>1332.65</v>
      </c>
      <c r="O562" s="72">
        <f>ROUND(N562*(1+$F$10),2)</f>
        <v/>
      </c>
      <c r="P562" s="73">
        <f>ROUND(K562*N562,2)</f>
        <v/>
      </c>
      <c r="Q562" s="74">
        <f>ROUND(L562*N562,2)</f>
        <v/>
      </c>
      <c r="R562" s="75" t="n"/>
      <c r="S562" s="76" t="n"/>
      <c r="T562" s="77">
        <f>K562-L562</f>
        <v/>
      </c>
      <c r="U562" s="77">
        <f>P562-Q562</f>
        <v/>
      </c>
      <c r="V562" s="77">
        <f>ABS(U562)</f>
        <v/>
      </c>
      <c r="W562" s="78">
        <f>T562/L562</f>
        <v/>
      </c>
      <c r="X562" s="79">
        <f>ABS(W562)</f>
        <v/>
      </c>
      <c r="AH562" s="80" t="inlineStr">
        <is>
          <t>委托书</t>
        </is>
      </c>
    </row>
    <row r="563" ht="11.4" customHeight="1">
      <c r="A563" s="67" t="inlineStr">
        <is>
          <t>64</t>
        </is>
      </c>
      <c r="B563" s="67" t="inlineStr">
        <is>
          <t>1062</t>
        </is>
      </c>
      <c r="C563" s="67" t="inlineStr">
        <is>
          <t>1611</t>
        </is>
      </c>
      <c r="D563" s="68" t="inlineStr">
        <is>
          <t>01</t>
        </is>
      </c>
      <c r="E563" s="68" t="inlineStr">
        <is>
          <t>6 物业施工费</t>
        </is>
      </c>
      <c r="F563" s="68" t="inlineStr">
        <is>
          <t>6.1 总承包工程</t>
        </is>
      </c>
      <c r="G563" s="68" t="inlineStr">
        <is>
          <t>6.1.1 内部装修工程</t>
        </is>
      </c>
      <c r="H563" s="68" t="inlineStr">
        <is>
          <t>其他零星装修</t>
        </is>
      </c>
      <c r="I563" s="69" t="inlineStr">
        <is>
          <t>1000021849</t>
        </is>
      </c>
      <c r="J563" s="69" t="inlineStr">
        <is>
          <t>消防推杆锁</t>
        </is>
      </c>
      <c r="K563" s="70" t="n"/>
      <c r="L563" s="70" t="n"/>
      <c r="M563" s="71" t="inlineStr">
        <is>
          <t>把</t>
        </is>
      </c>
      <c r="N563" s="72" t="n">
        <v>689.15</v>
      </c>
      <c r="O563" s="72">
        <f>ROUND(N563*(1+$F$10),2)</f>
        <v/>
      </c>
      <c r="P563" s="73">
        <f>ROUND(K563*N563,2)</f>
        <v/>
      </c>
      <c r="Q563" s="74">
        <f>ROUND(L563*N563,2)</f>
        <v/>
      </c>
      <c r="R563" s="75" t="n"/>
      <c r="S563" s="76" t="n"/>
      <c r="T563" s="77">
        <f>K563-L563</f>
        <v/>
      </c>
      <c r="U563" s="77">
        <f>P563-Q563</f>
        <v/>
      </c>
      <c r="V563" s="77">
        <f>ABS(U563)</f>
        <v/>
      </c>
      <c r="W563" s="78">
        <f>T563/L563</f>
        <v/>
      </c>
      <c r="X563" s="79">
        <f>ABS(W563)</f>
        <v/>
      </c>
      <c r="AH563" s="6" t="inlineStr">
        <is>
          <t>调整\市场特性</t>
        </is>
      </c>
    </row>
    <row r="564" ht="11.4" customHeight="1">
      <c r="A564" s="67" t="inlineStr">
        <is>
          <t>64</t>
        </is>
      </c>
      <c r="B564" s="67" t="inlineStr">
        <is>
          <t>1062</t>
        </is>
      </c>
      <c r="C564" s="67" t="inlineStr">
        <is>
          <t>1611</t>
        </is>
      </c>
      <c r="D564" s="68" t="inlineStr">
        <is>
          <t>01</t>
        </is>
      </c>
      <c r="E564" s="68" t="inlineStr">
        <is>
          <t>6 物业施工费</t>
        </is>
      </c>
      <c r="F564" s="68" t="inlineStr">
        <is>
          <t>6.1 总承包工程</t>
        </is>
      </c>
      <c r="G564" s="68" t="inlineStr">
        <is>
          <t>6.1.1 内部装修工程</t>
        </is>
      </c>
      <c r="H564" s="68" t="inlineStr">
        <is>
          <t>其他零星装修</t>
        </is>
      </c>
      <c r="I564" s="69" t="inlineStr">
        <is>
          <t>1000021850</t>
        </is>
      </c>
      <c r="J564" s="69" t="inlineStr">
        <is>
          <t>不锈钢踢脚 H=100mm</t>
        </is>
      </c>
      <c r="K564" s="70" t="n"/>
      <c r="L564" s="70" t="n"/>
      <c r="M564" s="71" t="inlineStr">
        <is>
          <t>米</t>
        </is>
      </c>
      <c r="N564" s="72" t="n">
        <v>76.08</v>
      </c>
      <c r="O564" s="72">
        <f>ROUND(N564*(1+$F$10),2)</f>
        <v/>
      </c>
      <c r="P564" s="73">
        <f>ROUND(K564*N564,2)</f>
        <v/>
      </c>
      <c r="Q564" s="74">
        <f>ROUND(L564*N564,2)</f>
        <v/>
      </c>
      <c r="R564" s="75" t="n"/>
      <c r="S564" s="76" t="n"/>
      <c r="T564" s="77">
        <f>K564-L564</f>
        <v/>
      </c>
      <c r="U564" s="77">
        <f>P564-Q564</f>
        <v/>
      </c>
      <c r="V564" s="77">
        <f>ABS(U564)</f>
        <v/>
      </c>
      <c r="W564" s="78">
        <f>T564/L564</f>
        <v/>
      </c>
      <c r="X564" s="79">
        <f>ABS(W564)</f>
        <v/>
      </c>
      <c r="AG564" s="6" t="inlineStr">
        <is>
          <t>踢脚线长度</t>
        </is>
      </c>
    </row>
    <row r="565" ht="11.4" customHeight="1">
      <c r="A565" s="67" t="inlineStr">
        <is>
          <t>64</t>
        </is>
      </c>
      <c r="B565" s="67" t="inlineStr">
        <is>
          <t>1062</t>
        </is>
      </c>
      <c r="C565" s="67" t="inlineStr">
        <is>
          <t>1611</t>
        </is>
      </c>
      <c r="D565" s="68" t="inlineStr">
        <is>
          <t>01</t>
        </is>
      </c>
      <c r="E565" s="68" t="inlineStr">
        <is>
          <t>6 物业施工费</t>
        </is>
      </c>
      <c r="F565" s="68" t="inlineStr">
        <is>
          <t>6.1 总承包工程</t>
        </is>
      </c>
      <c r="G565" s="68" t="inlineStr">
        <is>
          <t>6.1.1 内部装修工程</t>
        </is>
      </c>
      <c r="H565" s="68" t="inlineStr">
        <is>
          <t>其他零星装修</t>
        </is>
      </c>
      <c r="I565" s="69" t="inlineStr">
        <is>
          <t>1000021797</t>
        </is>
      </c>
      <c r="J565" s="69" t="inlineStr">
        <is>
          <t>不锈钢踢脚 H=200mm</t>
        </is>
      </c>
      <c r="K565" s="70" t="n"/>
      <c r="L565" s="70" t="n"/>
      <c r="M565" s="71" t="inlineStr">
        <is>
          <t>米</t>
        </is>
      </c>
      <c r="N565" s="72" t="n">
        <v>114.14</v>
      </c>
      <c r="O565" s="72">
        <f>ROUND(N565*(1+$F$10),2)</f>
        <v/>
      </c>
      <c r="P565" s="73">
        <f>ROUND(K565*N565,2)</f>
        <v/>
      </c>
      <c r="Q565" s="74">
        <f>ROUND(L565*N565,2)</f>
        <v/>
      </c>
      <c r="R565" s="75" t="n"/>
      <c r="S565" s="76" t="n"/>
      <c r="T565" s="77">
        <f>K565-L565</f>
        <v/>
      </c>
      <c r="U565" s="77">
        <f>P565-Q565</f>
        <v/>
      </c>
      <c r="V565" s="77">
        <f>ABS(U565)</f>
        <v/>
      </c>
      <c r="W565" s="78">
        <f>T565/L565</f>
        <v/>
      </c>
      <c r="X565" s="79">
        <f>ABS(W565)</f>
        <v/>
      </c>
      <c r="AG565" s="6" t="inlineStr">
        <is>
          <t>踢脚线长度</t>
        </is>
      </c>
    </row>
    <row r="566" ht="11.4" customHeight="1">
      <c r="A566" s="67" t="inlineStr">
        <is>
          <t>64</t>
        </is>
      </c>
      <c r="B566" s="67" t="inlineStr">
        <is>
          <t>1062</t>
        </is>
      </c>
      <c r="C566" s="67" t="inlineStr">
        <is>
          <t>1611</t>
        </is>
      </c>
      <c r="D566" s="68" t="inlineStr">
        <is>
          <t>01</t>
        </is>
      </c>
      <c r="E566" s="68" t="inlineStr">
        <is>
          <t>6 物业施工费</t>
        </is>
      </c>
      <c r="F566" s="68" t="inlineStr">
        <is>
          <t>6.1 总承包工程</t>
        </is>
      </c>
      <c r="G566" s="68" t="inlineStr">
        <is>
          <t>6.1.1 内部装修工程</t>
        </is>
      </c>
      <c r="H566" s="68" t="inlineStr">
        <is>
          <t>其他零星装修</t>
        </is>
      </c>
      <c r="I566" s="69" t="inlineStr">
        <is>
          <t>1000021851</t>
        </is>
      </c>
      <c r="J566" s="69" t="inlineStr">
        <is>
          <t>儿童乐园地面找平</t>
        </is>
      </c>
      <c r="K566" s="70" t="n"/>
      <c r="L566" s="70" t="n"/>
      <c r="M566" s="71" t="inlineStr">
        <is>
          <t>m2</t>
        </is>
      </c>
      <c r="N566" s="72" t="n">
        <v>46.31</v>
      </c>
      <c r="O566" s="72">
        <f>ROUND(N566*(1+$F$10),2)</f>
        <v/>
      </c>
      <c r="P566" s="73">
        <f>ROUND(K566*N566,2)</f>
        <v/>
      </c>
      <c r="Q566" s="74">
        <f>ROUND(L566*N566,2)</f>
        <v/>
      </c>
      <c r="R566" s="75" t="n"/>
      <c r="S566" s="76" t="n"/>
      <c r="T566" s="77">
        <f>K566-L566</f>
        <v/>
      </c>
      <c r="U566" s="77">
        <f>P566-Q566</f>
        <v/>
      </c>
      <c r="V566" s="77">
        <f>ABS(U566)</f>
        <v/>
      </c>
      <c r="W566" s="78">
        <f>T566/L566</f>
        <v/>
      </c>
      <c r="X566" s="79">
        <f>ABS(W566)</f>
        <v/>
      </c>
      <c r="AG566" s="6" t="inlineStr">
        <is>
          <t>楼板面积</t>
        </is>
      </c>
    </row>
    <row r="567" ht="11.4" customHeight="1">
      <c r="A567" s="67" t="inlineStr">
        <is>
          <t>64</t>
        </is>
      </c>
      <c r="B567" s="67" t="inlineStr">
        <is>
          <t>1062</t>
        </is>
      </c>
      <c r="C567" s="67" t="inlineStr">
        <is>
          <t>1611</t>
        </is>
      </c>
      <c r="D567" s="68" t="inlineStr">
        <is>
          <t>01</t>
        </is>
      </c>
      <c r="E567" s="68" t="inlineStr">
        <is>
          <t>6 物业施工费</t>
        </is>
      </c>
      <c r="F567" s="68" t="inlineStr">
        <is>
          <t>6.1 总承包工程</t>
        </is>
      </c>
      <c r="G567" s="68" t="inlineStr">
        <is>
          <t>6.1.1 内部装修工程</t>
        </is>
      </c>
      <c r="H567" s="68" t="inlineStr">
        <is>
          <t>其他零星装修</t>
        </is>
      </c>
      <c r="I567" s="69" t="inlineStr">
        <is>
          <t>1000021852</t>
        </is>
      </c>
      <c r="J567" s="69" t="inlineStr">
        <is>
          <t>12mm厚钢化玻璃</t>
        </is>
      </c>
      <c r="K567" s="70" t="n"/>
      <c r="L567" s="70" t="n"/>
      <c r="M567" s="71" t="inlineStr">
        <is>
          <t>m2</t>
        </is>
      </c>
      <c r="N567" s="72" t="n">
        <v>284.15</v>
      </c>
      <c r="O567" s="72">
        <f>ROUND(N567*(1+$F$10),2)</f>
        <v/>
      </c>
      <c r="P567" s="73">
        <f>ROUND(K567*N567,2)</f>
        <v/>
      </c>
      <c r="Q567" s="74">
        <f>ROUND(L567*N567,2)</f>
        <v/>
      </c>
      <c r="R567" s="75" t="n"/>
      <c r="S567" s="76" t="n"/>
      <c r="T567" s="77">
        <f>K567-L567</f>
        <v/>
      </c>
      <c r="U567" s="77">
        <f>P567-Q567</f>
        <v/>
      </c>
      <c r="V567" s="77">
        <f>ABS(U567)</f>
        <v/>
      </c>
      <c r="W567" s="78">
        <f>T567/L567</f>
        <v/>
      </c>
      <c r="X567" s="79">
        <f>ABS(W567)</f>
        <v/>
      </c>
      <c r="AG567" s="80" t="inlineStr">
        <is>
          <t>幕墙面积</t>
        </is>
      </c>
    </row>
    <row r="568" ht="11.4" customHeight="1">
      <c r="A568" s="67" t="inlineStr">
        <is>
          <t>64</t>
        </is>
      </c>
      <c r="B568" s="67" t="inlineStr">
        <is>
          <t>1062</t>
        </is>
      </c>
      <c r="C568" s="67" t="inlineStr">
        <is>
          <t>1611</t>
        </is>
      </c>
      <c r="D568" s="68" t="inlineStr">
        <is>
          <t>01</t>
        </is>
      </c>
      <c r="E568" s="68" t="inlineStr">
        <is>
          <t>6 物业施工费</t>
        </is>
      </c>
      <c r="F568" s="68" t="inlineStr">
        <is>
          <t>6.1 总承包工程</t>
        </is>
      </c>
      <c r="G568" s="68" t="inlineStr">
        <is>
          <t>6.1.1 内部装修工程</t>
        </is>
      </c>
      <c r="H568" s="68" t="inlineStr">
        <is>
          <t>其他零星装修</t>
        </is>
      </c>
      <c r="I568" s="69" t="inlineStr">
        <is>
          <t>1000021853</t>
        </is>
      </c>
      <c r="J568" s="69" t="inlineStr">
        <is>
          <t>儿童区玻璃隔墙（不含防火板）</t>
        </is>
      </c>
      <c r="K568" s="70" t="n"/>
      <c r="L568" s="70" t="n"/>
      <c r="M568" s="71" t="inlineStr">
        <is>
          <t>m2</t>
        </is>
      </c>
      <c r="N568" s="72" t="n">
        <v>648</v>
      </c>
      <c r="O568" s="72">
        <f>ROUND(N568*(1+$F$10),2)</f>
        <v/>
      </c>
      <c r="P568" s="73">
        <f>ROUND(K568*N568,2)</f>
        <v/>
      </c>
      <c r="Q568" s="74">
        <f>ROUND(L568*N568,2)</f>
        <v/>
      </c>
      <c r="R568" s="75" t="n"/>
      <c r="S568" s="76" t="n"/>
      <c r="T568" s="77">
        <f>K568-L568</f>
        <v/>
      </c>
      <c r="U568" s="77">
        <f>P568-Q568</f>
        <v/>
      </c>
      <c r="V568" s="77">
        <f>ABS(U568)</f>
        <v/>
      </c>
      <c r="W568" s="78">
        <f>T568/L568</f>
        <v/>
      </c>
      <c r="X568" s="79">
        <f>ABS(W568)</f>
        <v/>
      </c>
      <c r="AG568" s="80" t="inlineStr">
        <is>
          <t>幕墙面积</t>
        </is>
      </c>
    </row>
    <row r="569" ht="11.4" customHeight="1">
      <c r="A569" s="67" t="inlineStr">
        <is>
          <t>64</t>
        </is>
      </c>
      <c r="B569" s="67" t="inlineStr">
        <is>
          <t>1062</t>
        </is>
      </c>
      <c r="C569" s="67" t="inlineStr">
        <is>
          <t>1611</t>
        </is>
      </c>
      <c r="D569" s="68" t="inlineStr">
        <is>
          <t>01</t>
        </is>
      </c>
      <c r="E569" s="68" t="inlineStr">
        <is>
          <t>6 物业施工费</t>
        </is>
      </c>
      <c r="F569" s="68" t="inlineStr">
        <is>
          <t>6.1 总承包工程</t>
        </is>
      </c>
      <c r="G569" s="68" t="inlineStr">
        <is>
          <t>6.1.1 内部装修工程</t>
        </is>
      </c>
      <c r="H569" s="68" t="inlineStr">
        <is>
          <t>其他零星装修</t>
        </is>
      </c>
      <c r="I569" s="69" t="inlineStr">
        <is>
          <t>1000021854</t>
        </is>
      </c>
      <c r="J569" s="69" t="inlineStr">
        <is>
          <t>儿童乐园烤漆方管框架（50*50mm)</t>
        </is>
      </c>
      <c r="K569" s="70" t="n"/>
      <c r="L569" s="70" t="n"/>
      <c r="M569" s="71" t="inlineStr">
        <is>
          <t>米</t>
        </is>
      </c>
      <c r="N569" s="72" t="n">
        <v>75.27</v>
      </c>
      <c r="O569" s="72">
        <f>ROUND(N569*(1+$F$10),2)</f>
        <v/>
      </c>
      <c r="P569" s="73">
        <f>ROUND(K569*N569,2)</f>
        <v/>
      </c>
      <c r="Q569" s="74">
        <f>ROUND(L569*N569,2)</f>
        <v/>
      </c>
      <c r="R569" s="75" t="n"/>
      <c r="S569" s="76" t="n"/>
      <c r="T569" s="77">
        <f>K569-L569</f>
        <v/>
      </c>
      <c r="U569" s="77">
        <f>P569-Q569</f>
        <v/>
      </c>
      <c r="V569" s="77">
        <f>ABS(U569)</f>
        <v/>
      </c>
      <c r="W569" s="78">
        <f>T569/L569</f>
        <v/>
      </c>
      <c r="X569" s="79">
        <f>ABS(W569)</f>
        <v/>
      </c>
      <c r="AG569" s="80" t="inlineStr">
        <is>
          <t>幕墙竖挺长度</t>
        </is>
      </c>
    </row>
    <row r="570" ht="11.4" customHeight="1">
      <c r="A570" s="67" t="inlineStr">
        <is>
          <t>64</t>
        </is>
      </c>
      <c r="B570" s="67" t="inlineStr">
        <is>
          <t>1062</t>
        </is>
      </c>
      <c r="C570" s="67" t="inlineStr">
        <is>
          <t>1611</t>
        </is>
      </c>
      <c r="D570" s="68" t="inlineStr">
        <is>
          <t>01</t>
        </is>
      </c>
      <c r="E570" s="68" t="inlineStr">
        <is>
          <t>6 物业施工费</t>
        </is>
      </c>
      <c r="F570" s="68" t="inlineStr">
        <is>
          <t>6.1 总承包工程</t>
        </is>
      </c>
      <c r="G570" s="68" t="inlineStr">
        <is>
          <t>6.1.1 内部装修工程</t>
        </is>
      </c>
      <c r="H570" s="68" t="inlineStr">
        <is>
          <t>其他零星装修</t>
        </is>
      </c>
      <c r="I570" s="69" t="inlineStr">
        <is>
          <t>1000021855</t>
        </is>
      </c>
      <c r="J570" s="69" t="inlineStr">
        <is>
          <t>19mm玻璃矮隔断</t>
        </is>
      </c>
      <c r="K570" s="70" t="n"/>
      <c r="L570" s="70" t="n"/>
      <c r="M570" s="71" t="inlineStr">
        <is>
          <t>米</t>
        </is>
      </c>
      <c r="N570" s="72" t="n">
        <v>845.78</v>
      </c>
      <c r="O570" s="72">
        <f>ROUND(N570*(1+$F$10),2)</f>
        <v/>
      </c>
      <c r="P570" s="73">
        <f>ROUND(K570*N570,2)</f>
        <v/>
      </c>
      <c r="Q570" s="74">
        <f>ROUND(L570*N570,2)</f>
        <v/>
      </c>
      <c r="R570" s="75" t="n"/>
      <c r="S570" s="76" t="n"/>
      <c r="T570" s="77">
        <f>K570-L570</f>
        <v/>
      </c>
      <c r="U570" s="77">
        <f>P570-Q570</f>
        <v/>
      </c>
      <c r="V570" s="77">
        <f>ABS(U570)</f>
        <v/>
      </c>
      <c r="W570" s="78">
        <f>T570/L570</f>
        <v/>
      </c>
      <c r="X570" s="79">
        <f>ABS(W570)</f>
        <v/>
      </c>
      <c r="AG570" s="80" t="inlineStr">
        <is>
          <t>幕墙长度</t>
        </is>
      </c>
    </row>
    <row r="571" ht="11.4" customHeight="1">
      <c r="A571" s="67" t="inlineStr">
        <is>
          <t>64</t>
        </is>
      </c>
      <c r="B571" s="67" t="inlineStr">
        <is>
          <t>1062</t>
        </is>
      </c>
      <c r="C571" s="67" t="inlineStr">
        <is>
          <t>1611</t>
        </is>
      </c>
      <c r="D571" s="68" t="inlineStr">
        <is>
          <t>01</t>
        </is>
      </c>
      <c r="E571" s="68" t="inlineStr">
        <is>
          <t>6 物业施工费</t>
        </is>
      </c>
      <c r="F571" s="68" t="inlineStr">
        <is>
          <t>6.1 总承包工程</t>
        </is>
      </c>
      <c r="G571" s="68" t="inlineStr">
        <is>
          <t>6.1.1 内部装修工程</t>
        </is>
      </c>
      <c r="H571" s="68" t="inlineStr">
        <is>
          <t>其他零星装修</t>
        </is>
      </c>
      <c r="I571" s="69" t="inlineStr">
        <is>
          <t>1000021856</t>
        </is>
      </c>
      <c r="J571" s="69" t="inlineStr">
        <is>
          <t>消防栓门连框</t>
        </is>
      </c>
      <c r="K571" s="70" t="n">
        <v>1</v>
      </c>
      <c r="L571" s="70" t="n">
        <v>1</v>
      </c>
      <c r="M571" s="71" t="inlineStr">
        <is>
          <t>个</t>
        </is>
      </c>
      <c r="N571" s="72" t="n">
        <v>658.89</v>
      </c>
      <c r="O571" s="72">
        <f>ROUND(N571*(1+$F$10),2)</f>
        <v/>
      </c>
      <c r="P571" s="73">
        <f>ROUND(K571*N571,2)</f>
        <v/>
      </c>
      <c r="Q571" s="74">
        <f>ROUND(L571*N571,2)</f>
        <v/>
      </c>
      <c r="R571" s="75" t="n"/>
      <c r="S571" s="76" t="n"/>
      <c r="T571" s="77">
        <f>K571-L571</f>
        <v/>
      </c>
      <c r="U571" s="77">
        <f>P571-Q571</f>
        <v/>
      </c>
      <c r="V571" s="77">
        <f>ABS(U571)</f>
        <v/>
      </c>
      <c r="W571" s="78">
        <f>T571/L571</f>
        <v/>
      </c>
      <c r="X571" s="79">
        <f>ABS(W571)</f>
        <v/>
      </c>
      <c r="AG571" s="80" t="inlineStr">
        <is>
          <t>个数</t>
        </is>
      </c>
    </row>
    <row r="572" ht="11.4" customHeight="1">
      <c r="A572" s="67" t="inlineStr">
        <is>
          <t>64</t>
        </is>
      </c>
      <c r="B572" s="67" t="inlineStr">
        <is>
          <t>1062</t>
        </is>
      </c>
      <c r="C572" s="67" t="inlineStr">
        <is>
          <t>1611</t>
        </is>
      </c>
      <c r="D572" s="68" t="inlineStr">
        <is>
          <t>01</t>
        </is>
      </c>
      <c r="E572" s="68" t="inlineStr">
        <is>
          <t>6 物业施工费</t>
        </is>
      </c>
      <c r="F572" s="68" t="inlineStr">
        <is>
          <t>6.1 总承包工程</t>
        </is>
      </c>
      <c r="G572" s="68" t="inlineStr">
        <is>
          <t>6.1.1 内部装修工程</t>
        </is>
      </c>
      <c r="H572" s="68" t="inlineStr">
        <is>
          <t>其他零星装修</t>
        </is>
      </c>
      <c r="I572" s="69" t="inlineStr">
        <is>
          <t>1000022160</t>
        </is>
      </c>
      <c r="J572" s="69" t="inlineStr">
        <is>
          <t>SOK配合安装</t>
        </is>
      </c>
      <c r="K572" s="70" t="n">
        <v>1</v>
      </c>
      <c r="L572" s="70" t="n">
        <v>1</v>
      </c>
      <c r="M572" s="71" t="inlineStr">
        <is>
          <t>项</t>
        </is>
      </c>
      <c r="N572" s="72" t="n">
        <v>1160</v>
      </c>
      <c r="O572" s="72">
        <f>ROUND(N572*(1+$F$10),2)</f>
        <v/>
      </c>
      <c r="P572" s="73">
        <f>ROUND(K572*N572,2)</f>
        <v/>
      </c>
      <c r="Q572" s="74">
        <f>ROUND(L572*N572,2)</f>
        <v/>
      </c>
      <c r="R572" s="75" t="n"/>
      <c r="S572" s="76" t="n"/>
      <c r="T572" s="77">
        <f>K572-L572</f>
        <v/>
      </c>
      <c r="U572" s="77">
        <f>P572-Q572</f>
        <v/>
      </c>
      <c r="V572" s="77">
        <f>ABS(U572)</f>
        <v/>
      </c>
      <c r="W572" s="78">
        <f>T572/L572</f>
        <v/>
      </c>
      <c r="X572" s="79">
        <f>ABS(W572)</f>
        <v/>
      </c>
      <c r="AG572" s="80" t="inlineStr">
        <is>
          <t>个数</t>
        </is>
      </c>
    </row>
    <row r="573" ht="11.4" customHeight="1">
      <c r="A573" s="67" t="inlineStr">
        <is>
          <t>64</t>
        </is>
      </c>
      <c r="B573" s="67" t="inlineStr">
        <is>
          <t>1062</t>
        </is>
      </c>
      <c r="C573" s="67" t="inlineStr">
        <is>
          <t>1611</t>
        </is>
      </c>
      <c r="D573" s="68" t="inlineStr">
        <is>
          <t>01</t>
        </is>
      </c>
      <c r="E573" s="68" t="inlineStr">
        <is>
          <t>6 物业施工费</t>
        </is>
      </c>
      <c r="F573" s="68" t="inlineStr">
        <is>
          <t>6.1 总承包工程</t>
        </is>
      </c>
      <c r="G573" s="68" t="inlineStr">
        <is>
          <t>6.1.1 内部装修工程</t>
        </is>
      </c>
      <c r="H573" s="68" t="inlineStr">
        <is>
          <t>其他零星装修</t>
        </is>
      </c>
      <c r="I573" s="69" t="inlineStr">
        <is>
          <t>1000022163</t>
        </is>
      </c>
      <c r="J573" s="69" t="inlineStr">
        <is>
          <t>玻璃贴膜</t>
        </is>
      </c>
      <c r="K573" s="70" t="n">
        <v>0.82</v>
      </c>
      <c r="L573" s="70" t="n">
        <v>0.82</v>
      </c>
      <c r="M573" s="71" t="inlineStr">
        <is>
          <t>m2</t>
        </is>
      </c>
      <c r="N573" s="72" t="n">
        <v>54</v>
      </c>
      <c r="O573" s="72">
        <f>ROUND(N573*(1+$F$10),2)</f>
        <v/>
      </c>
      <c r="P573" s="73">
        <f>ROUND(K573*N573,2)</f>
        <v/>
      </c>
      <c r="Q573" s="74">
        <f>ROUND(L573*N573,2)</f>
        <v/>
      </c>
      <c r="R573" s="75" t="n"/>
      <c r="S573" s="76" t="n"/>
      <c r="T573" s="77">
        <f>K573-L573</f>
        <v/>
      </c>
      <c r="U573" s="77">
        <f>P573-Q573</f>
        <v/>
      </c>
      <c r="V573" s="77">
        <f>ABS(U573)</f>
        <v/>
      </c>
      <c r="W573" s="78">
        <f>T573/L573</f>
        <v/>
      </c>
      <c r="X573" s="79">
        <f>ABS(W573)</f>
        <v/>
      </c>
      <c r="AG573" s="80" t="inlineStr">
        <is>
          <t>基本墙面积</t>
        </is>
      </c>
    </row>
    <row r="574" ht="11.4" customHeight="1">
      <c r="A574" s="67" t="inlineStr">
        <is>
          <t>64</t>
        </is>
      </c>
      <c r="B574" s="67" t="inlineStr">
        <is>
          <t>1062</t>
        </is>
      </c>
      <c r="C574" s="67" t="inlineStr">
        <is>
          <t>1611</t>
        </is>
      </c>
      <c r="D574" s="68" t="inlineStr">
        <is>
          <t>01</t>
        </is>
      </c>
      <c r="E574" s="68" t="inlineStr">
        <is>
          <t>6 物业施工费</t>
        </is>
      </c>
      <c r="F574" s="68" t="inlineStr">
        <is>
          <t>6.1 总承包工程</t>
        </is>
      </c>
      <c r="G574" s="68" t="inlineStr">
        <is>
          <t>6.1.1 内部装修工程</t>
        </is>
      </c>
      <c r="H574" s="68" t="inlineStr">
        <is>
          <t>其他零星装修</t>
        </is>
      </c>
      <c r="I574" s="69" t="inlineStr">
        <is>
          <t>1000051717</t>
        </is>
      </c>
      <c r="J574" s="69" t="inlineStr">
        <is>
          <t>墙面3M造型膜安装</t>
        </is>
      </c>
      <c r="K574" s="70" t="n"/>
      <c r="L574" s="70" t="n"/>
      <c r="M574" s="71" t="inlineStr">
        <is>
          <t>m2</t>
        </is>
      </c>
      <c r="N574" s="72" t="n">
        <v>89.42</v>
      </c>
      <c r="O574" s="72">
        <f>ROUND(N574*(1+$F$10),2)</f>
        <v/>
      </c>
      <c r="P574" s="73">
        <f>ROUND(K574*N574,2)</f>
        <v/>
      </c>
      <c r="Q574" s="74">
        <f>ROUND(L574*N574,2)</f>
        <v/>
      </c>
      <c r="R574" s="75" t="n"/>
      <c r="S574" s="76" t="n"/>
      <c r="T574" s="77">
        <f>K574-L574</f>
        <v/>
      </c>
      <c r="U574" s="77">
        <f>P574-Q574</f>
        <v/>
      </c>
      <c r="V574" s="77">
        <f>ABS(U574)</f>
        <v/>
      </c>
      <c r="W574" s="78">
        <f>T574/L574</f>
        <v/>
      </c>
      <c r="X574" s="79">
        <f>ABS(W574)</f>
        <v/>
      </c>
      <c r="AG574" s="80" t="inlineStr">
        <is>
          <t>基本墙面积</t>
        </is>
      </c>
    </row>
    <row r="575" ht="11.4" customHeight="1">
      <c r="A575" s="67" t="inlineStr">
        <is>
          <t>64</t>
        </is>
      </c>
      <c r="B575" s="67" t="inlineStr">
        <is>
          <t>1062</t>
        </is>
      </c>
      <c r="C575" s="67" t="inlineStr">
        <is>
          <t>1611</t>
        </is>
      </c>
      <c r="D575" s="68" t="inlineStr">
        <is>
          <t>01</t>
        </is>
      </c>
      <c r="E575" s="68" t="inlineStr">
        <is>
          <t>6 物业施工费</t>
        </is>
      </c>
      <c r="F575" s="68" t="inlineStr">
        <is>
          <t>6.1 总承包工程</t>
        </is>
      </c>
      <c r="G575" s="68" t="inlineStr">
        <is>
          <t>6.1.1 内部装修工程</t>
        </is>
      </c>
      <c r="H575" s="68" t="inlineStr">
        <is>
          <t>其他零星装修</t>
        </is>
      </c>
      <c r="I575" s="69" t="inlineStr">
        <is>
          <t>1000085732</t>
        </is>
      </c>
      <c r="J575" s="69" t="inlineStr">
        <is>
          <t>磨砂方格子贴膜（3M)（仅安装）</t>
        </is>
      </c>
      <c r="K575" s="70" t="n"/>
      <c r="L575" s="70" t="n"/>
      <c r="M575" s="71" t="inlineStr">
        <is>
          <t>m2</t>
        </is>
      </c>
      <c r="N575" s="72" t="n">
        <v>85.02</v>
      </c>
      <c r="O575" s="72">
        <f>ROUND(N575*(1+$F$10),2)</f>
        <v/>
      </c>
      <c r="P575" s="73">
        <f>ROUND(K575*N575,2)</f>
        <v/>
      </c>
      <c r="Q575" s="74">
        <f>ROUND(L575*N575,2)</f>
        <v/>
      </c>
      <c r="R575" s="75" t="n"/>
      <c r="S575" s="76" t="n"/>
      <c r="T575" s="77">
        <f>K575-L575</f>
        <v/>
      </c>
      <c r="U575" s="77">
        <f>P575-Q575</f>
        <v/>
      </c>
      <c r="V575" s="77">
        <f>ABS(U575)</f>
        <v/>
      </c>
      <c r="W575" s="78">
        <f>T575/L575</f>
        <v/>
      </c>
      <c r="X575" s="79">
        <f>ABS(W575)</f>
        <v/>
      </c>
      <c r="AG575" s="80" t="inlineStr">
        <is>
          <t>基本墙面积</t>
        </is>
      </c>
    </row>
    <row r="576" ht="11.4" customHeight="1">
      <c r="A576" s="67" t="inlineStr">
        <is>
          <t>64</t>
        </is>
      </c>
      <c r="B576" s="67" t="inlineStr">
        <is>
          <t>1062</t>
        </is>
      </c>
      <c r="C576" s="67" t="inlineStr">
        <is>
          <t>1611</t>
        </is>
      </c>
      <c r="D576" s="68" t="inlineStr">
        <is>
          <t>01</t>
        </is>
      </c>
      <c r="E576" s="68" t="inlineStr">
        <is>
          <t>6 物业施工费</t>
        </is>
      </c>
      <c r="F576" s="68" t="inlineStr">
        <is>
          <t>6.1 总承包工程</t>
        </is>
      </c>
      <c r="G576" s="68" t="inlineStr">
        <is>
          <t>6.1.1 内部装修工程</t>
        </is>
      </c>
      <c r="H576" s="68" t="inlineStr">
        <is>
          <t>其他零星装修</t>
        </is>
      </c>
      <c r="I576" s="69" t="inlineStr">
        <is>
          <t>1000051720</t>
        </is>
      </c>
      <c r="J576" s="69" t="inlineStr">
        <is>
          <t>防鼠封堵（轻钢龙骨+硅钙板/石膏板）</t>
        </is>
      </c>
      <c r="K576" s="70" t="n"/>
      <c r="L576" s="70" t="n"/>
      <c r="M576" s="71" t="inlineStr">
        <is>
          <t>m2</t>
        </is>
      </c>
      <c r="N576" s="72" t="n">
        <v>93.63</v>
      </c>
      <c r="O576" s="72">
        <f>ROUND(N576*(1+$F$10),2)</f>
        <v/>
      </c>
      <c r="P576" s="73">
        <f>ROUND(K576*N576,2)</f>
        <v/>
      </c>
      <c r="Q576" s="74">
        <f>ROUND(L576*N576,2)</f>
        <v/>
      </c>
      <c r="R576" s="75" t="n"/>
      <c r="S576" s="76" t="n"/>
      <c r="T576" s="77">
        <f>K576-L576</f>
        <v/>
      </c>
      <c r="U576" s="77">
        <f>P576-Q576</f>
        <v/>
      </c>
      <c r="V576" s="77">
        <f>ABS(U576)</f>
        <v/>
      </c>
      <c r="W576" s="78">
        <f>T576/L576</f>
        <v/>
      </c>
      <c r="X576" s="79">
        <f>ABS(W576)</f>
        <v/>
      </c>
      <c r="AG576" s="80" t="n"/>
      <c r="AH576" s="80" t="inlineStr">
        <is>
          <t>调整</t>
        </is>
      </c>
    </row>
    <row r="577" ht="11.4" customHeight="1">
      <c r="A577" s="67" t="inlineStr">
        <is>
          <t>64</t>
        </is>
      </c>
      <c r="B577" s="67" t="inlineStr">
        <is>
          <t>1062</t>
        </is>
      </c>
      <c r="C577" s="67" t="inlineStr">
        <is>
          <t>1611</t>
        </is>
      </c>
      <c r="D577" s="68" t="inlineStr">
        <is>
          <t>01</t>
        </is>
      </c>
      <c r="E577" s="68" t="inlineStr">
        <is>
          <t>6 物业施工费</t>
        </is>
      </c>
      <c r="F577" s="68" t="inlineStr">
        <is>
          <t>6.1 总承包工程</t>
        </is>
      </c>
      <c r="G577" s="68" t="inlineStr">
        <is>
          <t>6.1.1 内部装修工程</t>
        </is>
      </c>
      <c r="H577" s="68" t="inlineStr">
        <is>
          <t>其他零星装修</t>
        </is>
      </c>
      <c r="I577" s="69" t="inlineStr">
        <is>
          <t>1000051721</t>
        </is>
      </c>
      <c r="J577" s="69" t="inlineStr">
        <is>
          <t>Ray-桌面无线充电器安装</t>
        </is>
      </c>
      <c r="K577" s="70" t="n"/>
      <c r="L577" s="70" t="n"/>
      <c r="M577" s="71" t="inlineStr">
        <is>
          <t>个</t>
        </is>
      </c>
      <c r="N577" s="72" t="n">
        <v>14.17</v>
      </c>
      <c r="O577" s="72">
        <f>ROUND(N577*(1+$F$10),2)</f>
        <v/>
      </c>
      <c r="P577" s="73">
        <f>ROUND(K577*N577,2)</f>
        <v/>
      </c>
      <c r="Q577" s="74">
        <f>ROUND(L577*N577,2)</f>
        <v/>
      </c>
      <c r="R577" s="75" t="n"/>
      <c r="S577" s="76" t="n"/>
      <c r="T577" s="77">
        <f>K577-L577</f>
        <v/>
      </c>
      <c r="U577" s="77">
        <f>P577-Q577</f>
        <v/>
      </c>
      <c r="V577" s="77">
        <f>ABS(U577)</f>
        <v/>
      </c>
      <c r="W577" s="78">
        <f>T577/L577</f>
        <v/>
      </c>
      <c r="X577" s="79">
        <f>ABS(W577)</f>
        <v/>
      </c>
      <c r="AG577" s="80" t="inlineStr">
        <is>
          <t>个数</t>
        </is>
      </c>
    </row>
    <row r="578" ht="11.4" customHeight="1">
      <c r="A578" s="67" t="inlineStr">
        <is>
          <t>64</t>
        </is>
      </c>
      <c r="B578" s="67" t="inlineStr">
        <is>
          <t>1062</t>
        </is>
      </c>
      <c r="C578" s="67" t="inlineStr">
        <is>
          <t>1611</t>
        </is>
      </c>
      <c r="D578" s="68" t="inlineStr">
        <is>
          <t>01</t>
        </is>
      </c>
      <c r="E578" s="68" t="inlineStr">
        <is>
          <t>6 物业施工费</t>
        </is>
      </c>
      <c r="F578" s="68" t="inlineStr">
        <is>
          <t>6.1 总承包工程</t>
        </is>
      </c>
      <c r="G578" s="68" t="inlineStr">
        <is>
          <t>6.1.1 内部装修工程</t>
        </is>
      </c>
      <c r="H578" s="68" t="inlineStr">
        <is>
          <t>其他零星装修</t>
        </is>
      </c>
      <c r="I578" s="69" t="inlineStr">
        <is>
          <t>1000051722</t>
        </is>
      </c>
      <c r="J578" s="69" t="inlineStr">
        <is>
          <t>餐厅清洁深灰地垫（单开门）</t>
        </is>
      </c>
      <c r="K578" s="70" t="n"/>
      <c r="L578" s="70" t="n"/>
      <c r="M578" s="71" t="inlineStr">
        <is>
          <t>套</t>
        </is>
      </c>
      <c r="N578" s="72" t="n">
        <v>794.4299999999999</v>
      </c>
      <c r="O578" s="72">
        <f>ROUND(N578*(1+$F$10),2)</f>
        <v/>
      </c>
      <c r="P578" s="73">
        <f>ROUND(K578*N578,2)</f>
        <v/>
      </c>
      <c r="Q578" s="74">
        <f>ROUND(L578*N578,2)</f>
        <v/>
      </c>
      <c r="R578" s="75" t="n"/>
      <c r="S578" s="76" t="n"/>
      <c r="T578" s="77">
        <f>K578-L578</f>
        <v/>
      </c>
      <c r="U578" s="77">
        <f>P578-Q578</f>
        <v/>
      </c>
      <c r="V578" s="77">
        <f>ABS(U578)</f>
        <v/>
      </c>
      <c r="W578" s="78">
        <f>T578/L578</f>
        <v/>
      </c>
      <c r="X578" s="79">
        <f>ABS(W578)</f>
        <v/>
      </c>
      <c r="AG578" s="80" t="inlineStr">
        <is>
          <t>个数</t>
        </is>
      </c>
    </row>
    <row r="579" ht="11.4" customHeight="1">
      <c r="A579" s="67" t="inlineStr">
        <is>
          <t>64</t>
        </is>
      </c>
      <c r="B579" s="67" t="inlineStr">
        <is>
          <t>1062</t>
        </is>
      </c>
      <c r="C579" s="67" t="inlineStr">
        <is>
          <t>1611</t>
        </is>
      </c>
      <c r="D579" s="68" t="inlineStr">
        <is>
          <t>01</t>
        </is>
      </c>
      <c r="E579" s="68" t="inlineStr">
        <is>
          <t>6 物业施工费</t>
        </is>
      </c>
      <c r="F579" s="68" t="inlineStr">
        <is>
          <t>6.1 总承包工程</t>
        </is>
      </c>
      <c r="G579" s="68" t="inlineStr">
        <is>
          <t>6.1.1 内部装修工程</t>
        </is>
      </c>
      <c r="H579" s="68" t="inlineStr">
        <is>
          <t>其他零星装修</t>
        </is>
      </c>
      <c r="I579" s="69" t="inlineStr">
        <is>
          <t>1000051723</t>
        </is>
      </c>
      <c r="J579" s="69" t="inlineStr">
        <is>
          <t>餐厅清洁深灰地垫（双开门）</t>
        </is>
      </c>
      <c r="K579" s="70" t="n"/>
      <c r="L579" s="70" t="n"/>
      <c r="M579" s="71" t="inlineStr">
        <is>
          <t>套</t>
        </is>
      </c>
      <c r="N579" s="72" t="n">
        <v>1467.85</v>
      </c>
      <c r="O579" s="72">
        <f>ROUND(N579*(1+$F$10),2)</f>
        <v/>
      </c>
      <c r="P579" s="73">
        <f>ROUND(K579*N579,2)</f>
        <v/>
      </c>
      <c r="Q579" s="74">
        <f>ROUND(L579*N579,2)</f>
        <v/>
      </c>
      <c r="R579" s="75" t="n"/>
      <c r="S579" s="76" t="n"/>
      <c r="T579" s="77">
        <f>K579-L579</f>
        <v/>
      </c>
      <c r="U579" s="77">
        <f>P579-Q579</f>
        <v/>
      </c>
      <c r="V579" s="77">
        <f>ABS(U579)</f>
        <v/>
      </c>
      <c r="W579" s="78">
        <f>T579/L579</f>
        <v/>
      </c>
      <c r="X579" s="79">
        <f>ABS(W579)</f>
        <v/>
      </c>
      <c r="AG579" s="80" t="inlineStr">
        <is>
          <t>个数</t>
        </is>
      </c>
    </row>
    <row r="580" ht="11.4" customHeight="1">
      <c r="A580" s="67" t="inlineStr">
        <is>
          <t>64</t>
        </is>
      </c>
      <c r="B580" s="67" t="inlineStr">
        <is>
          <t>1062</t>
        </is>
      </c>
      <c r="C580" s="67" t="inlineStr">
        <is>
          <t>1611</t>
        </is>
      </c>
      <c r="D580" s="68" t="inlineStr">
        <is>
          <t>01</t>
        </is>
      </c>
      <c r="E580" s="68" t="inlineStr">
        <is>
          <t>6 物业施工费</t>
        </is>
      </c>
      <c r="F580" s="68" t="inlineStr">
        <is>
          <t>6.1 总承包工程</t>
        </is>
      </c>
      <c r="G580" s="68" t="inlineStr">
        <is>
          <t>6.1.1 内部装修工程</t>
        </is>
      </c>
      <c r="H580" s="68" t="inlineStr">
        <is>
          <t>其他零星装修</t>
        </is>
      </c>
      <c r="I580" s="69" t="inlineStr">
        <is>
          <t>1000022166</t>
        </is>
      </c>
      <c r="J580" s="69" t="inlineStr">
        <is>
          <t>DMB安装</t>
        </is>
      </c>
      <c r="K580" s="70" t="n">
        <v>1</v>
      </c>
      <c r="L580" s="70" t="n">
        <v>1</v>
      </c>
      <c r="M580" s="71" t="inlineStr">
        <is>
          <t>项</t>
        </is>
      </c>
      <c r="N580" s="72" t="n">
        <v>1545.16</v>
      </c>
      <c r="O580" s="72">
        <f>ROUND(N580*(1+$F$10),2)</f>
        <v/>
      </c>
      <c r="P580" s="73">
        <f>ROUND(K580*N580,2)</f>
        <v/>
      </c>
      <c r="Q580" s="74">
        <f>ROUND(L580*N580,2)</f>
        <v/>
      </c>
      <c r="R580" s="75" t="n"/>
      <c r="S580" s="76" t="n"/>
      <c r="T580" s="77">
        <f>K580-L580</f>
        <v/>
      </c>
      <c r="U580" s="77">
        <f>P580-Q580</f>
        <v/>
      </c>
      <c r="V580" s="77">
        <f>ABS(U580)</f>
        <v/>
      </c>
      <c r="W580" s="78">
        <f>T580/L580</f>
        <v/>
      </c>
      <c r="X580" s="79">
        <f>ABS(W580)</f>
        <v/>
      </c>
      <c r="AH580" s="6" t="inlineStr">
        <is>
          <t>餐厅常规配置</t>
        </is>
      </c>
    </row>
    <row r="581" ht="11.4" customHeight="1">
      <c r="A581" s="67" t="inlineStr">
        <is>
          <t>64</t>
        </is>
      </c>
      <c r="B581" s="67" t="inlineStr">
        <is>
          <t>1053</t>
        </is>
      </c>
      <c r="C581" s="67" t="inlineStr">
        <is>
          <t>1611</t>
        </is>
      </c>
      <c r="D581" s="68" t="inlineStr">
        <is>
          <t>01</t>
        </is>
      </c>
      <c r="E581" s="68" t="inlineStr">
        <is>
          <t>6 物业施工费</t>
        </is>
      </c>
      <c r="F581" s="68" t="inlineStr">
        <is>
          <t>6.1 总承包工程</t>
        </is>
      </c>
      <c r="G581" s="68" t="inlineStr">
        <is>
          <t>6.1.1 内部装修工程</t>
        </is>
      </c>
      <c r="H581" s="68" t="inlineStr">
        <is>
          <t>其他零星装修</t>
        </is>
      </c>
      <c r="I581" s="69" t="inlineStr">
        <is>
          <t>1000021458</t>
        </is>
      </c>
      <c r="J581" s="69" t="inlineStr">
        <is>
          <t>垃圾房纸皮油桶层架</t>
        </is>
      </c>
      <c r="K581" s="70" t="n"/>
      <c r="L581" s="70" t="n"/>
      <c r="M581" s="71" t="inlineStr">
        <is>
          <t>组</t>
        </is>
      </c>
      <c r="N581" s="72" t="n">
        <v>899</v>
      </c>
      <c r="O581" s="72">
        <f>ROUND(N581*(1+$F$10),2)</f>
        <v/>
      </c>
      <c r="P581" s="73">
        <f>ROUND(K581*N581,2)</f>
        <v/>
      </c>
      <c r="Q581" s="74">
        <f>ROUND(L581*N581,2)</f>
        <v/>
      </c>
      <c r="R581" s="75" t="n"/>
      <c r="S581" s="76" t="n"/>
      <c r="T581" s="77">
        <f>K581-L581</f>
        <v/>
      </c>
      <c r="U581" s="77">
        <f>P581-Q581</f>
        <v/>
      </c>
      <c r="V581" s="77">
        <f>ABS(U581)</f>
        <v/>
      </c>
      <c r="W581" s="78">
        <f>T581/L581</f>
        <v/>
      </c>
      <c r="X581" s="79">
        <f>ABS(W581)</f>
        <v/>
      </c>
      <c r="AH581" s="6" t="inlineStr">
        <is>
          <t>调整\市场特性</t>
        </is>
      </c>
    </row>
    <row r="582" ht="11.4" customHeight="1">
      <c r="A582" s="67" t="inlineStr">
        <is>
          <t>64</t>
        </is>
      </c>
      <c r="B582" s="67" t="inlineStr">
        <is>
          <t>1062</t>
        </is>
      </c>
      <c r="C582" s="67" t="inlineStr">
        <is>
          <t>1611</t>
        </is>
      </c>
      <c r="D582" s="68" t="inlineStr">
        <is>
          <t>01</t>
        </is>
      </c>
      <c r="E582" s="68" t="inlineStr">
        <is>
          <t>6 物业施工费</t>
        </is>
      </c>
      <c r="F582" s="68" t="inlineStr">
        <is>
          <t>6.1 总承包工程</t>
        </is>
      </c>
      <c r="G582" s="68" t="inlineStr">
        <is>
          <t>6.1.1 内部装修工程</t>
        </is>
      </c>
      <c r="H582" s="68" t="inlineStr">
        <is>
          <t>其他零星装修</t>
        </is>
      </c>
      <c r="I582" s="69" t="inlineStr">
        <is>
          <t>1000022167</t>
        </is>
      </c>
      <c r="J582" s="69" t="inlineStr">
        <is>
          <t>裸顶喷漆</t>
        </is>
      </c>
      <c r="K582" s="70" t="n"/>
      <c r="L582" s="70" t="n"/>
      <c r="M582" s="71" t="inlineStr">
        <is>
          <t>m2</t>
        </is>
      </c>
      <c r="N582" s="72" t="n">
        <v>45.72</v>
      </c>
      <c r="O582" s="72">
        <f>ROUND(N582*(1+$F$10),2)</f>
        <v/>
      </c>
      <c r="P582" s="73">
        <f>ROUND(K582*N582,2)</f>
        <v/>
      </c>
      <c r="Q582" s="74">
        <f>ROUND(L582*N582,2)</f>
        <v/>
      </c>
      <c r="R582" s="75" t="n"/>
      <c r="S582" s="76" t="n"/>
      <c r="T582" s="77">
        <f>K582-L582</f>
        <v/>
      </c>
      <c r="U582" s="77">
        <f>P582-Q582</f>
        <v/>
      </c>
      <c r="V582" s="77">
        <f>ABS(U582)</f>
        <v/>
      </c>
      <c r="W582" s="78">
        <f>T582/L582</f>
        <v/>
      </c>
      <c r="X582" s="79">
        <f>ABS(W582)</f>
        <v/>
      </c>
      <c r="AG582" s="6" t="inlineStr">
        <is>
          <t>天花板面积+基本墙面积</t>
        </is>
      </c>
    </row>
    <row r="583" ht="11.4" customHeight="1">
      <c r="A583" s="67" t="inlineStr">
        <is>
          <t>68</t>
        </is>
      </c>
      <c r="B583" s="67" t="inlineStr">
        <is>
          <t>1066</t>
        </is>
      </c>
      <c r="C583" s="67" t="inlineStr">
        <is>
          <t>1612</t>
        </is>
      </c>
      <c r="D583" s="68" t="inlineStr">
        <is>
          <t>01</t>
        </is>
      </c>
      <c r="E583" s="68" t="inlineStr">
        <is>
          <t>6 物业施工费</t>
        </is>
      </c>
      <c r="F583" s="68" t="inlineStr">
        <is>
          <t>6.1 总承包工程</t>
        </is>
      </c>
      <c r="G583" s="68" t="inlineStr">
        <is>
          <t>6.1.2 电气工程</t>
        </is>
      </c>
      <c r="H583" s="68" t="inlineStr">
        <is>
          <t>配电系统</t>
        </is>
      </c>
      <c r="I583" s="69" t="inlineStr">
        <is>
          <t>1000021858</t>
        </is>
      </c>
      <c r="J583" s="69" t="inlineStr">
        <is>
          <t>（不含主材）安装调试总配电柜</t>
        </is>
      </c>
      <c r="K583" s="70" t="n">
        <v>1</v>
      </c>
      <c r="L583" s="70" t="n">
        <v>1</v>
      </c>
      <c r="M583" s="71" t="inlineStr">
        <is>
          <t>项</t>
        </is>
      </c>
      <c r="N583" s="72" t="n">
        <v>4237.59</v>
      </c>
      <c r="O583" s="72">
        <f>ROUND(N583*(1+$F$10),2)</f>
        <v/>
      </c>
      <c r="P583" s="73">
        <f>ROUND(K583*N583,2)</f>
        <v/>
      </c>
      <c r="Q583" s="74">
        <f>ROUND(L583*N583,2)</f>
        <v/>
      </c>
      <c r="R583" s="75" t="n"/>
      <c r="S583" s="76" t="n"/>
      <c r="T583" s="77">
        <f>K583-L583</f>
        <v/>
      </c>
      <c r="U583" s="77">
        <f>P583-Q583</f>
        <v/>
      </c>
      <c r="V583" s="77">
        <f>ABS(U583)</f>
        <v/>
      </c>
      <c r="W583" s="78">
        <f>T583/L583</f>
        <v/>
      </c>
      <c r="X583" s="79">
        <f>ABS(W583)</f>
        <v/>
      </c>
      <c r="AH583" s="6" t="inlineStr">
        <is>
          <t>餐厅常规配置</t>
        </is>
      </c>
    </row>
    <row r="584" ht="11.4" customHeight="1">
      <c r="A584" s="67" t="inlineStr">
        <is>
          <t>68</t>
        </is>
      </c>
      <c r="B584" s="67" t="inlineStr">
        <is>
          <t>1066</t>
        </is>
      </c>
      <c r="C584" s="67" t="inlineStr">
        <is>
          <t>1612</t>
        </is>
      </c>
      <c r="D584" s="68" t="inlineStr">
        <is>
          <t>01</t>
        </is>
      </c>
      <c r="E584" s="68" t="inlineStr">
        <is>
          <t>6 物业施工费</t>
        </is>
      </c>
      <c r="F584" s="68" t="inlineStr">
        <is>
          <t>6.1 总承包工程</t>
        </is>
      </c>
      <c r="G584" s="68" t="inlineStr">
        <is>
          <t>6.1.2 电气工程</t>
        </is>
      </c>
      <c r="H584" s="68" t="inlineStr">
        <is>
          <t>配电系统</t>
        </is>
      </c>
      <c r="I584" s="69" t="inlineStr">
        <is>
          <t>1000021859</t>
        </is>
      </c>
      <c r="J584" s="69" t="inlineStr">
        <is>
          <t>接地装置（仅DT）</t>
        </is>
      </c>
      <c r="K584" s="70" t="n"/>
      <c r="L584" s="70" t="n"/>
      <c r="M584" s="71" t="inlineStr">
        <is>
          <t>项</t>
        </is>
      </c>
      <c r="N584" s="72" t="n">
        <v>1859</v>
      </c>
      <c r="O584" s="72">
        <f>ROUND(N584*(1+$F$10),2)</f>
        <v/>
      </c>
      <c r="P584" s="73">
        <f>ROUND(K584*N584,2)</f>
        <v/>
      </c>
      <c r="Q584" s="74">
        <f>ROUND(L584*N584,2)</f>
        <v/>
      </c>
      <c r="R584" s="75" t="n"/>
      <c r="S584" s="76" t="n"/>
      <c r="T584" s="77">
        <f>K584-L584</f>
        <v/>
      </c>
      <c r="U584" s="77">
        <f>P584-Q584</f>
        <v/>
      </c>
      <c r="V584" s="77">
        <f>ABS(U584)</f>
        <v/>
      </c>
      <c r="W584" s="78">
        <f>T584/L584</f>
        <v/>
      </c>
      <c r="X584" s="79">
        <f>ABS(W584)</f>
        <v/>
      </c>
      <c r="AH584" s="80" t="inlineStr">
        <is>
          <t>委托书</t>
        </is>
      </c>
    </row>
    <row r="585" ht="11.4" customHeight="1">
      <c r="A585" s="67" t="inlineStr">
        <is>
          <t>68</t>
        </is>
      </c>
      <c r="B585" s="67" t="inlineStr">
        <is>
          <t>1066</t>
        </is>
      </c>
      <c r="C585" s="67" t="inlineStr">
        <is>
          <t>1612</t>
        </is>
      </c>
      <c r="D585" s="68" t="inlineStr">
        <is>
          <t>01</t>
        </is>
      </c>
      <c r="E585" s="68" t="inlineStr">
        <is>
          <t>6 物业施工费</t>
        </is>
      </c>
      <c r="F585" s="68" t="inlineStr">
        <is>
          <t>6.1 总承包工程</t>
        </is>
      </c>
      <c r="G585" s="68" t="inlineStr">
        <is>
          <t>6.1.2 电气工程</t>
        </is>
      </c>
      <c r="H585" s="68" t="inlineStr">
        <is>
          <t>配电系统</t>
        </is>
      </c>
      <c r="I585" s="69" t="inlineStr">
        <is>
          <t>1000021860</t>
        </is>
      </c>
      <c r="J585" s="69" t="inlineStr">
        <is>
          <t>调试电费</t>
        </is>
      </c>
      <c r="K585" s="70" t="n">
        <v>1</v>
      </c>
      <c r="L585" s="70" t="n">
        <v>1</v>
      </c>
      <c r="M585" s="71" t="inlineStr">
        <is>
          <t>项</t>
        </is>
      </c>
      <c r="N585" s="72" t="n">
        <v>1850</v>
      </c>
      <c r="O585" s="72">
        <f>ROUND(N585*(1+$F$10),2)</f>
        <v/>
      </c>
      <c r="P585" s="73">
        <f>ROUND(K585*N585,2)</f>
        <v/>
      </c>
      <c r="Q585" s="74">
        <f>ROUND(L585*N585,2)</f>
        <v/>
      </c>
      <c r="R585" s="75" t="n"/>
      <c r="S585" s="76" t="n"/>
      <c r="T585" s="77">
        <f>K585-L585</f>
        <v/>
      </c>
      <c r="U585" s="77">
        <f>P585-Q585</f>
        <v/>
      </c>
      <c r="V585" s="77">
        <f>ABS(U585)</f>
        <v/>
      </c>
      <c r="W585" s="78">
        <f>T585/L585</f>
        <v/>
      </c>
      <c r="X585" s="79">
        <f>ABS(W585)</f>
        <v/>
      </c>
      <c r="AH585" s="6" t="inlineStr">
        <is>
          <t>餐厅常规配置</t>
        </is>
      </c>
    </row>
    <row r="586" ht="11.4" customHeight="1">
      <c r="A586" s="67" t="inlineStr">
        <is>
          <t>68</t>
        </is>
      </c>
      <c r="B586" s="67" t="inlineStr">
        <is>
          <t>1066</t>
        </is>
      </c>
      <c r="C586" s="67" t="inlineStr">
        <is>
          <t>1612</t>
        </is>
      </c>
      <c r="D586" s="68" t="inlineStr">
        <is>
          <t>01</t>
        </is>
      </c>
      <c r="E586" s="68" t="inlineStr">
        <is>
          <t>6 物业施工费</t>
        </is>
      </c>
      <c r="F586" s="68" t="inlineStr">
        <is>
          <t>6.1 总承包工程</t>
        </is>
      </c>
      <c r="G586" s="68" t="inlineStr">
        <is>
          <t>6.1.2 电气工程</t>
        </is>
      </c>
      <c r="H586" s="68" t="inlineStr">
        <is>
          <t>配电系统</t>
        </is>
      </c>
      <c r="I586" s="69" t="inlineStr">
        <is>
          <t>1000040111</t>
        </is>
      </c>
      <c r="J586" s="69" t="inlineStr">
        <is>
          <t>总配电柜回路调整</t>
        </is>
      </c>
      <c r="K586" s="70" t="n"/>
      <c r="L586" s="70" t="n"/>
      <c r="M586" s="71" t="inlineStr">
        <is>
          <t>项</t>
        </is>
      </c>
      <c r="N586" s="72" t="n"/>
      <c r="O586" s="72">
        <f>ROUND(N586*(1+$F$10),2)</f>
        <v/>
      </c>
      <c r="P586" s="73">
        <f>ROUND(K586*N586,2)</f>
        <v/>
      </c>
      <c r="Q586" s="74">
        <f>ROUND(L586*N586,2)</f>
        <v/>
      </c>
      <c r="R586" s="75" t="n"/>
      <c r="S586" s="76" t="n"/>
      <c r="T586" s="77">
        <f>K586-L586</f>
        <v/>
      </c>
      <c r="U586" s="77">
        <f>P586-Q586</f>
        <v/>
      </c>
      <c r="V586" s="77">
        <f>ABS(U586)</f>
        <v/>
      </c>
      <c r="W586" s="78">
        <f>T586/L586</f>
        <v/>
      </c>
      <c r="X586" s="79">
        <f>ABS(W586)</f>
        <v/>
      </c>
      <c r="AH586" s="6" t="inlineStr">
        <is>
          <t>餐厅常规配置</t>
        </is>
      </c>
    </row>
    <row r="587" ht="11.4" customHeight="1">
      <c r="A587" s="67" t="inlineStr">
        <is>
          <t>68</t>
        </is>
      </c>
      <c r="B587" s="67" t="inlineStr">
        <is>
          <t>1066</t>
        </is>
      </c>
      <c r="C587" s="67" t="inlineStr">
        <is>
          <t>1612</t>
        </is>
      </c>
      <c r="D587" s="68" t="inlineStr">
        <is>
          <t>01</t>
        </is>
      </c>
      <c r="E587" s="68" t="inlineStr">
        <is>
          <t>6 物业施工费</t>
        </is>
      </c>
      <c r="F587" s="68" t="inlineStr">
        <is>
          <t>6.1 总承包工程</t>
        </is>
      </c>
      <c r="G587" s="68" t="inlineStr">
        <is>
          <t>6.1.2 电气工程</t>
        </is>
      </c>
      <c r="H587" s="68" t="inlineStr">
        <is>
          <t>厨房动力 (包含所有毛坯及辅材）</t>
        </is>
      </c>
      <c r="I587" s="69" t="inlineStr">
        <is>
          <t>1000021861</t>
        </is>
      </c>
      <c r="J587" s="69" t="inlineStr">
        <is>
          <t>10A 三眼单相插座回路</t>
        </is>
      </c>
      <c r="K587" s="83" t="n">
        <v>21</v>
      </c>
      <c r="L587" s="70" t="n">
        <v>20</v>
      </c>
      <c r="M587" s="71" t="inlineStr">
        <is>
          <t>组</t>
        </is>
      </c>
      <c r="N587" s="72" t="n">
        <v>486.16</v>
      </c>
      <c r="O587" s="72">
        <f>ROUND(N587*(1+$F$10),2)</f>
        <v/>
      </c>
      <c r="P587" s="73">
        <f>ROUND(K587*N587,2)</f>
        <v/>
      </c>
      <c r="Q587" s="74">
        <f>ROUND(L587*N587,2)</f>
        <v/>
      </c>
      <c r="R587" s="75" t="n"/>
      <c r="S587" s="76" t="n"/>
      <c r="T587" s="77">
        <f>K587-L587</f>
        <v/>
      </c>
      <c r="U587" s="77">
        <f>P587-Q587</f>
        <v/>
      </c>
      <c r="V587" s="77">
        <f>ABS(U587)</f>
        <v/>
      </c>
      <c r="W587" s="78">
        <f>T587/L587</f>
        <v/>
      </c>
      <c r="X587" s="79">
        <f>ABS(W587)</f>
        <v/>
      </c>
      <c r="AH587" s="80" t="inlineStr">
        <is>
          <t>弱电管线\电气系统图</t>
        </is>
      </c>
    </row>
    <row r="588" ht="11.4" customHeight="1">
      <c r="A588" s="67" t="inlineStr">
        <is>
          <t>68</t>
        </is>
      </c>
      <c r="B588" s="67" t="inlineStr">
        <is>
          <t>1066</t>
        </is>
      </c>
      <c r="C588" s="67" t="inlineStr">
        <is>
          <t>1612</t>
        </is>
      </c>
      <c r="D588" s="68" t="inlineStr">
        <is>
          <t>01</t>
        </is>
      </c>
      <c r="E588" s="68" t="inlineStr">
        <is>
          <t>6 物业施工费</t>
        </is>
      </c>
      <c r="F588" s="68" t="inlineStr">
        <is>
          <t>6.1 总承包工程</t>
        </is>
      </c>
      <c r="G588" s="68" t="inlineStr">
        <is>
          <t>6.1.2 电气工程</t>
        </is>
      </c>
      <c r="H588" s="68" t="inlineStr">
        <is>
          <t>厨房动力 (包含所有毛坯及辅材）</t>
        </is>
      </c>
      <c r="I588" s="69" t="inlineStr">
        <is>
          <t>1000021862</t>
        </is>
      </c>
      <c r="J588" s="69" t="inlineStr">
        <is>
          <t>10A 三眼单相插座</t>
        </is>
      </c>
      <c r="K588" s="70" t="n">
        <v>36</v>
      </c>
      <c r="L588" s="70" t="n">
        <v>36</v>
      </c>
      <c r="M588" s="71" t="inlineStr">
        <is>
          <t>个</t>
        </is>
      </c>
      <c r="N588" s="72" t="n">
        <v>105.21</v>
      </c>
      <c r="O588" s="72">
        <f>ROUND(N588*(1+$F$10),2)</f>
        <v/>
      </c>
      <c r="P588" s="73">
        <f>ROUND(K588*N588,2)</f>
        <v/>
      </c>
      <c r="Q588" s="74">
        <f>ROUND(L588*N588,2)</f>
        <v/>
      </c>
      <c r="R588" s="75" t="n"/>
      <c r="S588" s="76" t="n"/>
      <c r="T588" s="77">
        <f>K588-L588</f>
        <v/>
      </c>
      <c r="U588" s="77">
        <f>P588-Q588</f>
        <v/>
      </c>
      <c r="V588" s="77">
        <f>ABS(U588)</f>
        <v/>
      </c>
      <c r="W588" s="78">
        <f>T588/L588</f>
        <v/>
      </c>
      <c r="X588" s="79">
        <f>ABS(W588)</f>
        <v/>
      </c>
      <c r="AH588" s="80" t="inlineStr">
        <is>
          <t>弱电管线\电气系统图</t>
        </is>
      </c>
    </row>
    <row r="589" ht="11.4" customHeight="1">
      <c r="A589" s="67" t="inlineStr">
        <is>
          <t>68</t>
        </is>
      </c>
      <c r="B589" s="67" t="inlineStr">
        <is>
          <t>1066</t>
        </is>
      </c>
      <c r="C589" s="67" t="inlineStr">
        <is>
          <t>1612</t>
        </is>
      </c>
      <c r="D589" s="68" t="inlineStr">
        <is>
          <t>01</t>
        </is>
      </c>
      <c r="E589" s="68" t="inlineStr">
        <is>
          <t>6 物业施工费</t>
        </is>
      </c>
      <c r="F589" s="68" t="inlineStr">
        <is>
          <t>6.1 总承包工程</t>
        </is>
      </c>
      <c r="G589" s="68" t="inlineStr">
        <is>
          <t>6.1.2 电气工程</t>
        </is>
      </c>
      <c r="H589" s="68" t="inlineStr">
        <is>
          <t>厨房动力 (包含所有毛坯及辅材）</t>
        </is>
      </c>
      <c r="I589" s="69" t="inlineStr">
        <is>
          <t>1000021863</t>
        </is>
      </c>
      <c r="J589" s="69" t="inlineStr">
        <is>
          <t>16A 三眼单相插座回路</t>
        </is>
      </c>
      <c r="K589" s="70" t="n">
        <v>1</v>
      </c>
      <c r="L589" s="70" t="n">
        <v>1</v>
      </c>
      <c r="M589" s="71" t="inlineStr">
        <is>
          <t>组</t>
        </is>
      </c>
      <c r="N589" s="72" t="n">
        <v>511.41</v>
      </c>
      <c r="O589" s="72">
        <f>ROUND(N589*(1+$F$10),2)</f>
        <v/>
      </c>
      <c r="P589" s="73">
        <f>ROUND(K589*N589,2)</f>
        <v/>
      </c>
      <c r="Q589" s="74">
        <f>ROUND(L589*N589,2)</f>
        <v/>
      </c>
      <c r="R589" s="75" t="n"/>
      <c r="S589" s="76" t="n"/>
      <c r="T589" s="77">
        <f>K589-L589</f>
        <v/>
      </c>
      <c r="U589" s="77">
        <f>P589-Q589</f>
        <v/>
      </c>
      <c r="V589" s="77">
        <f>ABS(U589)</f>
        <v/>
      </c>
      <c r="W589" s="78">
        <f>T589/L589</f>
        <v/>
      </c>
      <c r="X589" s="79">
        <f>ABS(W589)</f>
        <v/>
      </c>
      <c r="AH589" s="80" t="inlineStr">
        <is>
          <t>弱电管线\电气系统图</t>
        </is>
      </c>
    </row>
    <row r="590" ht="11.4" customHeight="1">
      <c r="A590" s="67" t="inlineStr">
        <is>
          <t>68</t>
        </is>
      </c>
      <c r="B590" s="67" t="inlineStr">
        <is>
          <t>1066</t>
        </is>
      </c>
      <c r="C590" s="67" t="inlineStr">
        <is>
          <t>1612</t>
        </is>
      </c>
      <c r="D590" s="68" t="inlineStr">
        <is>
          <t>01</t>
        </is>
      </c>
      <c r="E590" s="68" t="inlineStr">
        <is>
          <t>6 物业施工费</t>
        </is>
      </c>
      <c r="F590" s="68" t="inlineStr">
        <is>
          <t>6.1 总承包工程</t>
        </is>
      </c>
      <c r="G590" s="68" t="inlineStr">
        <is>
          <t>6.1.2 电气工程</t>
        </is>
      </c>
      <c r="H590" s="68" t="inlineStr">
        <is>
          <t>厨房动力 (包含所有毛坯及辅材）</t>
        </is>
      </c>
      <c r="I590" s="69" t="inlineStr">
        <is>
          <t>1000021864</t>
        </is>
      </c>
      <c r="J590" s="69" t="inlineStr">
        <is>
          <t>16A 三眼单相插座</t>
        </is>
      </c>
      <c r="K590" s="70" t="n">
        <v>16</v>
      </c>
      <c r="L590" s="70" t="n">
        <v>16</v>
      </c>
      <c r="M590" s="71" t="inlineStr">
        <is>
          <t>个</t>
        </is>
      </c>
      <c r="N590" s="72" t="n">
        <v>105.85</v>
      </c>
      <c r="O590" s="72">
        <f>ROUND(N590*(1+$F$10),2)</f>
        <v/>
      </c>
      <c r="P590" s="73">
        <f>ROUND(K590*N590,2)</f>
        <v/>
      </c>
      <c r="Q590" s="74">
        <f>ROUND(L590*N590,2)</f>
        <v/>
      </c>
      <c r="R590" s="75" t="n"/>
      <c r="S590" s="76" t="n"/>
      <c r="T590" s="77">
        <f>K590-L590</f>
        <v/>
      </c>
      <c r="U590" s="77">
        <f>P590-Q590</f>
        <v/>
      </c>
      <c r="V590" s="77">
        <f>ABS(U590)</f>
        <v/>
      </c>
      <c r="W590" s="78">
        <f>T590/L590</f>
        <v/>
      </c>
      <c r="X590" s="79">
        <f>ABS(W590)</f>
        <v/>
      </c>
      <c r="AH590" s="80" t="inlineStr">
        <is>
          <t>弱电管线\电气系统图</t>
        </is>
      </c>
    </row>
    <row r="591" ht="11.4" customHeight="1">
      <c r="A591" s="67" t="inlineStr">
        <is>
          <t>68</t>
        </is>
      </c>
      <c r="B591" s="67" t="inlineStr">
        <is>
          <t>1066</t>
        </is>
      </c>
      <c r="C591" s="67" t="inlineStr">
        <is>
          <t>1612</t>
        </is>
      </c>
      <c r="D591" s="68" t="inlineStr">
        <is>
          <t>01</t>
        </is>
      </c>
      <c r="E591" s="68" t="inlineStr">
        <is>
          <t>6 物业施工费</t>
        </is>
      </c>
      <c r="F591" s="68" t="inlineStr">
        <is>
          <t>6.1 总承包工程</t>
        </is>
      </c>
      <c r="G591" s="68" t="inlineStr">
        <is>
          <t>6.1.2 电气工程</t>
        </is>
      </c>
      <c r="H591" s="68" t="inlineStr">
        <is>
          <t>厨房动力 (包含所有毛坯及辅材）</t>
        </is>
      </c>
      <c r="I591" s="69" t="inlineStr">
        <is>
          <t>1000021865</t>
        </is>
      </c>
      <c r="J591" s="69" t="inlineStr">
        <is>
          <t>传送带紧急按钮</t>
        </is>
      </c>
      <c r="K591" s="70" t="n"/>
      <c r="L591" s="70" t="n"/>
      <c r="M591" s="71" t="inlineStr">
        <is>
          <t>个</t>
        </is>
      </c>
      <c r="N591" s="72" t="n">
        <v>82.70999999999999</v>
      </c>
      <c r="O591" s="72">
        <f>ROUND(N591*(1+$F$10),2)</f>
        <v/>
      </c>
      <c r="P591" s="73">
        <f>ROUND(K591*N591,2)</f>
        <v/>
      </c>
      <c r="Q591" s="74">
        <f>ROUND(L591*N591,2)</f>
        <v/>
      </c>
      <c r="R591" s="75" t="n"/>
      <c r="S591" s="76" t="n"/>
      <c r="T591" s="77">
        <f>K591-L591</f>
        <v/>
      </c>
      <c r="U591" s="77">
        <f>P591-Q591</f>
        <v/>
      </c>
      <c r="V591" s="77">
        <f>ABS(U591)</f>
        <v/>
      </c>
      <c r="W591" s="78">
        <f>T591/L591</f>
        <v/>
      </c>
      <c r="X591" s="79">
        <f>ABS(W591)</f>
        <v/>
      </c>
      <c r="AH591" s="80" t="inlineStr">
        <is>
          <t>待定</t>
        </is>
      </c>
    </row>
    <row r="592" ht="11.4" customHeight="1">
      <c r="A592" s="67" t="inlineStr">
        <is>
          <t>68</t>
        </is>
      </c>
      <c r="B592" s="67" t="inlineStr">
        <is>
          <t>1066</t>
        </is>
      </c>
      <c r="C592" s="67" t="inlineStr">
        <is>
          <t>1612</t>
        </is>
      </c>
      <c r="D592" s="68" t="inlineStr">
        <is>
          <t>01</t>
        </is>
      </c>
      <c r="E592" s="68" t="inlineStr">
        <is>
          <t>6 物业施工费</t>
        </is>
      </c>
      <c r="F592" s="68" t="inlineStr">
        <is>
          <t>6.1 总承包工程</t>
        </is>
      </c>
      <c r="G592" s="68" t="inlineStr">
        <is>
          <t>6.1.2 电气工程</t>
        </is>
      </c>
      <c r="H592" s="68" t="inlineStr">
        <is>
          <t>厨房动力 (包含所有毛坯及辅材）</t>
        </is>
      </c>
      <c r="I592" s="69" t="inlineStr">
        <is>
          <t>1000021866</t>
        </is>
      </c>
      <c r="J592" s="69" t="inlineStr">
        <is>
          <t>接线盒---- 电气联锁</t>
        </is>
      </c>
      <c r="K592" s="70" t="n">
        <v>3</v>
      </c>
      <c r="L592" s="70" t="n">
        <v>3</v>
      </c>
      <c r="M592" s="71" t="inlineStr">
        <is>
          <t>个</t>
        </is>
      </c>
      <c r="N592" s="72" t="n">
        <v>536.25</v>
      </c>
      <c r="O592" s="72">
        <f>ROUND(N592*(1+$F$10),2)</f>
        <v/>
      </c>
      <c r="P592" s="73">
        <f>ROUND(K592*N592,2)</f>
        <v/>
      </c>
      <c r="Q592" s="74">
        <f>ROUND(L592*N592,2)</f>
        <v/>
      </c>
      <c r="R592" s="75" t="n"/>
      <c r="S592" s="76" t="n"/>
      <c r="T592" s="77">
        <f>K592-L592</f>
        <v/>
      </c>
      <c r="U592" s="77">
        <f>P592-Q592</f>
        <v/>
      </c>
      <c r="V592" s="77">
        <f>ABS(U592)</f>
        <v/>
      </c>
      <c r="W592" s="78">
        <f>T592/L592</f>
        <v/>
      </c>
      <c r="X592" s="79">
        <f>ABS(W592)</f>
        <v/>
      </c>
      <c r="AH592" s="80" t="inlineStr">
        <is>
          <t>弱电管线\电气系统图</t>
        </is>
      </c>
    </row>
    <row r="593" ht="11.4" customHeight="1">
      <c r="A593" s="67" t="inlineStr">
        <is>
          <t>68</t>
        </is>
      </c>
      <c r="B593" s="67" t="inlineStr">
        <is>
          <t>1066</t>
        </is>
      </c>
      <c r="C593" s="67" t="inlineStr">
        <is>
          <t>1612</t>
        </is>
      </c>
      <c r="D593" s="68" t="inlineStr">
        <is>
          <t>01</t>
        </is>
      </c>
      <c r="E593" s="68" t="inlineStr">
        <is>
          <t>6 物业施工费</t>
        </is>
      </c>
      <c r="F593" s="68" t="inlineStr">
        <is>
          <t>6.1 总承包工程</t>
        </is>
      </c>
      <c r="G593" s="68" t="inlineStr">
        <is>
          <t>6.1.2 电气工程</t>
        </is>
      </c>
      <c r="H593" s="68" t="inlineStr">
        <is>
          <t>厨房动力 (包含所有毛坯及辅材）</t>
        </is>
      </c>
      <c r="I593" s="69" t="inlineStr">
        <is>
          <t>1000021867</t>
        </is>
      </c>
      <c r="J593" s="69" t="inlineStr">
        <is>
          <t>接线盒---- 烘手器 (不含烘手器主材)</t>
        </is>
      </c>
      <c r="K593" s="70" t="n">
        <v>2</v>
      </c>
      <c r="L593" s="70" t="n">
        <v>2</v>
      </c>
      <c r="M593" s="71" t="inlineStr">
        <is>
          <t>个</t>
        </is>
      </c>
      <c r="N593" s="72" t="n">
        <v>453.75</v>
      </c>
      <c r="O593" s="72">
        <f>ROUND(N593*(1+$F$10),2)</f>
        <v/>
      </c>
      <c r="P593" s="73">
        <f>ROUND(K593*N593,2)</f>
        <v/>
      </c>
      <c r="Q593" s="74">
        <f>ROUND(L593*N593,2)</f>
        <v/>
      </c>
      <c r="R593" s="75" t="n"/>
      <c r="S593" s="76" t="n"/>
      <c r="T593" s="77">
        <f>K593-L593</f>
        <v/>
      </c>
      <c r="U593" s="77">
        <f>P593-Q593</f>
        <v/>
      </c>
      <c r="V593" s="77">
        <f>ABS(U593)</f>
        <v/>
      </c>
      <c r="W593" s="78">
        <f>T593/L593</f>
        <v/>
      </c>
      <c r="X593" s="79">
        <f>ABS(W593)</f>
        <v/>
      </c>
      <c r="AH593" s="80" t="inlineStr">
        <is>
          <t>弱电管线\电气系统图</t>
        </is>
      </c>
    </row>
    <row r="594" ht="11.4" customHeight="1">
      <c r="A594" s="67" t="inlineStr">
        <is>
          <t>68</t>
        </is>
      </c>
      <c r="B594" s="67" t="inlineStr">
        <is>
          <t>1066</t>
        </is>
      </c>
      <c r="C594" s="67" t="inlineStr">
        <is>
          <t>1612</t>
        </is>
      </c>
      <c r="D594" s="68" t="inlineStr">
        <is>
          <t>01</t>
        </is>
      </c>
      <c r="E594" s="68" t="inlineStr">
        <is>
          <t>6 物业施工费</t>
        </is>
      </c>
      <c r="F594" s="68" t="inlineStr">
        <is>
          <t>6.1 总承包工程</t>
        </is>
      </c>
      <c r="G594" s="68" t="inlineStr">
        <is>
          <t>6.1.2 电气工程</t>
        </is>
      </c>
      <c r="H594" s="68" t="inlineStr">
        <is>
          <t>厨房动力 (包含所有毛坯及辅材）</t>
        </is>
      </c>
      <c r="I594" s="69" t="inlineStr">
        <is>
          <t>1000021868</t>
        </is>
      </c>
      <c r="J594" s="69" t="inlineStr">
        <is>
          <t>接线盒---- 热水器</t>
        </is>
      </c>
      <c r="K594" s="70" t="n">
        <v>1</v>
      </c>
      <c r="L594" s="70" t="n">
        <v>1</v>
      </c>
      <c r="M594" s="71" t="inlineStr">
        <is>
          <t>个</t>
        </is>
      </c>
      <c r="N594" s="72" t="n">
        <v>1088.45</v>
      </c>
      <c r="O594" s="72">
        <f>ROUND(N594*(1+$F$10),2)</f>
        <v/>
      </c>
      <c r="P594" s="73">
        <f>ROUND(K594*N594,2)</f>
        <v/>
      </c>
      <c r="Q594" s="74">
        <f>ROUND(L594*N594,2)</f>
        <v/>
      </c>
      <c r="R594" s="75" t="n"/>
      <c r="S594" s="76" t="n"/>
      <c r="T594" s="77">
        <f>K594-L594</f>
        <v/>
      </c>
      <c r="U594" s="77">
        <f>P594-Q594</f>
        <v/>
      </c>
      <c r="V594" s="77">
        <f>ABS(U594)</f>
        <v/>
      </c>
      <c r="W594" s="78">
        <f>T594/L594</f>
        <v/>
      </c>
      <c r="X594" s="79">
        <f>ABS(W594)</f>
        <v/>
      </c>
      <c r="AH594" s="80" t="inlineStr">
        <is>
          <t>弱电管线\电气系统图</t>
        </is>
      </c>
    </row>
    <row r="595" ht="11.4" customHeight="1">
      <c r="A595" s="67" t="inlineStr">
        <is>
          <t>68</t>
        </is>
      </c>
      <c r="B595" s="67" t="inlineStr">
        <is>
          <t>1066</t>
        </is>
      </c>
      <c r="C595" s="67" t="inlineStr">
        <is>
          <t>1612</t>
        </is>
      </c>
      <c r="D595" s="68" t="inlineStr">
        <is>
          <t>01</t>
        </is>
      </c>
      <c r="E595" s="68" t="inlineStr">
        <is>
          <t>6 物业施工费</t>
        </is>
      </c>
      <c r="F595" s="68" t="inlineStr">
        <is>
          <t>6.1 总承包工程</t>
        </is>
      </c>
      <c r="G595" s="68" t="inlineStr">
        <is>
          <t>6.1.2 电气工程</t>
        </is>
      </c>
      <c r="H595" s="68" t="inlineStr">
        <is>
          <t>厨房动力 (包含所有毛坯及辅材）</t>
        </is>
      </c>
      <c r="I595" s="69" t="inlineStr">
        <is>
          <t>1000021869</t>
        </is>
      </c>
      <c r="J595" s="69" t="inlineStr">
        <is>
          <t>接线盒 ---- 卡钟</t>
        </is>
      </c>
      <c r="K595" s="70" t="n">
        <v>1</v>
      </c>
      <c r="L595" s="70" t="n">
        <v>1</v>
      </c>
      <c r="M595" s="71" t="inlineStr">
        <is>
          <t>个</t>
        </is>
      </c>
      <c r="N595" s="72" t="n">
        <v>359.26</v>
      </c>
      <c r="O595" s="72">
        <f>ROUND(N595*(1+$F$10),2)</f>
        <v/>
      </c>
      <c r="P595" s="73">
        <f>ROUND(K595*N595,2)</f>
        <v/>
      </c>
      <c r="Q595" s="74">
        <f>ROUND(L595*N595,2)</f>
        <v/>
      </c>
      <c r="R595" s="75" t="n"/>
      <c r="S595" s="76" t="n"/>
      <c r="T595" s="77">
        <f>K595-L595</f>
        <v/>
      </c>
      <c r="U595" s="77">
        <f>P595-Q595</f>
        <v/>
      </c>
      <c r="V595" s="77">
        <f>ABS(U595)</f>
        <v/>
      </c>
      <c r="W595" s="78">
        <f>T595/L595</f>
        <v/>
      </c>
      <c r="X595" s="79">
        <f>ABS(W595)</f>
        <v/>
      </c>
      <c r="AH595" s="80" t="inlineStr">
        <is>
          <t>弱电管线\电气系统图</t>
        </is>
      </c>
    </row>
    <row r="596" ht="11.4" customHeight="1">
      <c r="A596" s="67" t="inlineStr">
        <is>
          <t>68</t>
        </is>
      </c>
      <c r="B596" s="67" t="inlineStr">
        <is>
          <t>1066</t>
        </is>
      </c>
      <c r="C596" s="67" t="inlineStr">
        <is>
          <t>1612</t>
        </is>
      </c>
      <c r="D596" s="68" t="inlineStr">
        <is>
          <t>01</t>
        </is>
      </c>
      <c r="E596" s="68" t="inlineStr">
        <is>
          <t>6 物业施工费</t>
        </is>
      </c>
      <c r="F596" s="68" t="inlineStr">
        <is>
          <t>6.1 总承包工程</t>
        </is>
      </c>
      <c r="G596" s="68" t="inlineStr">
        <is>
          <t>6.1.2 电气工程</t>
        </is>
      </c>
      <c r="H596" s="68" t="inlineStr">
        <is>
          <t>厨房动力 (包含所有毛坯及辅材）</t>
        </is>
      </c>
      <c r="I596" s="69" t="inlineStr">
        <is>
          <t>1000021870</t>
        </is>
      </c>
      <c r="J596" s="69" t="inlineStr">
        <is>
          <t>接线盒 ---- 肉饼冰箱</t>
        </is>
      </c>
      <c r="K596" s="70" t="n">
        <v>3</v>
      </c>
      <c r="L596" s="70" t="n">
        <v>3</v>
      </c>
      <c r="M596" s="71" t="inlineStr">
        <is>
          <t>个</t>
        </is>
      </c>
      <c r="N596" s="72" t="n">
        <v>708.28</v>
      </c>
      <c r="O596" s="72">
        <f>ROUND(N596*(1+$F$10),2)</f>
        <v/>
      </c>
      <c r="P596" s="73">
        <f>ROUND(K596*N596,2)</f>
        <v/>
      </c>
      <c r="Q596" s="74">
        <f>ROUND(L596*N596,2)</f>
        <v/>
      </c>
      <c r="R596" s="75" t="n"/>
      <c r="S596" s="76" t="n"/>
      <c r="T596" s="77">
        <f>K596-L596</f>
        <v/>
      </c>
      <c r="U596" s="77">
        <f>P596-Q596</f>
        <v/>
      </c>
      <c r="V596" s="77">
        <f>ABS(U596)</f>
        <v/>
      </c>
      <c r="W596" s="78">
        <f>T596/L596</f>
        <v/>
      </c>
      <c r="X596" s="79">
        <f>ABS(W596)</f>
        <v/>
      </c>
      <c r="AH596" s="80" t="inlineStr">
        <is>
          <t>弱电管线\电气系统图</t>
        </is>
      </c>
    </row>
    <row r="597" ht="11.4" customHeight="1">
      <c r="A597" s="67" t="inlineStr">
        <is>
          <t>68</t>
        </is>
      </c>
      <c r="B597" s="67" t="inlineStr">
        <is>
          <t>1066</t>
        </is>
      </c>
      <c r="C597" s="67" t="inlineStr">
        <is>
          <t>1612</t>
        </is>
      </c>
      <c r="D597" s="68" t="inlineStr">
        <is>
          <t>01</t>
        </is>
      </c>
      <c r="E597" s="68" t="inlineStr">
        <is>
          <t>6 物业施工费</t>
        </is>
      </c>
      <c r="F597" s="68" t="inlineStr">
        <is>
          <t>6.1 总承包工程</t>
        </is>
      </c>
      <c r="G597" s="68" t="inlineStr">
        <is>
          <t>6.1.2 电气工程</t>
        </is>
      </c>
      <c r="H597" s="68" t="inlineStr">
        <is>
          <t>厨房动力 (包含所有毛坯及辅材）</t>
        </is>
      </c>
      <c r="I597" s="69" t="inlineStr">
        <is>
          <t>1000021871</t>
        </is>
      </c>
      <c r="J597" s="69" t="inlineStr">
        <is>
          <t>接线盒 ---- 薯条灯</t>
        </is>
      </c>
      <c r="K597" s="70" t="n">
        <v>1</v>
      </c>
      <c r="L597" s="70" t="n">
        <v>1</v>
      </c>
      <c r="M597" s="71" t="inlineStr">
        <is>
          <t>个</t>
        </is>
      </c>
      <c r="N597" s="72" t="n">
        <v>535.04</v>
      </c>
      <c r="O597" s="72">
        <f>ROUND(N597*(1+$F$10),2)</f>
        <v/>
      </c>
      <c r="P597" s="73">
        <f>ROUND(K597*N597,2)</f>
        <v/>
      </c>
      <c r="Q597" s="74">
        <f>ROUND(L597*N597,2)</f>
        <v/>
      </c>
      <c r="R597" s="75" t="n"/>
      <c r="S597" s="76" t="n"/>
      <c r="T597" s="77">
        <f>K597-L597</f>
        <v/>
      </c>
      <c r="U597" s="77">
        <f>P597-Q597</f>
        <v/>
      </c>
      <c r="V597" s="77">
        <f>ABS(U597)</f>
        <v/>
      </c>
      <c r="W597" s="78">
        <f>T597/L597</f>
        <v/>
      </c>
      <c r="X597" s="79">
        <f>ABS(W597)</f>
        <v/>
      </c>
      <c r="AH597" s="80" t="inlineStr">
        <is>
          <t>弱电管线\电气系统图</t>
        </is>
      </c>
    </row>
    <row r="598" ht="11.4" customHeight="1">
      <c r="A598" s="67" t="inlineStr">
        <is>
          <t>68</t>
        </is>
      </c>
      <c r="B598" s="67" t="inlineStr">
        <is>
          <t>1066</t>
        </is>
      </c>
      <c r="C598" s="67" t="inlineStr">
        <is>
          <t>1612</t>
        </is>
      </c>
      <c r="D598" s="68" t="inlineStr">
        <is>
          <t>01</t>
        </is>
      </c>
      <c r="E598" s="68" t="inlineStr">
        <is>
          <t>6 物业施工费</t>
        </is>
      </c>
      <c r="F598" s="68" t="inlineStr">
        <is>
          <t>6.1 总承包工程</t>
        </is>
      </c>
      <c r="G598" s="68" t="inlineStr">
        <is>
          <t>6.1.2 电气工程</t>
        </is>
      </c>
      <c r="H598" s="68" t="inlineStr">
        <is>
          <t>厨房动力 (包含所有毛坯及辅材）</t>
        </is>
      </c>
      <c r="I598" s="69" t="inlineStr">
        <is>
          <t>1000021872</t>
        </is>
      </c>
      <c r="J598" s="69" t="inlineStr">
        <is>
          <t>吊辫电源</t>
        </is>
      </c>
      <c r="K598" s="70" t="n">
        <v>3</v>
      </c>
      <c r="L598" s="70" t="n">
        <v>3</v>
      </c>
      <c r="M598" s="71" t="inlineStr">
        <is>
          <t>个</t>
        </is>
      </c>
      <c r="N598" s="72" t="n">
        <v>752.5</v>
      </c>
      <c r="O598" s="72">
        <f>ROUND(N598*(1+$F$10),2)</f>
        <v/>
      </c>
      <c r="P598" s="73">
        <f>ROUND(K598*N598,2)</f>
        <v/>
      </c>
      <c r="Q598" s="74">
        <f>ROUND(L598*N598,2)</f>
        <v/>
      </c>
      <c r="R598" s="75" t="n"/>
      <c r="S598" s="76" t="n"/>
      <c r="T598" s="77">
        <f>K598-L598</f>
        <v/>
      </c>
      <c r="U598" s="77">
        <f>P598-Q598</f>
        <v/>
      </c>
      <c r="V598" s="77">
        <f>ABS(U598)</f>
        <v/>
      </c>
      <c r="W598" s="78">
        <f>T598/L598</f>
        <v/>
      </c>
      <c r="X598" s="79">
        <f>ABS(W598)</f>
        <v/>
      </c>
      <c r="AH598" s="80" t="inlineStr">
        <is>
          <t>弱电管线\电气系统图</t>
        </is>
      </c>
    </row>
    <row r="599" ht="11.4" customHeight="1">
      <c r="A599" s="67" t="inlineStr">
        <is>
          <t>68</t>
        </is>
      </c>
      <c r="B599" s="67" t="inlineStr">
        <is>
          <t>1066</t>
        </is>
      </c>
      <c r="C599" s="67" t="inlineStr">
        <is>
          <t>1612</t>
        </is>
      </c>
      <c r="D599" s="68" t="inlineStr">
        <is>
          <t>01</t>
        </is>
      </c>
      <c r="E599" s="68" t="inlineStr">
        <is>
          <t>6 物业施工费</t>
        </is>
      </c>
      <c r="F599" s="68" t="inlineStr">
        <is>
          <t>6.1 总承包工程</t>
        </is>
      </c>
      <c r="G599" s="68" t="inlineStr">
        <is>
          <t>6.1.2 电气工程</t>
        </is>
      </c>
      <c r="H599" s="68" t="inlineStr">
        <is>
          <t>厨房动力 (包含所有毛坯及辅材）</t>
        </is>
      </c>
      <c r="I599" s="69" t="inlineStr">
        <is>
          <t>1000021873</t>
        </is>
      </c>
      <c r="J599" s="69" t="inlineStr">
        <is>
          <t>100A三相电源 ---- 中央岛</t>
        </is>
      </c>
      <c r="K599" s="70" t="n">
        <v>1</v>
      </c>
      <c r="L599" s="70" t="n">
        <v>1</v>
      </c>
      <c r="M599" s="71" t="inlineStr">
        <is>
          <t>个</t>
        </is>
      </c>
      <c r="N599" s="72" t="n">
        <v>2692.88</v>
      </c>
      <c r="O599" s="72">
        <f>ROUND(N599*(1+$F$10),2)</f>
        <v/>
      </c>
      <c r="P599" s="73">
        <f>ROUND(K599*N599,2)</f>
        <v/>
      </c>
      <c r="Q599" s="74">
        <f>ROUND(L599*N599,2)</f>
        <v/>
      </c>
      <c r="R599" s="75" t="n"/>
      <c r="S599" s="76" t="n"/>
      <c r="T599" s="77">
        <f>K599-L599</f>
        <v/>
      </c>
      <c r="U599" s="77">
        <f>P599-Q599</f>
        <v/>
      </c>
      <c r="V599" s="77">
        <f>ABS(U599)</f>
        <v/>
      </c>
      <c r="W599" s="78">
        <f>T599/L599</f>
        <v/>
      </c>
      <c r="X599" s="79">
        <f>ABS(W599)</f>
        <v/>
      </c>
      <c r="AH599" s="80" t="inlineStr">
        <is>
          <t>弱电管线\电气系统图</t>
        </is>
      </c>
    </row>
    <row r="600" ht="11.4" customHeight="1">
      <c r="A600" s="67" t="inlineStr">
        <is>
          <t>68</t>
        </is>
      </c>
      <c r="B600" s="67" t="inlineStr">
        <is>
          <t>1066</t>
        </is>
      </c>
      <c r="C600" s="67" t="inlineStr">
        <is>
          <t>1612</t>
        </is>
      </c>
      <c r="D600" s="68" t="inlineStr">
        <is>
          <t>01</t>
        </is>
      </c>
      <c r="E600" s="68" t="inlineStr">
        <is>
          <t>6 物业施工费</t>
        </is>
      </c>
      <c r="F600" s="68" t="inlineStr">
        <is>
          <t>6.1 总承包工程</t>
        </is>
      </c>
      <c r="G600" s="68" t="inlineStr">
        <is>
          <t>6.1.2 电气工程</t>
        </is>
      </c>
      <c r="H600" s="68" t="inlineStr">
        <is>
          <t>厨房动力 (包含所有毛坯及辅材）</t>
        </is>
      </c>
      <c r="I600" s="69" t="inlineStr">
        <is>
          <t>1000021874</t>
        </is>
      </c>
      <c r="J600" s="69" t="inlineStr">
        <is>
          <t>30A三相电源 ---- 煎炉/炸炉</t>
        </is>
      </c>
      <c r="K600" s="70" t="n">
        <v>5</v>
      </c>
      <c r="L600" s="70" t="n">
        <v>5</v>
      </c>
      <c r="M600" s="71" t="inlineStr">
        <is>
          <t>个</t>
        </is>
      </c>
      <c r="N600" s="72" t="n">
        <v>1626.1</v>
      </c>
      <c r="O600" s="72">
        <f>ROUND(N600*(1+$F$10),2)</f>
        <v/>
      </c>
      <c r="P600" s="73">
        <f>ROUND(K600*N600,2)</f>
        <v/>
      </c>
      <c r="Q600" s="74">
        <f>ROUND(L600*N600,2)</f>
        <v/>
      </c>
      <c r="R600" s="75" t="n"/>
      <c r="S600" s="76" t="n"/>
      <c r="T600" s="77">
        <f>K600-L600</f>
        <v/>
      </c>
      <c r="U600" s="77">
        <f>P600-Q600</f>
        <v/>
      </c>
      <c r="V600" s="77">
        <f>ABS(U600)</f>
        <v/>
      </c>
      <c r="W600" s="78">
        <f>T600/L600</f>
        <v/>
      </c>
      <c r="X600" s="79">
        <f>ABS(W600)</f>
        <v/>
      </c>
      <c r="AH600" s="80" t="inlineStr">
        <is>
          <t>弱电管线\电气系统图</t>
        </is>
      </c>
    </row>
    <row r="601" ht="11.4" customHeight="1">
      <c r="A601" s="67" t="inlineStr">
        <is>
          <t>68</t>
        </is>
      </c>
      <c r="B601" s="67" t="inlineStr">
        <is>
          <t>1066</t>
        </is>
      </c>
      <c r="C601" s="67" t="inlineStr">
        <is>
          <t>1612</t>
        </is>
      </c>
      <c r="D601" s="68" t="inlineStr">
        <is>
          <t>01</t>
        </is>
      </c>
      <c r="E601" s="68" t="inlineStr">
        <is>
          <t>6 物业施工费</t>
        </is>
      </c>
      <c r="F601" s="68" t="inlineStr">
        <is>
          <t>6.1 总承包工程</t>
        </is>
      </c>
      <c r="G601" s="68" t="inlineStr">
        <is>
          <t>6.1.2 电气工程</t>
        </is>
      </c>
      <c r="H601" s="68" t="inlineStr">
        <is>
          <t>厨房动力 (包含所有毛坯及辅材）</t>
        </is>
      </c>
      <c r="I601" s="69" t="inlineStr">
        <is>
          <t>1000021875</t>
        </is>
      </c>
      <c r="J601" s="69" t="inlineStr">
        <is>
          <t>30A三相电源 ---- 薯条炉</t>
        </is>
      </c>
      <c r="K601" s="70" t="n">
        <v>2</v>
      </c>
      <c r="L601" s="70" t="n">
        <v>2</v>
      </c>
      <c r="M601" s="71" t="inlineStr">
        <is>
          <t>个</t>
        </is>
      </c>
      <c r="N601" s="72" t="n">
        <v>1626.1</v>
      </c>
      <c r="O601" s="72">
        <f>ROUND(N601*(1+$F$10),2)</f>
        <v/>
      </c>
      <c r="P601" s="73">
        <f>ROUND(K601*N601,2)</f>
        <v/>
      </c>
      <c r="Q601" s="74">
        <f>ROUND(L601*N601,2)</f>
        <v/>
      </c>
      <c r="R601" s="75" t="n"/>
      <c r="S601" s="76" t="n"/>
      <c r="T601" s="77">
        <f>K601-L601</f>
        <v/>
      </c>
      <c r="U601" s="77">
        <f>P601-Q601</f>
        <v/>
      </c>
      <c r="V601" s="77">
        <f>ABS(U601)</f>
        <v/>
      </c>
      <c r="W601" s="78">
        <f>T601/L601</f>
        <v/>
      </c>
      <c r="X601" s="79">
        <f>ABS(W601)</f>
        <v/>
      </c>
      <c r="AH601" s="80" t="inlineStr">
        <is>
          <t>弱电管线\电气系统图</t>
        </is>
      </c>
    </row>
    <row r="602" ht="11.4" customHeight="1">
      <c r="A602" s="67" t="inlineStr">
        <is>
          <t>68</t>
        </is>
      </c>
      <c r="B602" s="67" t="inlineStr">
        <is>
          <t>1066</t>
        </is>
      </c>
      <c r="C602" s="67" t="inlineStr">
        <is>
          <t>1612</t>
        </is>
      </c>
      <c r="D602" s="68" t="inlineStr">
        <is>
          <t>01</t>
        </is>
      </c>
      <c r="E602" s="68" t="inlineStr">
        <is>
          <t>6 物业施工费</t>
        </is>
      </c>
      <c r="F602" s="68" t="inlineStr">
        <is>
          <t>6.1 总承包工程</t>
        </is>
      </c>
      <c r="G602" s="68" t="inlineStr">
        <is>
          <t>6.1.2 电气工程</t>
        </is>
      </c>
      <c r="H602" s="68" t="inlineStr">
        <is>
          <t>厨房动力 (包含所有毛坯及辅材）</t>
        </is>
      </c>
      <c r="I602" s="69" t="inlineStr">
        <is>
          <t>1000021876</t>
        </is>
      </c>
      <c r="J602" s="69" t="inlineStr">
        <is>
          <t>40A三相电源 ---- 冷藏库/冷冻库</t>
        </is>
      </c>
      <c r="K602" s="70" t="n">
        <v>1</v>
      </c>
      <c r="L602" s="70" t="n">
        <v>1</v>
      </c>
      <c r="M602" s="71" t="inlineStr">
        <is>
          <t>个</t>
        </is>
      </c>
      <c r="N602" s="72" t="n">
        <v>1632.71</v>
      </c>
      <c r="O602" s="72">
        <f>ROUND(N602*(1+$F$10),2)</f>
        <v/>
      </c>
      <c r="P602" s="73">
        <f>ROUND(K602*N602,2)</f>
        <v/>
      </c>
      <c r="Q602" s="74">
        <f>ROUND(L602*N602,2)</f>
        <v/>
      </c>
      <c r="R602" s="75" t="n"/>
      <c r="S602" s="76" t="n"/>
      <c r="T602" s="77">
        <f>K602-L602</f>
        <v/>
      </c>
      <c r="U602" s="77">
        <f>P602-Q602</f>
        <v/>
      </c>
      <c r="V602" s="77">
        <f>ABS(U602)</f>
        <v/>
      </c>
      <c r="W602" s="78">
        <f>T602/L602</f>
        <v/>
      </c>
      <c r="X602" s="79">
        <f>ABS(W602)</f>
        <v/>
      </c>
      <c r="AH602" s="80" t="inlineStr">
        <is>
          <t>弱电管线\电气系统图</t>
        </is>
      </c>
    </row>
    <row r="603" ht="11.4" customHeight="1">
      <c r="A603" s="67" t="inlineStr">
        <is>
          <t>68</t>
        </is>
      </c>
      <c r="B603" s="67" t="inlineStr">
        <is>
          <t>1066</t>
        </is>
      </c>
      <c r="C603" s="67" t="inlineStr">
        <is>
          <t>1612</t>
        </is>
      </c>
      <c r="D603" s="68" t="inlineStr">
        <is>
          <t>01</t>
        </is>
      </c>
      <c r="E603" s="68" t="inlineStr">
        <is>
          <t>6 物业施工费</t>
        </is>
      </c>
      <c r="F603" s="68" t="inlineStr">
        <is>
          <t>6.1 总承包工程</t>
        </is>
      </c>
      <c r="G603" s="68" t="inlineStr">
        <is>
          <t>6.1.2 电气工程</t>
        </is>
      </c>
      <c r="H603" s="68" t="inlineStr">
        <is>
          <t>厨房动力 (包含所有毛坯及辅材）</t>
        </is>
      </c>
      <c r="I603" s="69" t="inlineStr">
        <is>
          <t>1000021877</t>
        </is>
      </c>
      <c r="J603" s="69" t="inlineStr">
        <is>
          <t>40A三相电源 ---- 调理台（前端）</t>
        </is>
      </c>
      <c r="K603" s="70" t="n">
        <v>1</v>
      </c>
      <c r="L603" s="70" t="n">
        <v>1</v>
      </c>
      <c r="M603" s="71" t="inlineStr">
        <is>
          <t>个</t>
        </is>
      </c>
      <c r="N603" s="72" t="n">
        <v>2782.08</v>
      </c>
      <c r="O603" s="72">
        <f>ROUND(N603*(1+$F$10),2)</f>
        <v/>
      </c>
      <c r="P603" s="73">
        <f>ROUND(K603*N603,2)</f>
        <v/>
      </c>
      <c r="Q603" s="74">
        <f>ROUND(L603*N603,2)</f>
        <v/>
      </c>
      <c r="R603" s="75" t="n"/>
      <c r="S603" s="76" t="n"/>
      <c r="T603" s="77">
        <f>K603-L603</f>
        <v/>
      </c>
      <c r="U603" s="77">
        <f>P603-Q603</f>
        <v/>
      </c>
      <c r="V603" s="77">
        <f>ABS(U603)</f>
        <v/>
      </c>
      <c r="W603" s="78">
        <f>T603/L603</f>
        <v/>
      </c>
      <c r="X603" s="79">
        <f>ABS(W603)</f>
        <v/>
      </c>
      <c r="AH603" s="80" t="inlineStr">
        <is>
          <t>弱电管线\电气系统图</t>
        </is>
      </c>
    </row>
    <row r="604" ht="11.4" customHeight="1">
      <c r="A604" s="67" t="inlineStr">
        <is>
          <t>68</t>
        </is>
      </c>
      <c r="B604" s="67" t="inlineStr">
        <is>
          <t>1066</t>
        </is>
      </c>
      <c r="C604" s="67" t="inlineStr">
        <is>
          <t>1612</t>
        </is>
      </c>
      <c r="D604" s="68" t="inlineStr">
        <is>
          <t>01</t>
        </is>
      </c>
      <c r="E604" s="68" t="inlineStr">
        <is>
          <t>6 物业施工费</t>
        </is>
      </c>
      <c r="F604" s="68" t="inlineStr">
        <is>
          <t>6.1 总承包工程</t>
        </is>
      </c>
      <c r="G604" s="68" t="inlineStr">
        <is>
          <t>6.1.2 电气工程</t>
        </is>
      </c>
      <c r="H604" s="68" t="inlineStr">
        <is>
          <t>厨房动力 (包含所有毛坯及辅材）</t>
        </is>
      </c>
      <c r="I604" s="69" t="inlineStr">
        <is>
          <t>1000021878</t>
        </is>
      </c>
      <c r="J604" s="69" t="inlineStr">
        <is>
          <t>冷冻与冷藏库室外机电源</t>
        </is>
      </c>
      <c r="K604" s="70" t="n"/>
      <c r="L604" s="70" t="n"/>
      <c r="M604" s="71" t="inlineStr">
        <is>
          <t>米</t>
        </is>
      </c>
      <c r="N604" s="72" t="n">
        <v>34.6</v>
      </c>
      <c r="O604" s="72">
        <f>ROUND(N604*(1+$F$10),2)</f>
        <v/>
      </c>
      <c r="P604" s="73">
        <f>ROUND(K604*N604,2)</f>
        <v/>
      </c>
      <c r="Q604" s="74">
        <f>ROUND(L604*N604,2)</f>
        <v/>
      </c>
      <c r="R604" s="75" t="n"/>
      <c r="S604" s="76" t="n"/>
      <c r="T604" s="77">
        <f>K604-L604</f>
        <v/>
      </c>
      <c r="U604" s="77">
        <f>P604-Q604</f>
        <v/>
      </c>
      <c r="V604" s="77">
        <f>ABS(U604)</f>
        <v/>
      </c>
      <c r="W604" s="78">
        <f>T604/L604</f>
        <v/>
      </c>
      <c r="X604" s="79">
        <f>ABS(W604)</f>
        <v/>
      </c>
      <c r="AG604" s="6" t="inlineStr">
        <is>
          <t>总长度（插件计算）线管</t>
        </is>
      </c>
    </row>
    <row r="605" ht="11.4" customHeight="1">
      <c r="A605" s="67" t="inlineStr">
        <is>
          <t>68</t>
        </is>
      </c>
      <c r="B605" s="67" t="inlineStr">
        <is>
          <t>1066</t>
        </is>
      </c>
      <c r="C605" s="67" t="inlineStr">
        <is>
          <t>1612</t>
        </is>
      </c>
      <c r="D605" s="68" t="inlineStr">
        <is>
          <t>01</t>
        </is>
      </c>
      <c r="E605" s="68" t="inlineStr">
        <is>
          <t>6 物业施工费</t>
        </is>
      </c>
      <c r="F605" s="68" t="inlineStr">
        <is>
          <t>6.1 总承包工程</t>
        </is>
      </c>
      <c r="G605" s="68" t="inlineStr">
        <is>
          <t>6.1.2 电气工程</t>
        </is>
      </c>
      <c r="H605" s="68" t="inlineStr">
        <is>
          <t>厨房动力 (包含所有毛坯及辅材）</t>
        </is>
      </c>
      <c r="I605" s="69" t="inlineStr">
        <is>
          <t>1000021879</t>
        </is>
      </c>
      <c r="J605" s="69" t="inlineStr">
        <is>
          <t>制冰机与汽水机室外机电源</t>
        </is>
      </c>
      <c r="K605" s="70" t="n"/>
      <c r="L605" s="70" t="n"/>
      <c r="M605" s="71" t="inlineStr">
        <is>
          <t>米</t>
        </is>
      </c>
      <c r="N605" s="72" t="n">
        <v>34.6</v>
      </c>
      <c r="O605" s="72">
        <f>ROUND(N605*(1+$F$10),2)</f>
        <v/>
      </c>
      <c r="P605" s="73">
        <f>ROUND(K605*N605,2)</f>
        <v/>
      </c>
      <c r="Q605" s="74">
        <f>ROUND(L605*N605,2)</f>
        <v/>
      </c>
      <c r="R605" s="75" t="n"/>
      <c r="S605" s="76" t="n"/>
      <c r="T605" s="77">
        <f>K605-L605</f>
        <v/>
      </c>
      <c r="U605" s="77">
        <f>P605-Q605</f>
        <v/>
      </c>
      <c r="V605" s="77">
        <f>ABS(U605)</f>
        <v/>
      </c>
      <c r="W605" s="78">
        <f>T605/L605</f>
        <v/>
      </c>
      <c r="X605" s="79">
        <f>ABS(W605)</f>
        <v/>
      </c>
      <c r="AG605" s="80" t="inlineStr">
        <is>
          <t>取消</t>
        </is>
      </c>
    </row>
    <row r="606" ht="11.4" customHeight="1">
      <c r="A606" s="67" t="inlineStr">
        <is>
          <t>68</t>
        </is>
      </c>
      <c r="B606" s="67" t="inlineStr">
        <is>
          <t>1066</t>
        </is>
      </c>
      <c r="C606" s="67" t="inlineStr">
        <is>
          <t>1612</t>
        </is>
      </c>
      <c r="D606" s="68" t="inlineStr">
        <is>
          <t>01</t>
        </is>
      </c>
      <c r="E606" s="68" t="inlineStr">
        <is>
          <t>6 物业施工费</t>
        </is>
      </c>
      <c r="F606" s="68" t="inlineStr">
        <is>
          <t>6.1 总承包工程</t>
        </is>
      </c>
      <c r="G606" s="68" t="inlineStr">
        <is>
          <t>6.1.2 电气工程</t>
        </is>
      </c>
      <c r="H606" s="68" t="inlineStr">
        <is>
          <t>厨房动力 (包含所有毛坯及辅材）</t>
        </is>
      </c>
      <c r="I606" s="69" t="inlineStr">
        <is>
          <t>1000021880</t>
        </is>
      </c>
      <c r="J606" s="69" t="inlineStr">
        <is>
          <t>传送带电源</t>
        </is>
      </c>
      <c r="K606" s="70" t="n"/>
      <c r="L606" s="70" t="n"/>
      <c r="M606" s="71" t="inlineStr">
        <is>
          <t>个</t>
        </is>
      </c>
      <c r="N606" s="72" t="n">
        <v>711.58</v>
      </c>
      <c r="O606" s="72">
        <f>ROUND(N606*(1+$F$10),2)</f>
        <v/>
      </c>
      <c r="P606" s="73">
        <f>ROUND(K606*N606,2)</f>
        <v/>
      </c>
      <c r="Q606" s="74">
        <f>ROUND(L606*N606,2)</f>
        <v/>
      </c>
      <c r="R606" s="75" t="n"/>
      <c r="S606" s="76" t="n"/>
      <c r="T606" s="77">
        <f>K606-L606</f>
        <v/>
      </c>
      <c r="U606" s="77">
        <f>P606-Q606</f>
        <v/>
      </c>
      <c r="V606" s="77">
        <f>ABS(U606)</f>
        <v/>
      </c>
      <c r="W606" s="78">
        <f>T606/L606</f>
        <v/>
      </c>
      <c r="X606" s="79">
        <f>ABS(W606)</f>
        <v/>
      </c>
      <c r="AH606" s="80" t="inlineStr">
        <is>
          <t>待定</t>
        </is>
      </c>
    </row>
    <row r="607" ht="11.4" customHeight="1">
      <c r="A607" s="67" t="inlineStr">
        <is>
          <t>68</t>
        </is>
      </c>
      <c r="B607" s="67" t="inlineStr">
        <is>
          <t>1066</t>
        </is>
      </c>
      <c r="C607" s="67" t="inlineStr">
        <is>
          <t>1612</t>
        </is>
      </c>
      <c r="D607" s="68" t="inlineStr">
        <is>
          <t>01</t>
        </is>
      </c>
      <c r="E607" s="68" t="inlineStr">
        <is>
          <t>6 物业施工费</t>
        </is>
      </c>
      <c r="F607" s="68" t="inlineStr">
        <is>
          <t>6.1 总承包工程</t>
        </is>
      </c>
      <c r="G607" s="68" t="inlineStr">
        <is>
          <t>6.1.2 电气工程</t>
        </is>
      </c>
      <c r="H607" s="68" t="inlineStr">
        <is>
          <t>厨房动力 (包含所有毛坯及辅材）</t>
        </is>
      </c>
      <c r="I607" s="69" t="inlineStr">
        <is>
          <t>1000021881</t>
        </is>
      </c>
      <c r="J607" s="69" t="inlineStr">
        <is>
          <t>厨房大菜牌电源</t>
        </is>
      </c>
      <c r="K607" s="70" t="n">
        <v>1</v>
      </c>
      <c r="L607" s="70" t="n">
        <v>1</v>
      </c>
      <c r="M607" s="71" t="inlineStr">
        <is>
          <t>个</t>
        </is>
      </c>
      <c r="N607" s="72" t="n">
        <v>560.34</v>
      </c>
      <c r="O607" s="72">
        <f>ROUND(N607*(1+$F$10),2)</f>
        <v/>
      </c>
      <c r="P607" s="73">
        <f>ROUND(K607*N607,2)</f>
        <v/>
      </c>
      <c r="Q607" s="74">
        <f>ROUND(L607*N607,2)</f>
        <v/>
      </c>
      <c r="R607" s="75" t="n"/>
      <c r="S607" s="76" t="n"/>
      <c r="T607" s="77">
        <f>K607-L607</f>
        <v/>
      </c>
      <c r="U607" s="77">
        <f>P607-Q607</f>
        <v/>
      </c>
      <c r="V607" s="77">
        <f>ABS(U607)</f>
        <v/>
      </c>
      <c r="W607" s="78">
        <f>T607/L607</f>
        <v/>
      </c>
      <c r="X607" s="79">
        <f>ABS(W607)</f>
        <v/>
      </c>
      <c r="AH607" s="80" t="inlineStr">
        <is>
          <t>弱电管线\电气系统图</t>
        </is>
      </c>
    </row>
    <row r="608" ht="11.4" customHeight="1">
      <c r="A608" s="67" t="inlineStr">
        <is>
          <t>68</t>
        </is>
      </c>
      <c r="B608" s="67" t="inlineStr">
        <is>
          <t>1066</t>
        </is>
      </c>
      <c r="C608" s="67" t="inlineStr">
        <is>
          <t>1612</t>
        </is>
      </c>
      <c r="D608" s="68" t="inlineStr">
        <is>
          <t>01</t>
        </is>
      </c>
      <c r="E608" s="68" t="inlineStr">
        <is>
          <t>6 物业施工费</t>
        </is>
      </c>
      <c r="F608" s="68" t="inlineStr">
        <is>
          <t>6.1 总承包工程</t>
        </is>
      </c>
      <c r="G608" s="68" t="inlineStr">
        <is>
          <t>6.1.2 电气工程</t>
        </is>
      </c>
      <c r="H608" s="68" t="inlineStr">
        <is>
          <t>厨房动力 (包含所有毛坯及辅材）</t>
        </is>
      </c>
      <c r="I608" s="69" t="inlineStr">
        <is>
          <t>1000045088</t>
        </is>
      </c>
      <c r="J608" s="69" t="inlineStr">
        <is>
          <t>洗碗机电源（含元配件等）</t>
        </is>
      </c>
      <c r="K608" s="70" t="n">
        <v>1</v>
      </c>
      <c r="L608" s="70" t="n">
        <v>1</v>
      </c>
      <c r="M608" s="71" t="inlineStr">
        <is>
          <t>套</t>
        </is>
      </c>
      <c r="N608" s="72" t="n">
        <v>1550.45</v>
      </c>
      <c r="O608" s="72">
        <f>ROUND(N608*(1+$F$10),2)</f>
        <v/>
      </c>
      <c r="P608" s="73">
        <f>ROUND(K608*N608,2)</f>
        <v/>
      </c>
      <c r="Q608" s="74">
        <f>ROUND(L608*N608,2)</f>
        <v/>
      </c>
      <c r="R608" s="75" t="n"/>
      <c r="S608" s="76" t="n"/>
      <c r="T608" s="77">
        <f>K608-L608</f>
        <v/>
      </c>
      <c r="U608" s="77">
        <f>P608-Q608</f>
        <v/>
      </c>
      <c r="V608" s="77">
        <f>ABS(U608)</f>
        <v/>
      </c>
      <c r="W608" s="78">
        <f>T608/L608</f>
        <v/>
      </c>
      <c r="X608" s="79">
        <f>ABS(W608)</f>
        <v/>
      </c>
      <c r="AH608" s="80" t="inlineStr">
        <is>
          <t>强电管线\电气系统图</t>
        </is>
      </c>
    </row>
    <row r="609" ht="11.4" customHeight="1">
      <c r="A609" s="67" t="inlineStr">
        <is>
          <t>68</t>
        </is>
      </c>
      <c r="B609" s="67" t="inlineStr">
        <is>
          <t>1066</t>
        </is>
      </c>
      <c r="C609" s="67" t="inlineStr">
        <is>
          <t>1612</t>
        </is>
      </c>
      <c r="D609" s="68" t="inlineStr">
        <is>
          <t>01</t>
        </is>
      </c>
      <c r="E609" s="68" t="inlineStr">
        <is>
          <t>6 物业施工费</t>
        </is>
      </c>
      <c r="F609" s="68" t="inlineStr">
        <is>
          <t>6.1 总承包工程</t>
        </is>
      </c>
      <c r="G609" s="68" t="inlineStr">
        <is>
          <t>6.1.2 电气工程</t>
        </is>
      </c>
      <c r="H609" s="68" t="inlineStr">
        <is>
          <t>厨房动力 (包含所有毛坯及辅材）</t>
        </is>
      </c>
      <c r="I609" s="69" t="inlineStr">
        <is>
          <t>1000051718</t>
        </is>
      </c>
      <c r="J609" s="69" t="inlineStr">
        <is>
          <t>咖啡机电源（含元配件等）</t>
        </is>
      </c>
      <c r="K609" s="70" t="n"/>
      <c r="L609" s="70" t="n"/>
      <c r="M609" s="71" t="inlineStr">
        <is>
          <t>套</t>
        </is>
      </c>
      <c r="N609" s="72" t="n">
        <v>1330.45</v>
      </c>
      <c r="O609" s="72">
        <f>ROUND(N609*(1+$F$10),2)</f>
        <v/>
      </c>
      <c r="P609" s="73">
        <f>ROUND(K609*N609,2)</f>
        <v/>
      </c>
      <c r="Q609" s="74">
        <f>ROUND(L609*N609,2)</f>
        <v/>
      </c>
      <c r="R609" s="75" t="n"/>
      <c r="S609" s="76" t="n"/>
      <c r="T609" s="77">
        <f>K609-L609</f>
        <v/>
      </c>
      <c r="U609" s="77">
        <f>P609-Q609</f>
        <v/>
      </c>
      <c r="V609" s="77">
        <f>ABS(U609)</f>
        <v/>
      </c>
      <c r="W609" s="78">
        <f>T609/L609</f>
        <v/>
      </c>
      <c r="X609" s="79">
        <f>ABS(W609)</f>
        <v/>
      </c>
      <c r="AH609" s="80" t="inlineStr">
        <is>
          <t>强电管线\电气系统图</t>
        </is>
      </c>
    </row>
    <row r="610" ht="11.4" customHeight="1">
      <c r="A610" s="67" t="inlineStr">
        <is>
          <t>68</t>
        </is>
      </c>
      <c r="B610" s="67" t="inlineStr">
        <is>
          <t>1066</t>
        </is>
      </c>
      <c r="C610" s="67" t="inlineStr">
        <is>
          <t>1612</t>
        </is>
      </c>
      <c r="D610" s="68" t="inlineStr">
        <is>
          <t>01</t>
        </is>
      </c>
      <c r="E610" s="68" t="inlineStr">
        <is>
          <t>6 物业施工费</t>
        </is>
      </c>
      <c r="F610" s="68" t="inlineStr">
        <is>
          <t>6.1 总承包工程</t>
        </is>
      </c>
      <c r="G610" s="68" t="inlineStr">
        <is>
          <t>6.1.2 电气工程</t>
        </is>
      </c>
      <c r="H610" s="68" t="inlineStr">
        <is>
          <t>厨房动力 (包含所有毛坯及辅材）</t>
        </is>
      </c>
      <c r="I610" s="69" t="inlineStr">
        <is>
          <t>1000085720</t>
        </is>
      </c>
      <c r="J610" s="69" t="inlineStr">
        <is>
          <t>万能烤箱电源</t>
        </is>
      </c>
      <c r="K610" s="70" t="n">
        <v>1</v>
      </c>
      <c r="L610" s="70" t="n">
        <v>1</v>
      </c>
      <c r="M610" s="71" t="inlineStr">
        <is>
          <t>组</t>
        </is>
      </c>
      <c r="N610" s="72" t="n">
        <v>1736.1</v>
      </c>
      <c r="O610" s="72">
        <f>ROUND(N610*(1+$F$10),2)</f>
        <v/>
      </c>
      <c r="P610" s="73">
        <f>ROUND(K610*N610,2)</f>
        <v/>
      </c>
      <c r="Q610" s="74">
        <f>ROUND(L610*N610,2)</f>
        <v/>
      </c>
      <c r="R610" s="75" t="n"/>
      <c r="S610" s="76" t="n"/>
      <c r="T610" s="77">
        <f>K610-L610</f>
        <v/>
      </c>
      <c r="U610" s="77">
        <f>P610-Q610</f>
        <v/>
      </c>
      <c r="V610" s="77">
        <f>ABS(U610)</f>
        <v/>
      </c>
      <c r="W610" s="78">
        <f>T610/L610</f>
        <v/>
      </c>
      <c r="X610" s="79">
        <f>ABS(W610)</f>
        <v/>
      </c>
      <c r="AH610" s="80" t="inlineStr">
        <is>
          <t>强电管线\电气系统图</t>
        </is>
      </c>
    </row>
    <row r="611" ht="11.4" customHeight="1">
      <c r="A611" s="67" t="inlineStr">
        <is>
          <t>68</t>
        </is>
      </c>
      <c r="B611" s="67" t="inlineStr">
        <is>
          <t>1066</t>
        </is>
      </c>
      <c r="C611" s="67" t="inlineStr">
        <is>
          <t>1612</t>
        </is>
      </c>
      <c r="D611" s="68" t="inlineStr">
        <is>
          <t>01</t>
        </is>
      </c>
      <c r="E611" s="68" t="inlineStr">
        <is>
          <t>6 物业施工费</t>
        </is>
      </c>
      <c r="F611" s="68" t="inlineStr">
        <is>
          <t>6.1 总承包工程</t>
        </is>
      </c>
      <c r="G611" s="68" t="inlineStr">
        <is>
          <t>6.1.2 电气工程</t>
        </is>
      </c>
      <c r="H611" s="68" t="inlineStr">
        <is>
          <t>厨房弱电管线</t>
        </is>
      </c>
      <c r="I611" s="69" t="inlineStr">
        <is>
          <t>1000021882</t>
        </is>
      </c>
      <c r="J611" s="69" t="inlineStr">
        <is>
          <t>电话、电脑网络管线</t>
        </is>
      </c>
      <c r="K611" s="70" t="n">
        <v>1</v>
      </c>
      <c r="L611" s="70" t="n">
        <v>1</v>
      </c>
      <c r="M611" s="71" t="inlineStr">
        <is>
          <t>项</t>
        </is>
      </c>
      <c r="N611" s="72" t="n">
        <v>836.3099999999999</v>
      </c>
      <c r="O611" s="72">
        <f>ROUND(N611*(1+$F$10),2)</f>
        <v/>
      </c>
      <c r="P611" s="73">
        <f>ROUND(K611*N611,2)</f>
        <v/>
      </c>
      <c r="Q611" s="74">
        <f>ROUND(L611*N611,2)</f>
        <v/>
      </c>
      <c r="R611" s="75" t="n"/>
      <c r="S611" s="76" t="n"/>
      <c r="T611" s="77">
        <f>K611-L611</f>
        <v/>
      </c>
      <c r="U611" s="77">
        <f>P611-Q611</f>
        <v/>
      </c>
      <c r="V611" s="77">
        <f>ABS(U611)</f>
        <v/>
      </c>
      <c r="W611" s="78">
        <f>T611/L611</f>
        <v/>
      </c>
      <c r="X611" s="79">
        <f>ABS(W611)</f>
        <v/>
      </c>
      <c r="AH611" s="6" t="inlineStr">
        <is>
          <t>弱电管线\电气系统图</t>
        </is>
      </c>
    </row>
    <row r="612" ht="11.4" customHeight="1">
      <c r="A612" s="67" t="inlineStr">
        <is>
          <t>68</t>
        </is>
      </c>
      <c r="B612" s="67" t="inlineStr">
        <is>
          <t>1066</t>
        </is>
      </c>
      <c r="C612" s="67" t="inlineStr">
        <is>
          <t>1612</t>
        </is>
      </c>
      <c r="D612" s="68" t="inlineStr">
        <is>
          <t>01</t>
        </is>
      </c>
      <c r="E612" s="68" t="inlineStr">
        <is>
          <t>6 物业施工费</t>
        </is>
      </c>
      <c r="F612" s="68" t="inlineStr">
        <is>
          <t>6.1 总承包工程</t>
        </is>
      </c>
      <c r="G612" s="68" t="inlineStr">
        <is>
          <t>6.1.2 电气工程</t>
        </is>
      </c>
      <c r="H612" s="68" t="inlineStr">
        <is>
          <t>厨房弱电管线</t>
        </is>
      </c>
      <c r="I612" s="69" t="inlineStr">
        <is>
          <t>1000021883</t>
        </is>
      </c>
      <c r="J612" s="69" t="inlineStr">
        <is>
          <t>CCU弱电管包括KVS系统管线</t>
        </is>
      </c>
      <c r="K612" s="70" t="n">
        <v>1</v>
      </c>
      <c r="L612" s="70" t="n">
        <v>1</v>
      </c>
      <c r="M612" s="71" t="inlineStr">
        <is>
          <t>项</t>
        </is>
      </c>
      <c r="N612" s="72" t="n">
        <v>3391.6</v>
      </c>
      <c r="O612" s="72">
        <f>ROUND(N612*(1+$F$10),2)</f>
        <v/>
      </c>
      <c r="P612" s="73">
        <f>ROUND(K612*N612,2)</f>
        <v/>
      </c>
      <c r="Q612" s="74">
        <f>ROUND(L612*N612,2)</f>
        <v/>
      </c>
      <c r="R612" s="75" t="n"/>
      <c r="S612" s="76" t="n"/>
      <c r="T612" s="77">
        <f>K612-L612</f>
        <v/>
      </c>
      <c r="U612" s="77">
        <f>P612-Q612</f>
        <v/>
      </c>
      <c r="V612" s="77">
        <f>ABS(U612)</f>
        <v/>
      </c>
      <c r="W612" s="78">
        <f>T612/L612</f>
        <v/>
      </c>
      <c r="X612" s="79">
        <f>ABS(W612)</f>
        <v/>
      </c>
      <c r="AH612" s="6" t="inlineStr">
        <is>
          <t>弱电管线\电气系统图</t>
        </is>
      </c>
    </row>
    <row r="613" ht="11.4" customHeight="1">
      <c r="A613" s="67" t="inlineStr">
        <is>
          <t>68</t>
        </is>
      </c>
      <c r="B613" s="67" t="inlineStr">
        <is>
          <t>1066</t>
        </is>
      </c>
      <c r="C613" s="67" t="inlineStr">
        <is>
          <t>1612</t>
        </is>
      </c>
      <c r="D613" s="68" t="inlineStr">
        <is>
          <t>01</t>
        </is>
      </c>
      <c r="E613" s="68" t="inlineStr">
        <is>
          <t>6 物业施工费</t>
        </is>
      </c>
      <c r="F613" s="68" t="inlineStr">
        <is>
          <t>6.1 总承包工程</t>
        </is>
      </c>
      <c r="G613" s="68" t="inlineStr">
        <is>
          <t>6.1.2 电气工程</t>
        </is>
      </c>
      <c r="H613" s="68" t="inlineStr">
        <is>
          <t>厨房弱电管线</t>
        </is>
      </c>
      <c r="I613" s="69" t="inlineStr">
        <is>
          <t>1000021884</t>
        </is>
      </c>
      <c r="J613" s="69" t="inlineStr">
        <is>
          <t>KVS设备安装配合</t>
        </is>
      </c>
      <c r="K613" s="70" t="n">
        <v>1</v>
      </c>
      <c r="L613" s="70" t="n">
        <v>1</v>
      </c>
      <c r="M613" s="71" t="inlineStr">
        <is>
          <t>项</t>
        </is>
      </c>
      <c r="N613" s="72" t="n">
        <v>2028.7</v>
      </c>
      <c r="O613" s="72">
        <f>ROUND(N613*(1+$F$10),2)</f>
        <v/>
      </c>
      <c r="P613" s="73">
        <f>ROUND(K613*N613,2)</f>
        <v/>
      </c>
      <c r="Q613" s="74">
        <f>ROUND(L613*N613,2)</f>
        <v/>
      </c>
      <c r="R613" s="75" t="n"/>
      <c r="S613" s="76" t="n"/>
      <c r="T613" s="77">
        <f>K613-L613</f>
        <v/>
      </c>
      <c r="U613" s="77">
        <f>P613-Q613</f>
        <v/>
      </c>
      <c r="V613" s="77">
        <f>ABS(U613)</f>
        <v/>
      </c>
      <c r="W613" s="78">
        <f>T613/L613</f>
        <v/>
      </c>
      <c r="X613" s="79">
        <f>ABS(W613)</f>
        <v/>
      </c>
      <c r="AH613" s="6" t="inlineStr">
        <is>
          <t>弱电管线\电气系统图</t>
        </is>
      </c>
    </row>
    <row r="614" ht="11.4" customHeight="1">
      <c r="A614" s="67" t="inlineStr">
        <is>
          <t>68</t>
        </is>
      </c>
      <c r="B614" s="67" t="inlineStr">
        <is>
          <t>1066</t>
        </is>
      </c>
      <c r="C614" s="67" t="inlineStr">
        <is>
          <t>1612</t>
        </is>
      </c>
      <c r="D614" s="68" t="inlineStr">
        <is>
          <t>01</t>
        </is>
      </c>
      <c r="E614" s="68" t="inlineStr">
        <is>
          <t>6 物业施工费</t>
        </is>
      </c>
      <c r="F614" s="68" t="inlineStr">
        <is>
          <t>6.1 总承包工程</t>
        </is>
      </c>
      <c r="G614" s="68" t="inlineStr">
        <is>
          <t>6.1.2 电气工程</t>
        </is>
      </c>
      <c r="H614" s="68" t="inlineStr">
        <is>
          <t>厨房弱电管线</t>
        </is>
      </c>
      <c r="I614" s="69" t="inlineStr">
        <is>
          <t>1000021885</t>
        </is>
      </c>
      <c r="J614" s="69" t="inlineStr">
        <is>
          <t>110管线</t>
        </is>
      </c>
      <c r="K614" s="70" t="n">
        <v>1</v>
      </c>
      <c r="L614" s="70" t="n">
        <v>1</v>
      </c>
      <c r="M614" s="71" t="inlineStr">
        <is>
          <t>项</t>
        </is>
      </c>
      <c r="N614" s="72" t="n">
        <v>1781.2</v>
      </c>
      <c r="O614" s="72">
        <f>ROUND(N614*(1+$F$10),2)</f>
        <v/>
      </c>
      <c r="P614" s="73">
        <f>ROUND(K614*N614,2)</f>
        <v/>
      </c>
      <c r="Q614" s="74">
        <f>ROUND(L614*N614,2)</f>
        <v/>
      </c>
      <c r="R614" s="75" t="n"/>
      <c r="S614" s="76" t="n"/>
      <c r="T614" s="77">
        <f>K614-L614</f>
        <v/>
      </c>
      <c r="U614" s="77">
        <f>P614-Q614</f>
        <v/>
      </c>
      <c r="V614" s="77">
        <f>ABS(U614)</f>
        <v/>
      </c>
      <c r="W614" s="78">
        <f>T614/L614</f>
        <v/>
      </c>
      <c r="X614" s="79">
        <f>ABS(W614)</f>
        <v/>
      </c>
      <c r="AH614" s="80" t="inlineStr">
        <is>
          <t>委托书\市场特性</t>
        </is>
      </c>
    </row>
    <row r="615" ht="11.4" customHeight="1">
      <c r="A615" s="67" t="inlineStr">
        <is>
          <t>68</t>
        </is>
      </c>
      <c r="B615" s="67" t="inlineStr">
        <is>
          <t>1066</t>
        </is>
      </c>
      <c r="C615" s="67" t="inlineStr">
        <is>
          <t>1612</t>
        </is>
      </c>
      <c r="D615" s="68" t="inlineStr">
        <is>
          <t>01</t>
        </is>
      </c>
      <c r="E615" s="68" t="inlineStr">
        <is>
          <t>6 物业施工费</t>
        </is>
      </c>
      <c r="F615" s="68" t="inlineStr">
        <is>
          <t>6.1 总承包工程</t>
        </is>
      </c>
      <c r="G615" s="68" t="inlineStr">
        <is>
          <t>6.1.2 电气工程</t>
        </is>
      </c>
      <c r="H615" s="68" t="inlineStr">
        <is>
          <t>厨房弱电管线</t>
        </is>
      </c>
      <c r="I615" s="69" t="inlineStr">
        <is>
          <t>1000021886</t>
        </is>
      </c>
      <c r="J615" s="69" t="inlineStr">
        <is>
          <t>UPS电源</t>
        </is>
      </c>
      <c r="K615" s="70" t="n"/>
      <c r="L615" s="70" t="n"/>
      <c r="M615" s="71" t="inlineStr">
        <is>
          <t>项</t>
        </is>
      </c>
      <c r="N615" s="72" t="n">
        <v>406.45</v>
      </c>
      <c r="O615" s="72">
        <f>ROUND(N615*(1+$F$10),2)</f>
        <v/>
      </c>
      <c r="P615" s="73">
        <f>ROUND(K615*N615,2)</f>
        <v/>
      </c>
      <c r="Q615" s="74">
        <f>ROUND(L615*N615,2)</f>
        <v/>
      </c>
      <c r="R615" s="75" t="n"/>
      <c r="S615" s="76" t="n"/>
      <c r="T615" s="77">
        <f>K615-L615</f>
        <v/>
      </c>
      <c r="U615" s="77">
        <f>P615-Q615</f>
        <v/>
      </c>
      <c r="V615" s="77">
        <f>ABS(U615)</f>
        <v/>
      </c>
      <c r="W615" s="78">
        <f>T615/L615</f>
        <v/>
      </c>
      <c r="X615" s="79">
        <f>ABS(W615)</f>
        <v/>
      </c>
      <c r="AH615" s="6" t="inlineStr">
        <is>
          <t>弱电管线\电气系统图</t>
        </is>
      </c>
    </row>
    <row r="616" ht="11.4" customHeight="1">
      <c r="A616" s="67" t="inlineStr">
        <is>
          <t>68</t>
        </is>
      </c>
      <c r="B616" s="67" t="inlineStr">
        <is>
          <t>1066</t>
        </is>
      </c>
      <c r="C616" s="67" t="inlineStr">
        <is>
          <t>1612</t>
        </is>
      </c>
      <c r="D616" s="68" t="inlineStr">
        <is>
          <t>01</t>
        </is>
      </c>
      <c r="E616" s="68" t="inlineStr">
        <is>
          <t>6 物业施工费</t>
        </is>
      </c>
      <c r="F616" s="68" t="inlineStr">
        <is>
          <t>6.1 总承包工程</t>
        </is>
      </c>
      <c r="G616" s="68" t="inlineStr">
        <is>
          <t>6.1.2 电气工程</t>
        </is>
      </c>
      <c r="H616" s="68" t="inlineStr">
        <is>
          <t>厨房弱电管线</t>
        </is>
      </c>
      <c r="I616" s="69" t="inlineStr">
        <is>
          <t>1000021887</t>
        </is>
      </c>
      <c r="J616" s="69" t="inlineStr">
        <is>
          <t>收银台POS机布线</t>
        </is>
      </c>
      <c r="K616" s="70" t="n">
        <v>1</v>
      </c>
      <c r="L616" s="70" t="n">
        <v>1</v>
      </c>
      <c r="M616" s="71" t="inlineStr">
        <is>
          <t>项</t>
        </is>
      </c>
      <c r="N616" s="72" t="n">
        <v>835.76</v>
      </c>
      <c r="O616" s="72">
        <f>ROUND(N616*(1+$F$10),2)</f>
        <v/>
      </c>
      <c r="P616" s="73">
        <f>ROUND(K616*N616,2)</f>
        <v/>
      </c>
      <c r="Q616" s="74">
        <f>ROUND(L616*N616,2)</f>
        <v/>
      </c>
      <c r="R616" s="75" t="n"/>
      <c r="S616" s="76" t="n"/>
      <c r="T616" s="77">
        <f>K616-L616</f>
        <v/>
      </c>
      <c r="U616" s="77">
        <f>P616-Q616</f>
        <v/>
      </c>
      <c r="V616" s="77">
        <f>ABS(U616)</f>
        <v/>
      </c>
      <c r="W616" s="78">
        <f>T616/L616</f>
        <v/>
      </c>
      <c r="X616" s="79">
        <f>ABS(W616)</f>
        <v/>
      </c>
      <c r="AH616" s="6" t="inlineStr">
        <is>
          <t>弱电管线\电气系统图</t>
        </is>
      </c>
    </row>
    <row r="617" ht="11.4" customHeight="1">
      <c r="A617" s="67" t="inlineStr">
        <is>
          <t>68</t>
        </is>
      </c>
      <c r="B617" s="67" t="inlineStr">
        <is>
          <t>1066</t>
        </is>
      </c>
      <c r="C617" s="67" t="inlineStr">
        <is>
          <t>1612</t>
        </is>
      </c>
      <c r="D617" s="68" t="inlineStr">
        <is>
          <t>01</t>
        </is>
      </c>
      <c r="E617" s="68" t="inlineStr">
        <is>
          <t>6 物业施工费</t>
        </is>
      </c>
      <c r="F617" s="68" t="inlineStr">
        <is>
          <t>6.1 总承包工程</t>
        </is>
      </c>
      <c r="G617" s="68" t="inlineStr">
        <is>
          <t>6.1.2 电气工程</t>
        </is>
      </c>
      <c r="H617" s="68" t="inlineStr">
        <is>
          <t>厨房弱电管线</t>
        </is>
      </c>
      <c r="I617" s="69" t="inlineStr">
        <is>
          <t>1000022171</t>
        </is>
      </c>
      <c r="J617" s="69" t="inlineStr">
        <is>
          <t>CCTV闭路监控系统（含传送带监控）布线</t>
        </is>
      </c>
      <c r="K617" s="70" t="n">
        <v>1</v>
      </c>
      <c r="L617" s="70" t="n">
        <v>1</v>
      </c>
      <c r="M617" s="71" t="inlineStr">
        <is>
          <t>项</t>
        </is>
      </c>
      <c r="N617" s="72" t="n">
        <v>846.76</v>
      </c>
      <c r="O617" s="72">
        <f>ROUND(N617*(1+$F$10),2)</f>
        <v/>
      </c>
      <c r="P617" s="73">
        <f>ROUND(K617*N617,2)</f>
        <v/>
      </c>
      <c r="Q617" s="74">
        <f>ROUND(L617*N617,2)</f>
        <v/>
      </c>
      <c r="R617" s="75" t="n"/>
      <c r="S617" s="76" t="n"/>
      <c r="T617" s="77">
        <f>K617-L617</f>
        <v/>
      </c>
      <c r="U617" s="77">
        <f>P617-Q617</f>
        <v/>
      </c>
      <c r="V617" s="77">
        <f>ABS(U617)</f>
        <v/>
      </c>
      <c r="W617" s="78">
        <f>T617/L617</f>
        <v/>
      </c>
      <c r="X617" s="79">
        <f>ABS(W617)</f>
        <v/>
      </c>
      <c r="AH617" s="80" t="inlineStr">
        <is>
          <t>委托书\市场特性</t>
        </is>
      </c>
    </row>
    <row r="618" ht="11.4" customHeight="1">
      <c r="A618" s="67" t="inlineStr">
        <is>
          <t>68</t>
        </is>
      </c>
      <c r="B618" s="67" t="inlineStr">
        <is>
          <t>1066</t>
        </is>
      </c>
      <c r="C618" s="67" t="inlineStr">
        <is>
          <t>1612</t>
        </is>
      </c>
      <c r="D618" s="68" t="inlineStr">
        <is>
          <t>01</t>
        </is>
      </c>
      <c r="E618" s="68" t="inlineStr">
        <is>
          <t>6 物业施工费</t>
        </is>
      </c>
      <c r="F618" s="68" t="inlineStr">
        <is>
          <t>6.1 总承包工程</t>
        </is>
      </c>
      <c r="G618" s="68" t="inlineStr">
        <is>
          <t>6.1.2 电气工程</t>
        </is>
      </c>
      <c r="H618" s="68" t="inlineStr">
        <is>
          <t>厨房弱电管线</t>
        </is>
      </c>
      <c r="I618" s="69" t="inlineStr">
        <is>
          <t>1000021888</t>
        </is>
      </c>
      <c r="J618" s="69" t="inlineStr">
        <is>
          <t>员休室电脑一体机布线</t>
        </is>
      </c>
      <c r="K618" s="70" t="n"/>
      <c r="L618" s="70" t="n"/>
      <c r="M618" s="71" t="inlineStr">
        <is>
          <t>项</t>
        </is>
      </c>
      <c r="N618" s="72" t="n">
        <v>836.3099999999999</v>
      </c>
      <c r="O618" s="72">
        <f>ROUND(N618*(1+$F$10),2)</f>
        <v/>
      </c>
      <c r="P618" s="73">
        <f>ROUND(K618*N618,2)</f>
        <v/>
      </c>
      <c r="Q618" s="74">
        <f>ROUND(L618*N618,2)</f>
        <v/>
      </c>
      <c r="R618" s="75" t="n"/>
      <c r="S618" s="76" t="n"/>
      <c r="T618" s="77">
        <f>K618-L618</f>
        <v/>
      </c>
      <c r="U618" s="77">
        <f>P618-Q618</f>
        <v/>
      </c>
      <c r="V618" s="77">
        <f>ABS(U618)</f>
        <v/>
      </c>
      <c r="W618" s="78">
        <f>T618/L618</f>
        <v/>
      </c>
      <c r="X618" s="79">
        <f>ABS(W618)</f>
        <v/>
      </c>
      <c r="AH618" s="80" t="inlineStr">
        <is>
          <t>弱电管线\电气系统图</t>
        </is>
      </c>
    </row>
    <row r="619" ht="11.4" customHeight="1">
      <c r="A619" s="67" t="inlineStr">
        <is>
          <t>68</t>
        </is>
      </c>
      <c r="B619" s="67" t="inlineStr">
        <is>
          <t>1066</t>
        </is>
      </c>
      <c r="C619" s="67" t="inlineStr">
        <is>
          <t>1612</t>
        </is>
      </c>
      <c r="D619" s="68" t="inlineStr">
        <is>
          <t>01</t>
        </is>
      </c>
      <c r="E619" s="68" t="inlineStr">
        <is>
          <t>6 物业施工费</t>
        </is>
      </c>
      <c r="F619" s="68" t="inlineStr">
        <is>
          <t>6.1 总承包工程</t>
        </is>
      </c>
      <c r="G619" s="68" t="inlineStr">
        <is>
          <t>6.1.2 电气工程</t>
        </is>
      </c>
      <c r="H619" s="68" t="inlineStr">
        <is>
          <t>大堂照明 (包括灯具安装及辅材)</t>
        </is>
      </c>
      <c r="I619" s="69" t="inlineStr">
        <is>
          <t>1000021889</t>
        </is>
      </c>
      <c r="J619" s="69" t="inlineStr">
        <is>
          <t>大堂照明回路</t>
        </is>
      </c>
      <c r="K619" s="70" t="n">
        <v>5</v>
      </c>
      <c r="L619" s="70" t="n">
        <v>5</v>
      </c>
      <c r="M619" s="71" t="inlineStr">
        <is>
          <t>组</t>
        </is>
      </c>
      <c r="N619" s="72" t="n">
        <v>500.38</v>
      </c>
      <c r="O619" s="72">
        <f>ROUND(N619*(1+$F$10),2)</f>
        <v/>
      </c>
      <c r="P619" s="73">
        <f>ROUND(K619*N619,2)</f>
        <v/>
      </c>
      <c r="Q619" s="74">
        <f>ROUND(L619*N619,2)</f>
        <v/>
      </c>
      <c r="R619" s="75" t="n"/>
      <c r="S619" s="76" t="n"/>
      <c r="T619" s="77">
        <f>K619-L619</f>
        <v/>
      </c>
      <c r="U619" s="77">
        <f>P619-Q619</f>
        <v/>
      </c>
      <c r="V619" s="77">
        <f>ABS(U619)</f>
        <v/>
      </c>
      <c r="W619" s="78">
        <f>T619/L619</f>
        <v/>
      </c>
      <c r="X619" s="79">
        <f>ABS(W619)</f>
        <v/>
      </c>
      <c r="AH619" s="6" t="inlineStr">
        <is>
          <t>弱电管线\电气系统图</t>
        </is>
      </c>
    </row>
    <row r="620" ht="11.4" customHeight="1">
      <c r="A620" s="67" t="inlineStr">
        <is>
          <t>68</t>
        </is>
      </c>
      <c r="B620" s="67" t="inlineStr">
        <is>
          <t>1066</t>
        </is>
      </c>
      <c r="C620" s="67" t="inlineStr">
        <is>
          <t>1612</t>
        </is>
      </c>
      <c r="D620" s="68" t="inlineStr">
        <is>
          <t>01</t>
        </is>
      </c>
      <c r="E620" s="68" t="inlineStr">
        <is>
          <t>6 物业施工费</t>
        </is>
      </c>
      <c r="F620" s="68" t="inlineStr">
        <is>
          <t>6.1 总承包工程</t>
        </is>
      </c>
      <c r="G620" s="68" t="inlineStr">
        <is>
          <t>6.1.2 电气工程</t>
        </is>
      </c>
      <c r="H620" s="68" t="inlineStr">
        <is>
          <t>大堂照明 (包括灯具安装及辅材)</t>
        </is>
      </c>
      <c r="I620" s="69" t="inlineStr">
        <is>
          <t>1000021927</t>
        </is>
      </c>
      <c r="J620" s="69" t="inlineStr">
        <is>
          <t>安装暗藏轨道射灯 LO3</t>
        </is>
      </c>
      <c r="K620" s="70" t="n"/>
      <c r="L620" s="70" t="n"/>
      <c r="M620" s="71" t="inlineStr">
        <is>
          <t>个</t>
        </is>
      </c>
      <c r="N620" s="72" t="n">
        <v>63.27</v>
      </c>
      <c r="O620" s="72">
        <f>ROUND(N620*(1+$F$10),2)</f>
        <v/>
      </c>
      <c r="P620" s="73">
        <f>ROUND(K620*N620,2)</f>
        <v/>
      </c>
      <c r="Q620" s="74">
        <f>ROUND(L620*N620,2)</f>
        <v/>
      </c>
      <c r="R620" s="75" t="n"/>
      <c r="S620" s="76" t="n"/>
      <c r="T620" s="77">
        <f>K620-L620</f>
        <v/>
      </c>
      <c r="U620" s="77">
        <f>P620-Q620</f>
        <v/>
      </c>
      <c r="V620" s="77">
        <f>ABS(U620)</f>
        <v/>
      </c>
      <c r="W620" s="78">
        <f>T620/L620</f>
        <v/>
      </c>
      <c r="X620" s="79">
        <f>ABS(W620)</f>
        <v/>
      </c>
      <c r="AG620" s="80" t="inlineStr">
        <is>
          <t>个数</t>
        </is>
      </c>
    </row>
    <row r="621" ht="11.4" customHeight="1">
      <c r="A621" s="67" t="inlineStr">
        <is>
          <t>68</t>
        </is>
      </c>
      <c r="B621" s="67" t="inlineStr">
        <is>
          <t>1066</t>
        </is>
      </c>
      <c r="C621" s="67" t="inlineStr">
        <is>
          <t>1612</t>
        </is>
      </c>
      <c r="D621" s="68" t="inlineStr">
        <is>
          <t>01</t>
        </is>
      </c>
      <c r="E621" s="68" t="inlineStr">
        <is>
          <t>6 物业施工费</t>
        </is>
      </c>
      <c r="F621" s="68" t="inlineStr">
        <is>
          <t>6.1 总承包工程</t>
        </is>
      </c>
      <c r="G621" s="68" t="inlineStr">
        <is>
          <t>6.1.2 电气工程</t>
        </is>
      </c>
      <c r="H621" s="68" t="inlineStr">
        <is>
          <t>大堂照明 (包括灯具安装及辅材)</t>
        </is>
      </c>
      <c r="I621" s="69" t="inlineStr">
        <is>
          <t>1000021928</t>
        </is>
      </c>
      <c r="J621" s="69" t="inlineStr">
        <is>
          <t>安装LED灯带 L09</t>
        </is>
      </c>
      <c r="K621" s="70" t="n"/>
      <c r="L621" s="70" t="n"/>
      <c r="M621" s="71" t="inlineStr">
        <is>
          <t>米</t>
        </is>
      </c>
      <c r="N621" s="72" t="n">
        <v>38.86</v>
      </c>
      <c r="O621" s="72">
        <f>ROUND(N621*(1+$F$10),2)</f>
        <v/>
      </c>
      <c r="P621" s="73">
        <f>ROUND(K621*N621,2)</f>
        <v/>
      </c>
      <c r="Q621" s="74">
        <f>ROUND(L621*N621,2)</f>
        <v/>
      </c>
      <c r="R621" s="75" t="n"/>
      <c r="S621" s="76" t="n"/>
      <c r="T621" s="77">
        <f>K621-L621</f>
        <v/>
      </c>
      <c r="U621" s="77">
        <f>P621-Q621</f>
        <v/>
      </c>
      <c r="V621" s="77">
        <f>ABS(U621)</f>
        <v/>
      </c>
      <c r="W621" s="78">
        <f>T621/L621</f>
        <v/>
      </c>
      <c r="X621" s="79">
        <f>ABS(W621)</f>
        <v/>
      </c>
      <c r="AG621" s="80" t="inlineStr">
        <is>
          <t>长度</t>
        </is>
      </c>
    </row>
    <row r="622" ht="11.4" customHeight="1">
      <c r="A622" s="67" t="inlineStr">
        <is>
          <t>68</t>
        </is>
      </c>
      <c r="B622" s="67" t="inlineStr">
        <is>
          <t>1066</t>
        </is>
      </c>
      <c r="C622" s="67" t="inlineStr">
        <is>
          <t>1612</t>
        </is>
      </c>
      <c r="D622" s="68" t="inlineStr">
        <is>
          <t>01</t>
        </is>
      </c>
      <c r="E622" s="68" t="inlineStr">
        <is>
          <t>6 物业施工费</t>
        </is>
      </c>
      <c r="F622" s="68" t="inlineStr">
        <is>
          <t>6.1 总承包工程</t>
        </is>
      </c>
      <c r="G622" s="68" t="inlineStr">
        <is>
          <t>6.1.2 电气工程</t>
        </is>
      </c>
      <c r="H622" s="68" t="inlineStr">
        <is>
          <t>厨房照明 (不包括灯具安装，但包含电管、电线及所有辅材)</t>
        </is>
      </c>
      <c r="I622" s="69" t="inlineStr">
        <is>
          <t>1000021890</t>
        </is>
      </c>
      <c r="J622" s="69" t="inlineStr">
        <is>
          <t>厨房照明回路</t>
        </is>
      </c>
      <c r="K622" s="70" t="n">
        <v>5</v>
      </c>
      <c r="L622" s="70" t="n">
        <v>5</v>
      </c>
      <c r="M622" s="71" t="inlineStr">
        <is>
          <t>组</t>
        </is>
      </c>
      <c r="N622" s="72" t="n">
        <v>500.38</v>
      </c>
      <c r="O622" s="72">
        <f>ROUND(N622*(1+$F$10),2)</f>
        <v/>
      </c>
      <c r="P622" s="73">
        <f>ROUND(K622*N622,2)</f>
        <v/>
      </c>
      <c r="Q622" s="74">
        <f>ROUND(L622*N622,2)</f>
        <v/>
      </c>
      <c r="R622" s="75" t="n"/>
      <c r="S622" s="76" t="n"/>
      <c r="T622" s="77">
        <f>K622-L622</f>
        <v/>
      </c>
      <c r="U622" s="77">
        <f>P622-Q622</f>
        <v/>
      </c>
      <c r="V622" s="77">
        <f>ABS(U622)</f>
        <v/>
      </c>
      <c r="W622" s="78">
        <f>T622/L622</f>
        <v/>
      </c>
      <c r="X622" s="79">
        <f>ABS(W622)</f>
        <v/>
      </c>
      <c r="AH622" s="6" t="inlineStr">
        <is>
          <t>弱电管线\电气系统图</t>
        </is>
      </c>
    </row>
    <row r="623" ht="11.4" customHeight="1">
      <c r="A623" s="67" t="inlineStr">
        <is>
          <t>68</t>
        </is>
      </c>
      <c r="B623" s="67" t="inlineStr">
        <is>
          <t>1066</t>
        </is>
      </c>
      <c r="C623" s="67" t="inlineStr">
        <is>
          <t>1612</t>
        </is>
      </c>
      <c r="D623" s="68" t="inlineStr">
        <is>
          <t>01</t>
        </is>
      </c>
      <c r="E623" s="68" t="inlineStr">
        <is>
          <t>6 物业施工费</t>
        </is>
      </c>
      <c r="F623" s="68" t="inlineStr">
        <is>
          <t>6.1 总承包工程</t>
        </is>
      </c>
      <c r="G623" s="68" t="inlineStr">
        <is>
          <t>6.1.2 电气工程</t>
        </is>
      </c>
      <c r="H623" s="68" t="inlineStr">
        <is>
          <t>厨房照明 (包括灯具安装及辅材)</t>
        </is>
      </c>
      <c r="I623" s="69" t="inlineStr">
        <is>
          <t>1000022199</t>
        </is>
      </c>
      <c r="J623" s="69" t="inlineStr">
        <is>
          <t>安装 灭蝇灯 (不含灭蝇灯主材)</t>
        </is>
      </c>
      <c r="K623" s="70" t="n">
        <v>6</v>
      </c>
      <c r="L623" s="70" t="n">
        <v>6</v>
      </c>
      <c r="M623" s="71" t="inlineStr">
        <is>
          <t>个</t>
        </is>
      </c>
      <c r="N623" s="72" t="n">
        <v>136.25</v>
      </c>
      <c r="O623" s="72">
        <f>ROUND(N623*(1+$F$10),2)</f>
        <v/>
      </c>
      <c r="P623" s="73">
        <f>ROUND(K623*N623,2)</f>
        <v/>
      </c>
      <c r="Q623" s="74">
        <f>ROUND(L623*N623,2)</f>
        <v/>
      </c>
      <c r="R623" s="75" t="n"/>
      <c r="S623" s="76" t="n"/>
      <c r="T623" s="77">
        <f>K623-L623</f>
        <v/>
      </c>
      <c r="U623" s="77">
        <f>P623-Q623</f>
        <v/>
      </c>
      <c r="V623" s="77">
        <f>ABS(U623)</f>
        <v/>
      </c>
      <c r="W623" s="78">
        <f>T623/L623</f>
        <v/>
      </c>
      <c r="X623" s="79">
        <f>ABS(W623)</f>
        <v/>
      </c>
      <c r="AG623" s="80" t="inlineStr">
        <is>
          <t>个数</t>
        </is>
      </c>
    </row>
    <row r="624" ht="11.4" customHeight="1">
      <c r="A624" s="67" t="inlineStr">
        <is>
          <t>68</t>
        </is>
      </c>
      <c r="B624" s="67" t="inlineStr">
        <is>
          <t>1066</t>
        </is>
      </c>
      <c r="C624" s="67" t="inlineStr">
        <is>
          <t>1612</t>
        </is>
      </c>
      <c r="D624" s="68" t="inlineStr">
        <is>
          <t>01</t>
        </is>
      </c>
      <c r="E624" s="68" t="inlineStr">
        <is>
          <t>6 物业施工费</t>
        </is>
      </c>
      <c r="F624" s="68" t="inlineStr">
        <is>
          <t>6.1 总承包工程</t>
        </is>
      </c>
      <c r="G624" s="68" t="inlineStr">
        <is>
          <t>6.1.2 电气工程</t>
        </is>
      </c>
      <c r="H624" s="68" t="inlineStr">
        <is>
          <t>厨房照明 (包括灯具安装及辅材)</t>
        </is>
      </c>
      <c r="I624" s="69" t="inlineStr">
        <is>
          <t>1000085743</t>
        </is>
      </c>
      <c r="J624" s="69" t="inlineStr">
        <is>
          <t>室内灯具安装</t>
        </is>
      </c>
      <c r="K624" s="83" t="n">
        <v>22</v>
      </c>
      <c r="L624" s="70" t="n">
        <v>23</v>
      </c>
      <c r="M624" s="71" t="inlineStr">
        <is>
          <t>个</t>
        </is>
      </c>
      <c r="N624" s="72" t="n">
        <v>136.25</v>
      </c>
      <c r="O624" s="72">
        <f>ROUND(N624*(1+$F$10),2)</f>
        <v/>
      </c>
      <c r="P624" s="73">
        <f>ROUND(K624*N624,2)</f>
        <v/>
      </c>
      <c r="Q624" s="74">
        <f>ROUND(L624*N624,2)</f>
        <v/>
      </c>
      <c r="R624" s="75" t="n"/>
      <c r="S624" s="76" t="n"/>
      <c r="T624" s="77">
        <f>K624-L624</f>
        <v/>
      </c>
      <c r="U624" s="77">
        <f>P624-Q624</f>
        <v/>
      </c>
      <c r="V624" s="77">
        <f>ABS(U624)</f>
        <v/>
      </c>
      <c r="W624" s="78">
        <f>T624/L624</f>
        <v/>
      </c>
      <c r="X624" s="79">
        <f>ABS(W624)</f>
        <v/>
      </c>
      <c r="AG624" s="80" t="inlineStr">
        <is>
          <t>公式</t>
        </is>
      </c>
    </row>
    <row r="625" ht="11.4" customHeight="1">
      <c r="A625" s="67" t="inlineStr">
        <is>
          <t>68</t>
        </is>
      </c>
      <c r="B625" s="67" t="inlineStr">
        <is>
          <t>1066</t>
        </is>
      </c>
      <c r="C625" s="67" t="inlineStr">
        <is>
          <t>1612</t>
        </is>
      </c>
      <c r="D625" s="68" t="inlineStr">
        <is>
          <t>01</t>
        </is>
      </c>
      <c r="E625" s="68" t="inlineStr">
        <is>
          <t>6 物业施工费</t>
        </is>
      </c>
      <c r="F625" s="68" t="inlineStr">
        <is>
          <t>6.1 总承包工程</t>
        </is>
      </c>
      <c r="G625" s="68" t="inlineStr">
        <is>
          <t>6.1.2 电气工程</t>
        </is>
      </c>
      <c r="H625" s="68" t="inlineStr">
        <is>
          <t>大堂照明 (包括灯具安装及辅材)</t>
        </is>
      </c>
      <c r="I625" s="69" t="inlineStr">
        <is>
          <t>1000021926</t>
        </is>
      </c>
      <c r="J625" s="69" t="inlineStr">
        <is>
          <t>室内灯具安装</t>
        </is>
      </c>
      <c r="K625" s="70" t="n">
        <v>90</v>
      </c>
      <c r="L625" s="70" t="n">
        <v>89</v>
      </c>
      <c r="M625" s="71" t="inlineStr">
        <is>
          <t>个</t>
        </is>
      </c>
      <c r="N625" s="72" t="n">
        <v>136.25</v>
      </c>
      <c r="O625" s="72">
        <f>ROUND(N625*(1+$F$10),2)</f>
        <v/>
      </c>
      <c r="P625" s="73">
        <f>ROUND(K625*N625,2)</f>
        <v/>
      </c>
      <c r="Q625" s="74">
        <f>ROUND(L625*N625,2)</f>
        <v/>
      </c>
      <c r="R625" s="75" t="n"/>
      <c r="S625" s="76" t="n"/>
      <c r="T625" s="77">
        <f>K625-L625</f>
        <v/>
      </c>
      <c r="U625" s="77">
        <f>P625-Q625</f>
        <v/>
      </c>
      <c r="V625" s="77">
        <f>ABS(U625)</f>
        <v/>
      </c>
      <c r="W625" s="78">
        <f>T625/L625</f>
        <v/>
      </c>
      <c r="X625" s="79">
        <f>ABS(W625)</f>
        <v/>
      </c>
      <c r="AG625" s="80" t="inlineStr">
        <is>
          <t>公式</t>
        </is>
      </c>
    </row>
    <row r="626" ht="11.4" customHeight="1">
      <c r="A626" s="67" t="inlineStr">
        <is>
          <t>68</t>
        </is>
      </c>
      <c r="B626" s="67" t="inlineStr">
        <is>
          <t>1066</t>
        </is>
      </c>
      <c r="C626" s="67" t="inlineStr">
        <is>
          <t>1612</t>
        </is>
      </c>
      <c r="D626" s="68" t="inlineStr">
        <is>
          <t>01</t>
        </is>
      </c>
      <c r="E626" s="68" t="inlineStr">
        <is>
          <t>6 物业施工费</t>
        </is>
      </c>
      <c r="F626" s="68" t="inlineStr">
        <is>
          <t>6.1 总承包工程</t>
        </is>
      </c>
      <c r="G626" s="68" t="inlineStr">
        <is>
          <t>6.1.2 电气工程</t>
        </is>
      </c>
      <c r="H626" s="68" t="inlineStr">
        <is>
          <t>空调电气(包含电管、电线及所有配件辅材)</t>
        </is>
      </c>
      <c r="I626" s="69" t="inlineStr">
        <is>
          <t>1000021891</t>
        </is>
      </c>
      <c r="J626" s="69" t="inlineStr">
        <is>
          <t>25匹空调机电源线（配电柜-室外机）</t>
        </is>
      </c>
      <c r="K626" s="70" t="n"/>
      <c r="L626" s="70" t="n"/>
      <c r="M626" s="71" t="inlineStr">
        <is>
          <t>米</t>
        </is>
      </c>
      <c r="N626" s="72" t="n">
        <v>69.84</v>
      </c>
      <c r="O626" s="72">
        <f>ROUND(N626*(1+$F$10),2)</f>
        <v/>
      </c>
      <c r="P626" s="73">
        <f>ROUND(K626*N626,2)</f>
        <v/>
      </c>
      <c r="Q626" s="74">
        <f>ROUND(L626*N626,2)</f>
        <v/>
      </c>
      <c r="R626" s="75" t="n"/>
      <c r="S626" s="76" t="n"/>
      <c r="T626" s="77">
        <f>K626-L626</f>
        <v/>
      </c>
      <c r="U626" s="77">
        <f>P626-Q626</f>
        <v/>
      </c>
      <c r="V626" s="77">
        <f>ABS(U626)</f>
        <v/>
      </c>
      <c r="W626" s="78">
        <f>T626/L626</f>
        <v/>
      </c>
      <c r="X626" s="79">
        <f>ABS(W626)</f>
        <v/>
      </c>
      <c r="AH626" s="80" t="inlineStr">
        <is>
          <t>技术原因暂无解决方案</t>
        </is>
      </c>
    </row>
    <row r="627" ht="11.4" customHeight="1">
      <c r="A627" s="67" t="inlineStr">
        <is>
          <t>68</t>
        </is>
      </c>
      <c r="B627" s="67" t="inlineStr">
        <is>
          <t>1066</t>
        </is>
      </c>
      <c r="C627" s="67" t="inlineStr">
        <is>
          <t>1612</t>
        </is>
      </c>
      <c r="D627" s="68" t="inlineStr">
        <is>
          <t>01</t>
        </is>
      </c>
      <c r="E627" s="68" t="inlineStr">
        <is>
          <t>6 物业施工费</t>
        </is>
      </c>
      <c r="F627" s="68" t="inlineStr">
        <is>
          <t>6.1 总承包工程</t>
        </is>
      </c>
      <c r="G627" s="68" t="inlineStr">
        <is>
          <t>6.1.2 电气工程</t>
        </is>
      </c>
      <c r="H627" s="68" t="inlineStr">
        <is>
          <t>空调电气(包含电管、电线及所有配件辅材)</t>
        </is>
      </c>
      <c r="I627" s="69" t="inlineStr">
        <is>
          <t>1000021892</t>
        </is>
      </c>
      <c r="J627" s="85" t="inlineStr">
        <is>
          <t>15-20匹空调机电源线（配电柜-室外机）</t>
        </is>
      </c>
      <c r="K627" s="86">
        <f>L627</f>
        <v/>
      </c>
      <c r="L627" s="70" t="n">
        <v>23.72</v>
      </c>
      <c r="M627" s="71" t="inlineStr">
        <is>
          <t>米</t>
        </is>
      </c>
      <c r="N627" s="72" t="n">
        <v>62.59</v>
      </c>
      <c r="O627" s="72">
        <f>ROUND(N627*(1+$F$10),2)</f>
        <v/>
      </c>
      <c r="P627" s="73">
        <f>ROUND(K627*N627,2)</f>
        <v/>
      </c>
      <c r="Q627" s="74">
        <f>ROUND(L627*N627,2)</f>
        <v/>
      </c>
      <c r="R627" s="75" t="n"/>
      <c r="S627" s="76" t="n"/>
      <c r="T627" s="77">
        <f>K627-L627</f>
        <v/>
      </c>
      <c r="U627" s="77">
        <f>P627-Q627</f>
        <v/>
      </c>
      <c r="V627" s="77">
        <f>ABS(U627)</f>
        <v/>
      </c>
      <c r="W627" s="78">
        <f>T627/L627</f>
        <v/>
      </c>
      <c r="X627" s="79">
        <f>ABS(W627)</f>
        <v/>
      </c>
      <c r="Y627" s="87" t="inlineStr">
        <is>
          <t>技术原因</t>
        </is>
      </c>
    </row>
    <row r="628" ht="11.4" customHeight="1">
      <c r="A628" s="67" t="inlineStr">
        <is>
          <t>68</t>
        </is>
      </c>
      <c r="B628" s="67" t="inlineStr">
        <is>
          <t>1066</t>
        </is>
      </c>
      <c r="C628" s="67" t="inlineStr">
        <is>
          <t>1612</t>
        </is>
      </c>
      <c r="D628" s="68" t="inlineStr">
        <is>
          <t>01</t>
        </is>
      </c>
      <c r="E628" s="68" t="inlineStr">
        <is>
          <t>6 物业施工费</t>
        </is>
      </c>
      <c r="F628" s="68" t="inlineStr">
        <is>
          <t>6.1 总承包工程</t>
        </is>
      </c>
      <c r="G628" s="68" t="inlineStr">
        <is>
          <t>6.1.2 电气工程</t>
        </is>
      </c>
      <c r="H628" s="68" t="inlineStr">
        <is>
          <t>空调电气(包含电管、电线及所有配件辅材)</t>
        </is>
      </c>
      <c r="I628" s="69" t="inlineStr">
        <is>
          <t>1000021893</t>
        </is>
      </c>
      <c r="J628" s="85" t="inlineStr">
        <is>
          <t>6-12.5匹空调机电源线（配电柜-室外机）</t>
        </is>
      </c>
      <c r="K628" s="86">
        <f>L628</f>
        <v/>
      </c>
      <c r="L628" s="70" t="n">
        <v>23.72</v>
      </c>
      <c r="M628" s="71" t="inlineStr">
        <is>
          <t>米</t>
        </is>
      </c>
      <c r="N628" s="72" t="n">
        <v>52.61</v>
      </c>
      <c r="O628" s="72">
        <f>ROUND(N628*(1+$F$10),2)</f>
        <v/>
      </c>
      <c r="P628" s="73">
        <f>ROUND(K628*N628,2)</f>
        <v/>
      </c>
      <c r="Q628" s="74">
        <f>ROUND(L628*N628,2)</f>
        <v/>
      </c>
      <c r="R628" s="75" t="n"/>
      <c r="S628" s="76" t="n"/>
      <c r="T628" s="77">
        <f>K628-L628</f>
        <v/>
      </c>
      <c r="U628" s="77">
        <f>P628-Q628</f>
        <v/>
      </c>
      <c r="V628" s="77">
        <f>ABS(U628)</f>
        <v/>
      </c>
      <c r="W628" s="78">
        <f>T628/L628</f>
        <v/>
      </c>
      <c r="X628" s="79">
        <f>ABS(W628)</f>
        <v/>
      </c>
      <c r="Y628" s="87" t="inlineStr">
        <is>
          <t>技术原因</t>
        </is>
      </c>
    </row>
    <row r="629" ht="11.4" customHeight="1">
      <c r="A629" s="67" t="inlineStr">
        <is>
          <t>68</t>
        </is>
      </c>
      <c r="B629" s="67" t="inlineStr">
        <is>
          <t>1066</t>
        </is>
      </c>
      <c r="C629" s="67" t="inlineStr">
        <is>
          <t>1612</t>
        </is>
      </c>
      <c r="D629" s="68" t="inlineStr">
        <is>
          <t>01</t>
        </is>
      </c>
      <c r="E629" s="68" t="inlineStr">
        <is>
          <t>6 物业施工费</t>
        </is>
      </c>
      <c r="F629" s="68" t="inlineStr">
        <is>
          <t>6.1 总承包工程</t>
        </is>
      </c>
      <c r="G629" s="68" t="inlineStr">
        <is>
          <t>6.1.2 电气工程</t>
        </is>
      </c>
      <c r="H629" s="68" t="inlineStr">
        <is>
          <t>空调电气(包含电管、电线及所有配件辅材)</t>
        </is>
      </c>
      <c r="I629" s="69" t="inlineStr">
        <is>
          <t>1000021894</t>
        </is>
      </c>
      <c r="J629" s="69" t="inlineStr">
        <is>
          <t>2-5匹空调机电源线（配电柜-室外机）</t>
        </is>
      </c>
      <c r="K629" s="70" t="n"/>
      <c r="L629" s="70" t="n"/>
      <c r="M629" s="71" t="inlineStr">
        <is>
          <t>米</t>
        </is>
      </c>
      <c r="N629" s="72" t="n">
        <v>33.42</v>
      </c>
      <c r="O629" s="72">
        <f>ROUND(N629*(1+$F$10),2)</f>
        <v/>
      </c>
      <c r="P629" s="73">
        <f>ROUND(K629*N629,2)</f>
        <v/>
      </c>
      <c r="Q629" s="74">
        <f>ROUND(L629*N629,2)</f>
        <v/>
      </c>
      <c r="R629" s="75" t="n"/>
      <c r="S629" s="76" t="n"/>
      <c r="T629" s="77">
        <f>K629-L629</f>
        <v/>
      </c>
      <c r="U629" s="77">
        <f>P629-Q629</f>
        <v/>
      </c>
      <c r="V629" s="77">
        <f>ABS(U629)</f>
        <v/>
      </c>
      <c r="W629" s="78">
        <f>T629/L629</f>
        <v/>
      </c>
      <c r="X629" s="79">
        <f>ABS(W629)</f>
        <v/>
      </c>
      <c r="AH629" s="80" t="inlineStr">
        <is>
          <t>技术原因暂无解决方案</t>
        </is>
      </c>
    </row>
    <row r="630" ht="11.4" customHeight="1">
      <c r="A630" s="67" t="inlineStr">
        <is>
          <t>68</t>
        </is>
      </c>
      <c r="B630" s="67" t="inlineStr">
        <is>
          <t>1066</t>
        </is>
      </c>
      <c r="C630" s="67" t="inlineStr">
        <is>
          <t>1612</t>
        </is>
      </c>
      <c r="D630" s="68" t="inlineStr">
        <is>
          <t>01</t>
        </is>
      </c>
      <c r="E630" s="68" t="inlineStr">
        <is>
          <t>6 物业施工费</t>
        </is>
      </c>
      <c r="F630" s="68" t="inlineStr">
        <is>
          <t>6.1 总承包工程</t>
        </is>
      </c>
      <c r="G630" s="68" t="inlineStr">
        <is>
          <t>6.1.2 电气工程</t>
        </is>
      </c>
      <c r="H630" s="68" t="inlineStr">
        <is>
          <t>空调电气(包含电管、电线及所有配件辅材)</t>
        </is>
      </c>
      <c r="I630" s="69" t="inlineStr">
        <is>
          <t>1000021895</t>
        </is>
      </c>
      <c r="J630" s="69" t="inlineStr">
        <is>
          <t>15-20匹空调机电源线（配电柜-室内机主）</t>
        </is>
      </c>
      <c r="K630" s="70" t="n"/>
      <c r="L630" s="70" t="n"/>
      <c r="M630" s="71" t="inlineStr">
        <is>
          <t>米</t>
        </is>
      </c>
      <c r="N630" s="72" t="n">
        <v>54.17</v>
      </c>
      <c r="O630" s="72">
        <f>ROUND(N630*(1+$F$10),2)</f>
        <v/>
      </c>
      <c r="P630" s="73">
        <f>ROUND(K630*N630,2)</f>
        <v/>
      </c>
      <c r="Q630" s="74">
        <f>ROUND(L630*N630,2)</f>
        <v/>
      </c>
      <c r="R630" s="75" t="n"/>
      <c r="S630" s="76" t="n"/>
      <c r="T630" s="77">
        <f>K630-L630</f>
        <v/>
      </c>
      <c r="U630" s="77">
        <f>P630-Q630</f>
        <v/>
      </c>
      <c r="V630" s="77">
        <f>ABS(U630)</f>
        <v/>
      </c>
      <c r="W630" s="78">
        <f>T630/L630</f>
        <v/>
      </c>
      <c r="X630" s="79">
        <f>ABS(W630)</f>
        <v/>
      </c>
      <c r="AH630" s="80" t="inlineStr">
        <is>
          <t>技术原因暂无解决方案</t>
        </is>
      </c>
    </row>
    <row r="631" ht="11.4" customHeight="1">
      <c r="A631" s="67" t="inlineStr">
        <is>
          <t>68</t>
        </is>
      </c>
      <c r="B631" s="67" t="inlineStr">
        <is>
          <t>1066</t>
        </is>
      </c>
      <c r="C631" s="67" t="inlineStr">
        <is>
          <t>1612</t>
        </is>
      </c>
      <c r="D631" s="68" t="inlineStr">
        <is>
          <t>01</t>
        </is>
      </c>
      <c r="E631" s="68" t="inlineStr">
        <is>
          <t>6 物业施工费</t>
        </is>
      </c>
      <c r="F631" s="68" t="inlineStr">
        <is>
          <t>6.1 总承包工程</t>
        </is>
      </c>
      <c r="G631" s="68" t="inlineStr">
        <is>
          <t>6.1.2 电气工程</t>
        </is>
      </c>
      <c r="H631" s="68" t="inlineStr">
        <is>
          <t>空调电气(包含电管、电线及所有配件辅材)</t>
        </is>
      </c>
      <c r="I631" s="69" t="inlineStr">
        <is>
          <t>1000021896</t>
        </is>
      </c>
      <c r="J631" s="85" t="inlineStr">
        <is>
          <t>6-12.5匹空调机电源线（配电柜-室内机主）</t>
        </is>
      </c>
      <c r="K631" s="86">
        <f>L631</f>
        <v/>
      </c>
      <c r="L631" s="70" t="n">
        <v>23.59</v>
      </c>
      <c r="M631" s="71" t="inlineStr">
        <is>
          <t>米</t>
        </is>
      </c>
      <c r="N631" s="72" t="n">
        <v>50.32</v>
      </c>
      <c r="O631" s="72">
        <f>ROUND(N631*(1+$F$10),2)</f>
        <v/>
      </c>
      <c r="P631" s="73">
        <f>ROUND(K631*N631,2)</f>
        <v/>
      </c>
      <c r="Q631" s="74">
        <f>ROUND(L631*N631,2)</f>
        <v/>
      </c>
      <c r="R631" s="75" t="n"/>
      <c r="S631" s="76" t="n"/>
      <c r="T631" s="77">
        <f>K631-L631</f>
        <v/>
      </c>
      <c r="U631" s="77">
        <f>P631-Q631</f>
        <v/>
      </c>
      <c r="V631" s="77">
        <f>ABS(U631)</f>
        <v/>
      </c>
      <c r="W631" s="78">
        <f>T631/L631</f>
        <v/>
      </c>
      <c r="X631" s="79">
        <f>ABS(W631)</f>
        <v/>
      </c>
      <c r="Y631" s="87" t="inlineStr">
        <is>
          <t>技术原因</t>
        </is>
      </c>
    </row>
    <row r="632" ht="11.4" customHeight="1">
      <c r="A632" s="67" t="inlineStr">
        <is>
          <t>68</t>
        </is>
      </c>
      <c r="B632" s="67" t="inlineStr">
        <is>
          <t>1066</t>
        </is>
      </c>
      <c r="C632" s="67" t="inlineStr">
        <is>
          <t>1612</t>
        </is>
      </c>
      <c r="D632" s="68" t="inlineStr">
        <is>
          <t>01</t>
        </is>
      </c>
      <c r="E632" s="68" t="inlineStr">
        <is>
          <t>6 物业施工费</t>
        </is>
      </c>
      <c r="F632" s="68" t="inlineStr">
        <is>
          <t>6.1 总承包工程</t>
        </is>
      </c>
      <c r="G632" s="68" t="inlineStr">
        <is>
          <t>6.1.2 电气工程</t>
        </is>
      </c>
      <c r="H632" s="68" t="inlineStr">
        <is>
          <t>空调电气(包含电管、电线及所有配件辅材)</t>
        </is>
      </c>
      <c r="I632" s="69" t="inlineStr">
        <is>
          <t>1000021897</t>
        </is>
      </c>
      <c r="J632" s="85" t="inlineStr">
        <is>
          <t>2-5匹空调机电源线（配电柜-室内机主）</t>
        </is>
      </c>
      <c r="K632" s="86">
        <f>L632</f>
        <v/>
      </c>
      <c r="L632" s="70" t="n">
        <v>19.28</v>
      </c>
      <c r="M632" s="71" t="inlineStr">
        <is>
          <t>米</t>
        </is>
      </c>
      <c r="N632" s="72" t="n">
        <v>32.72</v>
      </c>
      <c r="O632" s="72">
        <f>ROUND(N632*(1+$F$10),2)</f>
        <v/>
      </c>
      <c r="P632" s="73">
        <f>ROUND(K632*N632,2)</f>
        <v/>
      </c>
      <c r="Q632" s="74">
        <f>ROUND(L632*N632,2)</f>
        <v/>
      </c>
      <c r="R632" s="75" t="n"/>
      <c r="S632" s="76" t="n"/>
      <c r="T632" s="77">
        <f>K632-L632</f>
        <v/>
      </c>
      <c r="U632" s="77">
        <f>P632-Q632</f>
        <v/>
      </c>
      <c r="V632" s="77">
        <f>ABS(U632)</f>
        <v/>
      </c>
      <c r="W632" s="78">
        <f>T632/L632</f>
        <v/>
      </c>
      <c r="X632" s="79">
        <f>ABS(W632)</f>
        <v/>
      </c>
      <c r="Y632" s="87" t="inlineStr">
        <is>
          <t>技术原因</t>
        </is>
      </c>
    </row>
    <row r="633" ht="11.4" customHeight="1">
      <c r="A633" s="67" t="inlineStr">
        <is>
          <t>68</t>
        </is>
      </c>
      <c r="B633" s="67" t="inlineStr">
        <is>
          <t>1066</t>
        </is>
      </c>
      <c r="C633" s="67" t="inlineStr">
        <is>
          <t>1612</t>
        </is>
      </c>
      <c r="D633" s="68" t="inlineStr">
        <is>
          <t>01</t>
        </is>
      </c>
      <c r="E633" s="68" t="inlineStr">
        <is>
          <t>6 物业施工费</t>
        </is>
      </c>
      <c r="F633" s="68" t="inlineStr">
        <is>
          <t>6.1 总承包工程</t>
        </is>
      </c>
      <c r="G633" s="68" t="inlineStr">
        <is>
          <t>6.1.2 电气工程</t>
        </is>
      </c>
      <c r="H633" s="68" t="inlineStr">
        <is>
          <t>空调电气(包含电管、电线及所有配件辅材)</t>
        </is>
      </c>
      <c r="I633" s="69" t="inlineStr">
        <is>
          <t>1000021898</t>
        </is>
      </c>
      <c r="J633" s="69" t="inlineStr">
        <is>
          <t>25匹空调机控制线（室内外机连线）</t>
        </is>
      </c>
      <c r="K633" s="70" t="n"/>
      <c r="L633" s="70" t="n"/>
      <c r="M633" s="71" t="inlineStr">
        <is>
          <t>米</t>
        </is>
      </c>
      <c r="N633" s="72" t="n">
        <v>58.29</v>
      </c>
      <c r="O633" s="72">
        <f>ROUND(N633*(1+$F$10),2)</f>
        <v/>
      </c>
      <c r="P633" s="73">
        <f>ROUND(K633*N633,2)</f>
        <v/>
      </c>
      <c r="Q633" s="74">
        <f>ROUND(L633*N633,2)</f>
        <v/>
      </c>
      <c r="R633" s="75" t="n"/>
      <c r="S633" s="76" t="n"/>
      <c r="T633" s="77">
        <f>K633-L633</f>
        <v/>
      </c>
      <c r="U633" s="77">
        <f>P633-Q633</f>
        <v/>
      </c>
      <c r="V633" s="77">
        <f>ABS(U633)</f>
        <v/>
      </c>
      <c r="W633" s="78">
        <f>T633/L633</f>
        <v/>
      </c>
      <c r="X633" s="79">
        <f>ABS(W633)</f>
        <v/>
      </c>
      <c r="AH633" s="80" t="inlineStr">
        <is>
          <t>技术原因暂无解决方案</t>
        </is>
      </c>
    </row>
    <row r="634" ht="11.4" customHeight="1">
      <c r="A634" s="67" t="inlineStr">
        <is>
          <t>68</t>
        </is>
      </c>
      <c r="B634" s="67" t="inlineStr">
        <is>
          <t>1066</t>
        </is>
      </c>
      <c r="C634" s="67" t="inlineStr">
        <is>
          <t>1612</t>
        </is>
      </c>
      <c r="D634" s="68" t="inlineStr">
        <is>
          <t>01</t>
        </is>
      </c>
      <c r="E634" s="68" t="inlineStr">
        <is>
          <t>6 物业施工费</t>
        </is>
      </c>
      <c r="F634" s="68" t="inlineStr">
        <is>
          <t>6.1 总承包工程</t>
        </is>
      </c>
      <c r="G634" s="68" t="inlineStr">
        <is>
          <t>6.1.2 电气工程</t>
        </is>
      </c>
      <c r="H634" s="68" t="inlineStr">
        <is>
          <t>空调电气(包含电管、电线及所有配件辅材)</t>
        </is>
      </c>
      <c r="I634" s="69" t="inlineStr">
        <is>
          <t>1000021899</t>
        </is>
      </c>
      <c r="J634" s="85" t="inlineStr">
        <is>
          <t>15-20匹空调机控制线（室内外机连线）</t>
        </is>
      </c>
      <c r="K634" s="86">
        <f>L634</f>
        <v/>
      </c>
      <c r="L634" s="70" t="n">
        <v>17.83</v>
      </c>
      <c r="M634" s="71" t="inlineStr">
        <is>
          <t>米</t>
        </is>
      </c>
      <c r="N634" s="72" t="n">
        <v>45.54</v>
      </c>
      <c r="O634" s="72">
        <f>ROUND(N634*(1+$F$10),2)</f>
        <v/>
      </c>
      <c r="P634" s="73">
        <f>ROUND(K634*N634,2)</f>
        <v/>
      </c>
      <c r="Q634" s="74">
        <f>ROUND(L634*N634,2)</f>
        <v/>
      </c>
      <c r="R634" s="75" t="n"/>
      <c r="S634" s="76" t="n"/>
      <c r="T634" s="77">
        <f>K634-L634</f>
        <v/>
      </c>
      <c r="U634" s="77">
        <f>P634-Q634</f>
        <v/>
      </c>
      <c r="V634" s="77">
        <f>ABS(U634)</f>
        <v/>
      </c>
      <c r="W634" s="78">
        <f>T634/L634</f>
        <v/>
      </c>
      <c r="X634" s="79">
        <f>ABS(W634)</f>
        <v/>
      </c>
      <c r="Y634" s="87" t="inlineStr">
        <is>
          <t>技术原因</t>
        </is>
      </c>
    </row>
    <row r="635" ht="11.4" customHeight="1">
      <c r="A635" s="67" t="inlineStr">
        <is>
          <t>68</t>
        </is>
      </c>
      <c r="B635" s="67" t="inlineStr">
        <is>
          <t>1066</t>
        </is>
      </c>
      <c r="C635" s="67" t="inlineStr">
        <is>
          <t>1612</t>
        </is>
      </c>
      <c r="D635" s="68" t="inlineStr">
        <is>
          <t>01</t>
        </is>
      </c>
      <c r="E635" s="68" t="inlineStr">
        <is>
          <t>6 物业施工费</t>
        </is>
      </c>
      <c r="F635" s="68" t="inlineStr">
        <is>
          <t>6.1 总承包工程</t>
        </is>
      </c>
      <c r="G635" s="68" t="inlineStr">
        <is>
          <t>6.1.2 电气工程</t>
        </is>
      </c>
      <c r="H635" s="68" t="inlineStr">
        <is>
          <t>空调电气(包含电管、电线及所有配件辅材)</t>
        </is>
      </c>
      <c r="I635" s="69" t="inlineStr">
        <is>
          <t>1000021900</t>
        </is>
      </c>
      <c r="J635" s="85" t="inlineStr">
        <is>
          <t>6-12.5匹空调机控制线（室内外机连线）</t>
        </is>
      </c>
      <c r="K635" s="86">
        <f>L635</f>
        <v/>
      </c>
      <c r="L635" s="70" t="n">
        <v>28.99</v>
      </c>
      <c r="M635" s="71" t="inlineStr">
        <is>
          <t>米</t>
        </is>
      </c>
      <c r="N635" s="72" t="n">
        <v>40.18</v>
      </c>
      <c r="O635" s="72">
        <f>ROUND(N635*(1+$F$10),2)</f>
        <v/>
      </c>
      <c r="P635" s="73">
        <f>ROUND(K635*N635,2)</f>
        <v/>
      </c>
      <c r="Q635" s="74">
        <f>ROUND(L635*N635,2)</f>
        <v/>
      </c>
      <c r="R635" s="75" t="n"/>
      <c r="S635" s="76" t="n"/>
      <c r="T635" s="77">
        <f>K635-L635</f>
        <v/>
      </c>
      <c r="U635" s="77">
        <f>P635-Q635</f>
        <v/>
      </c>
      <c r="V635" s="77">
        <f>ABS(U635)</f>
        <v/>
      </c>
      <c r="W635" s="78">
        <f>T635/L635</f>
        <v/>
      </c>
      <c r="X635" s="79">
        <f>ABS(W635)</f>
        <v/>
      </c>
      <c r="Y635" s="87" t="inlineStr">
        <is>
          <t>技术原因</t>
        </is>
      </c>
    </row>
    <row r="636" ht="11.4" customHeight="1">
      <c r="A636" s="67" t="inlineStr">
        <is>
          <t>68</t>
        </is>
      </c>
      <c r="B636" s="67" t="inlineStr">
        <is>
          <t>1066</t>
        </is>
      </c>
      <c r="C636" s="67" t="inlineStr">
        <is>
          <t>1612</t>
        </is>
      </c>
      <c r="D636" s="68" t="inlineStr">
        <is>
          <t>01</t>
        </is>
      </c>
      <c r="E636" s="68" t="inlineStr">
        <is>
          <t>6 物业施工费</t>
        </is>
      </c>
      <c r="F636" s="68" t="inlineStr">
        <is>
          <t>6.1 总承包工程</t>
        </is>
      </c>
      <c r="G636" s="68" t="inlineStr">
        <is>
          <t>6.1.2 电气工程</t>
        </is>
      </c>
      <c r="H636" s="68" t="inlineStr">
        <is>
          <t>空调电气(包含电管、电线及所有配件辅材)</t>
        </is>
      </c>
      <c r="I636" s="69" t="inlineStr">
        <is>
          <t>1000021901</t>
        </is>
      </c>
      <c r="J636" s="85" t="inlineStr">
        <is>
          <t>2-5匹空调机控制线（室内外机连线）</t>
        </is>
      </c>
      <c r="K636" s="86">
        <f>L636</f>
        <v/>
      </c>
      <c r="L636" s="70" t="n">
        <v>19.3</v>
      </c>
      <c r="M636" s="71" t="inlineStr">
        <is>
          <t>米</t>
        </is>
      </c>
      <c r="N636" s="72" t="n">
        <v>28.14</v>
      </c>
      <c r="O636" s="72">
        <f>ROUND(N636*(1+$F$10),2)</f>
        <v/>
      </c>
      <c r="P636" s="73">
        <f>ROUND(K636*N636,2)</f>
        <v/>
      </c>
      <c r="Q636" s="74">
        <f>ROUND(L636*N636,2)</f>
        <v/>
      </c>
      <c r="R636" s="75" t="n"/>
      <c r="S636" s="76" t="n"/>
      <c r="T636" s="77">
        <f>K636-L636</f>
        <v/>
      </c>
      <c r="U636" s="77">
        <f>P636-Q636</f>
        <v/>
      </c>
      <c r="V636" s="77">
        <f>ABS(U636)</f>
        <v/>
      </c>
      <c r="W636" s="78">
        <f>T636/L636</f>
        <v/>
      </c>
      <c r="X636" s="79">
        <f>ABS(W636)</f>
        <v/>
      </c>
      <c r="Y636" s="87" t="inlineStr">
        <is>
          <t>技术原因</t>
        </is>
      </c>
    </row>
    <row r="637" ht="11.4" customHeight="1">
      <c r="A637" s="67" t="inlineStr">
        <is>
          <t>68</t>
        </is>
      </c>
      <c r="B637" s="67" t="inlineStr">
        <is>
          <t>1066</t>
        </is>
      </c>
      <c r="C637" s="67" t="inlineStr">
        <is>
          <t>1612</t>
        </is>
      </c>
      <c r="D637" s="68" t="inlineStr">
        <is>
          <t>01</t>
        </is>
      </c>
      <c r="E637" s="68" t="inlineStr">
        <is>
          <t>6 物业施工费</t>
        </is>
      </c>
      <c r="F637" s="68" t="inlineStr">
        <is>
          <t>6.1 总承包工程</t>
        </is>
      </c>
      <c r="G637" s="68" t="inlineStr">
        <is>
          <t>6.1.2 电气工程</t>
        </is>
      </c>
      <c r="H637" s="68" t="inlineStr">
        <is>
          <t>空调电气(包含电管、电线及所有配件辅材)</t>
        </is>
      </c>
      <c r="I637" s="69" t="inlineStr">
        <is>
          <t>1000021902</t>
        </is>
      </c>
      <c r="J637" s="88" t="inlineStr">
        <is>
          <t>空调机控制线（室内机-控制面板）</t>
        </is>
      </c>
      <c r="K637" s="86">
        <f>L637</f>
        <v/>
      </c>
      <c r="L637" s="70" t="n">
        <v>73.09999999999999</v>
      </c>
      <c r="M637" s="71" t="inlineStr">
        <is>
          <t>米</t>
        </is>
      </c>
      <c r="N637" s="72" t="n">
        <v>28.15</v>
      </c>
      <c r="O637" s="72">
        <f>ROUND(N637*(1+$F$10),2)</f>
        <v/>
      </c>
      <c r="P637" s="73">
        <f>ROUND(K637*N637,2)</f>
        <v/>
      </c>
      <c r="Q637" s="74">
        <f>ROUND(L637*N637,2)</f>
        <v/>
      </c>
      <c r="R637" s="75" t="n"/>
      <c r="S637" s="76" t="n"/>
      <c r="T637" s="77">
        <f>K637-L637</f>
        <v/>
      </c>
      <c r="U637" s="77">
        <f>P637-Q637</f>
        <v/>
      </c>
      <c r="V637" s="77">
        <f>ABS(U637)</f>
        <v/>
      </c>
      <c r="W637" s="78">
        <f>T637/L637</f>
        <v/>
      </c>
      <c r="X637" s="79">
        <f>ABS(W637)</f>
        <v/>
      </c>
      <c r="Y637" s="87" t="inlineStr">
        <is>
          <t>技术原因</t>
        </is>
      </c>
    </row>
    <row r="638" ht="11.4" customHeight="1">
      <c r="A638" s="67" t="inlineStr">
        <is>
          <t>68</t>
        </is>
      </c>
      <c r="B638" s="67" t="inlineStr">
        <is>
          <t>1066</t>
        </is>
      </c>
      <c r="C638" s="67" t="inlineStr">
        <is>
          <t>1612</t>
        </is>
      </c>
      <c r="D638" s="68" t="inlineStr">
        <is>
          <t>01</t>
        </is>
      </c>
      <c r="E638" s="68" t="inlineStr">
        <is>
          <t>6 物业施工费</t>
        </is>
      </c>
      <c r="F638" s="68" t="inlineStr">
        <is>
          <t>6.1 总承包工程</t>
        </is>
      </c>
      <c r="G638" s="68" t="inlineStr">
        <is>
          <t>6.1.2 电气工程</t>
        </is>
      </c>
      <c r="H638" s="68" t="inlineStr">
        <is>
          <t>空调电气(包含电管、电线及所有配件辅材)</t>
        </is>
      </c>
      <c r="I638" s="69" t="inlineStr">
        <is>
          <t>1000021903</t>
        </is>
      </c>
      <c r="J638" s="69" t="inlineStr">
        <is>
          <t>抽油烟机电源</t>
        </is>
      </c>
      <c r="K638" s="70" t="n">
        <v>1</v>
      </c>
      <c r="L638" s="70" t="n">
        <v>1</v>
      </c>
      <c r="M638" s="71" t="inlineStr">
        <is>
          <t>个</t>
        </is>
      </c>
      <c r="N638" s="72" t="n">
        <v>1059.51</v>
      </c>
      <c r="O638" s="72">
        <f>ROUND(N638*(1+$F$10),2)</f>
        <v/>
      </c>
      <c r="P638" s="73">
        <f>ROUND(K638*N638,2)</f>
        <v/>
      </c>
      <c r="Q638" s="74">
        <f>ROUND(L638*N638,2)</f>
        <v/>
      </c>
      <c r="R638" s="75" t="n"/>
      <c r="S638" s="76" t="n"/>
      <c r="T638" s="77">
        <f>K638-L638</f>
        <v/>
      </c>
      <c r="U638" s="77">
        <f>P638-Q638</f>
        <v/>
      </c>
      <c r="V638" s="77">
        <f>ABS(U638)</f>
        <v/>
      </c>
      <c r="W638" s="78">
        <f>T638/L638</f>
        <v/>
      </c>
      <c r="X638" s="79">
        <f>ABS(W638)</f>
        <v/>
      </c>
      <c r="AG638" s="80" t="inlineStr">
        <is>
          <t>个数</t>
        </is>
      </c>
    </row>
    <row r="639" ht="11.4" customHeight="1">
      <c r="A639" s="67" t="inlineStr">
        <is>
          <t>68</t>
        </is>
      </c>
      <c r="B639" s="67" t="inlineStr">
        <is>
          <t>1066</t>
        </is>
      </c>
      <c r="C639" s="67" t="inlineStr">
        <is>
          <t>1612</t>
        </is>
      </c>
      <c r="D639" s="68" t="inlineStr">
        <is>
          <t>01</t>
        </is>
      </c>
      <c r="E639" s="68" t="inlineStr">
        <is>
          <t>6 物业施工费</t>
        </is>
      </c>
      <c r="F639" s="68" t="inlineStr">
        <is>
          <t>6.1 总承包工程</t>
        </is>
      </c>
      <c r="G639" s="68" t="inlineStr">
        <is>
          <t>6.1.2 电气工程</t>
        </is>
      </c>
      <c r="H639" s="68" t="inlineStr">
        <is>
          <t>空调电气(包含电管、电线及所有配件辅材)</t>
        </is>
      </c>
      <c r="I639" s="69" t="inlineStr">
        <is>
          <t>1000021904</t>
        </is>
      </c>
      <c r="J639" s="69" t="inlineStr">
        <is>
          <t>新风/排风机电源</t>
        </is>
      </c>
      <c r="K639" s="70" t="n">
        <v>3</v>
      </c>
      <c r="L639" s="70" t="n">
        <v>3</v>
      </c>
      <c r="M639" s="71" t="inlineStr">
        <is>
          <t>个</t>
        </is>
      </c>
      <c r="N639" s="72" t="n">
        <v>829.5</v>
      </c>
      <c r="O639" s="72">
        <f>ROUND(N639*(1+$F$10),2)</f>
        <v/>
      </c>
      <c r="P639" s="73">
        <f>ROUND(K639*N639,2)</f>
        <v/>
      </c>
      <c r="Q639" s="74">
        <f>ROUND(L639*N639,2)</f>
        <v/>
      </c>
      <c r="R639" s="75" t="n"/>
      <c r="S639" s="76" t="n"/>
      <c r="T639" s="77">
        <f>K639-L639</f>
        <v/>
      </c>
      <c r="U639" s="77">
        <f>P639-Q639</f>
        <v/>
      </c>
      <c r="V639" s="77">
        <f>ABS(U639)</f>
        <v/>
      </c>
      <c r="W639" s="78">
        <f>T639/L639</f>
        <v/>
      </c>
      <c r="X639" s="79">
        <f>ABS(W639)</f>
        <v/>
      </c>
      <c r="AG639" s="80" t="inlineStr">
        <is>
          <t>个数</t>
        </is>
      </c>
    </row>
    <row r="640" ht="11.4" customHeight="1">
      <c r="A640" s="67" t="inlineStr">
        <is>
          <t>68</t>
        </is>
      </c>
      <c r="B640" s="67" t="inlineStr">
        <is>
          <t>1066</t>
        </is>
      </c>
      <c r="C640" s="67" t="inlineStr">
        <is>
          <t>1612</t>
        </is>
      </c>
      <c r="D640" s="68" t="inlineStr">
        <is>
          <t>01</t>
        </is>
      </c>
      <c r="E640" s="68" t="inlineStr">
        <is>
          <t>6 物业施工费</t>
        </is>
      </c>
      <c r="F640" s="68" t="inlineStr">
        <is>
          <t>6.1 总承包工程</t>
        </is>
      </c>
      <c r="G640" s="68" t="inlineStr">
        <is>
          <t>6.1.2 电气工程</t>
        </is>
      </c>
      <c r="H640" s="68" t="inlineStr">
        <is>
          <t>空调电气(包含电管、电线及所有配件辅材)</t>
        </is>
      </c>
      <c r="I640" s="69" t="inlineStr">
        <is>
          <t>1000021905</t>
        </is>
      </c>
      <c r="J640" s="69" t="inlineStr">
        <is>
          <t>小型排风扇电源</t>
        </is>
      </c>
      <c r="K640" s="70" t="n">
        <v>2</v>
      </c>
      <c r="L640" s="70" t="n">
        <v>2</v>
      </c>
      <c r="M640" s="71" t="inlineStr">
        <is>
          <t>个</t>
        </is>
      </c>
      <c r="N640" s="72" t="n">
        <v>698.6</v>
      </c>
      <c r="O640" s="72">
        <f>ROUND(N640*(1+$F$10),2)</f>
        <v/>
      </c>
      <c r="P640" s="73">
        <f>ROUND(K640*N640,2)</f>
        <v/>
      </c>
      <c r="Q640" s="74">
        <f>ROUND(L640*N640,2)</f>
        <v/>
      </c>
      <c r="R640" s="75" t="n"/>
      <c r="S640" s="76" t="n"/>
      <c r="T640" s="77">
        <f>K640-L640</f>
        <v/>
      </c>
      <c r="U640" s="77">
        <f>P640-Q640</f>
        <v/>
      </c>
      <c r="V640" s="77">
        <f>ABS(U640)</f>
        <v/>
      </c>
      <c r="W640" s="78">
        <f>T640/L640</f>
        <v/>
      </c>
      <c r="X640" s="79">
        <f>ABS(W640)</f>
        <v/>
      </c>
      <c r="AG640" s="80" t="inlineStr">
        <is>
          <t>个数</t>
        </is>
      </c>
    </row>
    <row r="641" ht="11.4" customHeight="1">
      <c r="A641" s="67" t="inlineStr">
        <is>
          <t>68</t>
        </is>
      </c>
      <c r="B641" s="67" t="inlineStr">
        <is>
          <t>1066</t>
        </is>
      </c>
      <c r="C641" s="67" t="inlineStr">
        <is>
          <t>1612</t>
        </is>
      </c>
      <c r="D641" s="68" t="inlineStr">
        <is>
          <t>01</t>
        </is>
      </c>
      <c r="E641" s="68" t="inlineStr">
        <is>
          <t>6 物业施工费</t>
        </is>
      </c>
      <c r="F641" s="68" t="inlineStr">
        <is>
          <t>6.1 总承包工程</t>
        </is>
      </c>
      <c r="G641" s="68" t="inlineStr">
        <is>
          <t>6.1.2 电气工程</t>
        </is>
      </c>
      <c r="H641" s="68" t="inlineStr">
        <is>
          <t>空调电气(包含电管、电线及所有配件辅材)</t>
        </is>
      </c>
      <c r="I641" s="69" t="inlineStr">
        <is>
          <t>1000021906</t>
        </is>
      </c>
      <c r="J641" s="69" t="inlineStr">
        <is>
          <t>油烟净化器电源</t>
        </is>
      </c>
      <c r="K641" s="70" t="n">
        <v>1</v>
      </c>
      <c r="L641" s="70" t="n">
        <v>1</v>
      </c>
      <c r="M641" s="71" t="inlineStr">
        <is>
          <t>个</t>
        </is>
      </c>
      <c r="N641" s="72" t="n">
        <v>996.7</v>
      </c>
      <c r="O641" s="72">
        <f>ROUND(N641*(1+$F$10),2)</f>
        <v/>
      </c>
      <c r="P641" s="73">
        <f>ROUND(K641*N641,2)</f>
        <v/>
      </c>
      <c r="Q641" s="74">
        <f>ROUND(L641*N641,2)</f>
        <v/>
      </c>
      <c r="R641" s="75" t="n"/>
      <c r="S641" s="76" t="n"/>
      <c r="T641" s="77">
        <f>K641-L641</f>
        <v/>
      </c>
      <c r="U641" s="77">
        <f>P641-Q641</f>
        <v/>
      </c>
      <c r="V641" s="77">
        <f>ABS(U641)</f>
        <v/>
      </c>
      <c r="W641" s="78">
        <f>T641/L641</f>
        <v/>
      </c>
      <c r="X641" s="79">
        <f>ABS(W641)</f>
        <v/>
      </c>
      <c r="AG641" s="80" t="inlineStr">
        <is>
          <t>个数</t>
        </is>
      </c>
    </row>
    <row r="642" ht="11.4" customHeight="1">
      <c r="A642" s="67" t="inlineStr">
        <is>
          <t>68</t>
        </is>
      </c>
      <c r="B642" s="67" t="inlineStr">
        <is>
          <t>1066</t>
        </is>
      </c>
      <c r="C642" s="67" t="inlineStr">
        <is>
          <t>1612</t>
        </is>
      </c>
      <c r="D642" s="68" t="inlineStr">
        <is>
          <t>01</t>
        </is>
      </c>
      <c r="E642" s="68" t="inlineStr">
        <is>
          <t>6 物业施工费</t>
        </is>
      </c>
      <c r="F642" s="68" t="inlineStr">
        <is>
          <t>6.1 总承包工程</t>
        </is>
      </c>
      <c r="G642" s="68" t="inlineStr">
        <is>
          <t>6.1.2 电气工程</t>
        </is>
      </c>
      <c r="H642" s="68" t="inlineStr">
        <is>
          <t>空调电气(包含电管、电线及所有配件辅材)</t>
        </is>
      </c>
      <c r="I642" s="69" t="inlineStr">
        <is>
          <t>1000021907</t>
        </is>
      </c>
      <c r="J642" s="69" t="inlineStr">
        <is>
          <t>风幕机电源</t>
        </is>
      </c>
      <c r="K642" s="70" t="n">
        <v>2</v>
      </c>
      <c r="L642" s="70" t="n">
        <v>2</v>
      </c>
      <c r="M642" s="71" t="inlineStr">
        <is>
          <t>个</t>
        </is>
      </c>
      <c r="N642" s="72" t="n">
        <v>563.75</v>
      </c>
      <c r="O642" s="72">
        <f>ROUND(N642*(1+$F$10),2)</f>
        <v/>
      </c>
      <c r="P642" s="73">
        <f>ROUND(K642*N642,2)</f>
        <v/>
      </c>
      <c r="Q642" s="74">
        <f>ROUND(L642*N642,2)</f>
        <v/>
      </c>
      <c r="R642" s="75" t="n"/>
      <c r="S642" s="76" t="n"/>
      <c r="T642" s="77">
        <f>K642-L642</f>
        <v/>
      </c>
      <c r="U642" s="77">
        <f>P642-Q642</f>
        <v/>
      </c>
      <c r="V642" s="77">
        <f>ABS(U642)</f>
        <v/>
      </c>
      <c r="W642" s="78">
        <f>T642/L642</f>
        <v/>
      </c>
      <c r="X642" s="79">
        <f>ABS(W642)</f>
        <v/>
      </c>
      <c r="AG642" s="80" t="inlineStr">
        <is>
          <t>判断电源个数，普通风幕机？</t>
        </is>
      </c>
    </row>
    <row r="643" ht="11.4" customHeight="1">
      <c r="A643" s="67" t="inlineStr">
        <is>
          <t>68</t>
        </is>
      </c>
      <c r="B643" s="67" t="inlineStr">
        <is>
          <t>1066</t>
        </is>
      </c>
      <c r="C643" s="67" t="inlineStr">
        <is>
          <t>1612</t>
        </is>
      </c>
      <c r="D643" s="68" t="inlineStr">
        <is>
          <t>01</t>
        </is>
      </c>
      <c r="E643" s="68" t="inlineStr">
        <is>
          <t>6 物业施工费</t>
        </is>
      </c>
      <c r="F643" s="68" t="inlineStr">
        <is>
          <t>6.1 总承包工程</t>
        </is>
      </c>
      <c r="G643" s="68" t="inlineStr">
        <is>
          <t>6.1.2 电气工程</t>
        </is>
      </c>
      <c r="H643" s="68" t="inlineStr">
        <is>
          <t>空调电气(包含电管、电线及所有配件辅材)</t>
        </is>
      </c>
      <c r="I643" s="69" t="inlineStr">
        <is>
          <t>1000021908</t>
        </is>
      </c>
      <c r="J643" s="69" t="inlineStr">
        <is>
          <t>吊扇电源</t>
        </is>
      </c>
      <c r="K643" s="70" t="n"/>
      <c r="L643" s="70" t="n"/>
      <c r="M643" s="71" t="inlineStr">
        <is>
          <t>个</t>
        </is>
      </c>
      <c r="N643" s="72" t="n">
        <v>551.65</v>
      </c>
      <c r="O643" s="72">
        <f>ROUND(N643*(1+$F$10),2)</f>
        <v/>
      </c>
      <c r="P643" s="73">
        <f>ROUND(K643*N643,2)</f>
        <v/>
      </c>
      <c r="Q643" s="74">
        <f>ROUND(L643*N643,2)</f>
        <v/>
      </c>
      <c r="R643" s="75" t="n"/>
      <c r="S643" s="76" t="n"/>
      <c r="T643" s="77">
        <f>K643-L643</f>
        <v/>
      </c>
      <c r="U643" s="77">
        <f>P643-Q643</f>
        <v/>
      </c>
      <c r="V643" s="77">
        <f>ABS(U643)</f>
        <v/>
      </c>
      <c r="W643" s="78">
        <f>T643/L643</f>
        <v/>
      </c>
      <c r="X643" s="79">
        <f>ABS(W643)</f>
        <v/>
      </c>
      <c r="AG643" s="80" t="inlineStr">
        <is>
          <t>个数</t>
        </is>
      </c>
    </row>
    <row r="644" ht="11.4" customHeight="1">
      <c r="A644" s="67" t="inlineStr">
        <is>
          <t>68</t>
        </is>
      </c>
      <c r="B644" s="67" t="inlineStr">
        <is>
          <t>1066</t>
        </is>
      </c>
      <c r="C644" s="67" t="inlineStr">
        <is>
          <t>1612</t>
        </is>
      </c>
      <c r="D644" s="68" t="inlineStr">
        <is>
          <t>01</t>
        </is>
      </c>
      <c r="E644" s="68" t="inlineStr">
        <is>
          <t>6 物业施工费</t>
        </is>
      </c>
      <c r="F644" s="68" t="inlineStr">
        <is>
          <t>6.1 总承包工程</t>
        </is>
      </c>
      <c r="G644" s="68" t="inlineStr">
        <is>
          <t>6.1.2 电气工程</t>
        </is>
      </c>
      <c r="H644" s="68" t="inlineStr">
        <is>
          <t>空调电气(包含电管、电线及所有配件辅材)</t>
        </is>
      </c>
      <c r="I644" s="69" t="inlineStr">
        <is>
          <t>1000021909</t>
        </is>
      </c>
      <c r="J644" s="69" t="inlineStr">
        <is>
          <t>经理室空调控制箱</t>
        </is>
      </c>
      <c r="K644" s="70" t="n">
        <v>1</v>
      </c>
      <c r="L644" s="70" t="n">
        <v>1</v>
      </c>
      <c r="M644" s="71" t="inlineStr">
        <is>
          <t>个</t>
        </is>
      </c>
      <c r="N644" s="72" t="n">
        <v>252.22</v>
      </c>
      <c r="O644" s="72">
        <f>ROUND(N644*(1+$F$10),2)</f>
        <v/>
      </c>
      <c r="P644" s="73">
        <f>ROUND(K644*N644,2)</f>
        <v/>
      </c>
      <c r="Q644" s="74">
        <f>ROUND(L644*N644,2)</f>
        <v/>
      </c>
      <c r="R644" s="75" t="n"/>
      <c r="S644" s="76" t="n"/>
      <c r="T644" s="77">
        <f>K644-L644</f>
        <v/>
      </c>
      <c r="U644" s="77">
        <f>P644-Q644</f>
        <v/>
      </c>
      <c r="V644" s="77">
        <f>ABS(U644)</f>
        <v/>
      </c>
      <c r="W644" s="78">
        <f>T644/L644</f>
        <v/>
      </c>
      <c r="X644" s="79">
        <f>ABS(W644)</f>
        <v/>
      </c>
      <c r="AG644" s="80" t="inlineStr">
        <is>
          <t>个数</t>
        </is>
      </c>
    </row>
    <row r="645" ht="11.4" customHeight="1">
      <c r="A645" s="67" t="inlineStr">
        <is>
          <t>68</t>
        </is>
      </c>
      <c r="B645" s="67" t="inlineStr">
        <is>
          <t>1066</t>
        </is>
      </c>
      <c r="C645" s="67" t="inlineStr">
        <is>
          <t>1612</t>
        </is>
      </c>
      <c r="D645" s="68" t="inlineStr">
        <is>
          <t>01</t>
        </is>
      </c>
      <c r="E645" s="68" t="inlineStr">
        <is>
          <t>6 物业施工费</t>
        </is>
      </c>
      <c r="F645" s="68" t="inlineStr">
        <is>
          <t>6.1 总承包工程</t>
        </is>
      </c>
      <c r="G645" s="68" t="inlineStr">
        <is>
          <t>6.1.2 电气工程</t>
        </is>
      </c>
      <c r="H645" s="68" t="inlineStr">
        <is>
          <t>空调电气(包含电管、电线及所有配件辅材)</t>
        </is>
      </c>
      <c r="I645" s="69" t="inlineStr">
        <is>
          <t>1000021910</t>
        </is>
      </c>
      <c r="J645" s="69" t="inlineStr">
        <is>
          <t>25匹冷冻水系统风机盘管电源</t>
        </is>
      </c>
      <c r="K645" s="70" t="n"/>
      <c r="L645" s="70" t="n"/>
      <c r="M645" s="71" t="inlineStr">
        <is>
          <t>米</t>
        </is>
      </c>
      <c r="N645" s="72" t="n">
        <v>51.8</v>
      </c>
      <c r="O645" s="72">
        <f>ROUND(N645*(1+$F$10),2)</f>
        <v/>
      </c>
      <c r="P645" s="73">
        <f>ROUND(K645*N645,2)</f>
        <v/>
      </c>
      <c r="Q645" s="74">
        <f>ROUND(L645*N645,2)</f>
        <v/>
      </c>
      <c r="R645" s="75" t="n"/>
      <c r="S645" s="76" t="n"/>
      <c r="T645" s="77">
        <f>K645-L645</f>
        <v/>
      </c>
      <c r="U645" s="77">
        <f>P645-Q645</f>
        <v/>
      </c>
      <c r="V645" s="77">
        <f>ABS(U645)</f>
        <v/>
      </c>
      <c r="W645" s="78">
        <f>T645/L645</f>
        <v/>
      </c>
      <c r="X645" s="79">
        <f>ABS(W645)</f>
        <v/>
      </c>
      <c r="AH645" s="80" t="inlineStr">
        <is>
          <t>技术原因暂无解决方案</t>
        </is>
      </c>
    </row>
    <row r="646" ht="11.4" customHeight="1">
      <c r="A646" s="67" t="inlineStr">
        <is>
          <t>68</t>
        </is>
      </c>
      <c r="B646" s="67" t="inlineStr">
        <is>
          <t>1066</t>
        </is>
      </c>
      <c r="C646" s="67" t="inlineStr">
        <is>
          <t>1612</t>
        </is>
      </c>
      <c r="D646" s="68" t="inlineStr">
        <is>
          <t>01</t>
        </is>
      </c>
      <c r="E646" s="68" t="inlineStr">
        <is>
          <t>6 物业施工费</t>
        </is>
      </c>
      <c r="F646" s="68" t="inlineStr">
        <is>
          <t>6.1 总承包工程</t>
        </is>
      </c>
      <c r="G646" s="68" t="inlineStr">
        <is>
          <t>6.1.2 电气工程</t>
        </is>
      </c>
      <c r="H646" s="68" t="inlineStr">
        <is>
          <t>空调电气(包含电管、电线及所有配件辅材)</t>
        </is>
      </c>
      <c r="I646" s="69" t="inlineStr">
        <is>
          <t>1000021911</t>
        </is>
      </c>
      <c r="J646" s="69" t="inlineStr">
        <is>
          <t>15-20匹冷冻水系统风机盘管电源</t>
        </is>
      </c>
      <c r="K646" s="70" t="n"/>
      <c r="L646" s="70" t="n"/>
      <c r="M646" s="71" t="inlineStr">
        <is>
          <t>米</t>
        </is>
      </c>
      <c r="N646" s="72" t="n">
        <v>73.06</v>
      </c>
      <c r="O646" s="72">
        <f>ROUND(N646*(1+$F$10),2)</f>
        <v/>
      </c>
      <c r="P646" s="73">
        <f>ROUND(K646*N646,2)</f>
        <v/>
      </c>
      <c r="Q646" s="74">
        <f>ROUND(L646*N646,2)</f>
        <v/>
      </c>
      <c r="R646" s="75" t="n"/>
      <c r="S646" s="76" t="n"/>
      <c r="T646" s="77">
        <f>K646-L646</f>
        <v/>
      </c>
      <c r="U646" s="77">
        <f>P646-Q646</f>
        <v/>
      </c>
      <c r="V646" s="77">
        <f>ABS(U646)</f>
        <v/>
      </c>
      <c r="W646" s="78">
        <f>T646/L646</f>
        <v/>
      </c>
      <c r="X646" s="79">
        <f>ABS(W646)</f>
        <v/>
      </c>
      <c r="AH646" s="80" t="inlineStr">
        <is>
          <t>技术原因暂无解决方案</t>
        </is>
      </c>
    </row>
    <row r="647" ht="11.4" customHeight="1">
      <c r="A647" s="67" t="inlineStr">
        <is>
          <t>68</t>
        </is>
      </c>
      <c r="B647" s="67" t="inlineStr">
        <is>
          <t>1066</t>
        </is>
      </c>
      <c r="C647" s="67" t="inlineStr">
        <is>
          <t>1612</t>
        </is>
      </c>
      <c r="D647" s="68" t="inlineStr">
        <is>
          <t>01</t>
        </is>
      </c>
      <c r="E647" s="68" t="inlineStr">
        <is>
          <t>6 物业施工费</t>
        </is>
      </c>
      <c r="F647" s="68" t="inlineStr">
        <is>
          <t>6.1 总承包工程</t>
        </is>
      </c>
      <c r="G647" s="68" t="inlineStr">
        <is>
          <t>6.1.2 电气工程</t>
        </is>
      </c>
      <c r="H647" s="68" t="inlineStr">
        <is>
          <t>空调电气(包含电管、电线及所有配件辅材)</t>
        </is>
      </c>
      <c r="I647" s="69" t="inlineStr">
        <is>
          <t>1000021912</t>
        </is>
      </c>
      <c r="J647" s="69" t="inlineStr">
        <is>
          <t>6-12匹冷冻水系统风机盘管电源</t>
        </is>
      </c>
      <c r="K647" s="70" t="n"/>
      <c r="L647" s="70" t="n"/>
      <c r="M647" s="71" t="inlineStr">
        <is>
          <t>米</t>
        </is>
      </c>
      <c r="N647" s="72" t="n">
        <v>55.68</v>
      </c>
      <c r="O647" s="72">
        <f>ROUND(N647*(1+$F$10),2)</f>
        <v/>
      </c>
      <c r="P647" s="73">
        <f>ROUND(K647*N647,2)</f>
        <v/>
      </c>
      <c r="Q647" s="74">
        <f>ROUND(L647*N647,2)</f>
        <v/>
      </c>
      <c r="R647" s="75" t="n"/>
      <c r="S647" s="76" t="n"/>
      <c r="T647" s="77">
        <f>K647-L647</f>
        <v/>
      </c>
      <c r="U647" s="77">
        <f>P647-Q647</f>
        <v/>
      </c>
      <c r="V647" s="77">
        <f>ABS(U647)</f>
        <v/>
      </c>
      <c r="W647" s="78">
        <f>T647/L647</f>
        <v/>
      </c>
      <c r="X647" s="79">
        <f>ABS(W647)</f>
        <v/>
      </c>
      <c r="AH647" s="80" t="inlineStr">
        <is>
          <t>技术原因暂无解决方案</t>
        </is>
      </c>
    </row>
    <row r="648" ht="11.4" customHeight="1">
      <c r="A648" s="67" t="inlineStr">
        <is>
          <t>68</t>
        </is>
      </c>
      <c r="B648" s="67" t="inlineStr">
        <is>
          <t>1066</t>
        </is>
      </c>
      <c r="C648" s="67" t="inlineStr">
        <is>
          <t>1612</t>
        </is>
      </c>
      <c r="D648" s="68" t="inlineStr">
        <is>
          <t>01</t>
        </is>
      </c>
      <c r="E648" s="68" t="inlineStr">
        <is>
          <t>6 物业施工费</t>
        </is>
      </c>
      <c r="F648" s="68" t="inlineStr">
        <is>
          <t>6.1 总承包工程</t>
        </is>
      </c>
      <c r="G648" s="68" t="inlineStr">
        <is>
          <t>6.1.2 电气工程</t>
        </is>
      </c>
      <c r="H648" s="68" t="inlineStr">
        <is>
          <t>空调电气(包含电管、电线及所有配件辅材)</t>
        </is>
      </c>
      <c r="I648" s="69" t="inlineStr">
        <is>
          <t>1000021913</t>
        </is>
      </c>
      <c r="J648" s="69" t="inlineStr">
        <is>
          <t>2-5匹冷冻水系统风机盘管电源</t>
        </is>
      </c>
      <c r="K648" s="70" t="n"/>
      <c r="L648" s="70" t="n"/>
      <c r="M648" s="71" t="inlineStr">
        <is>
          <t>米</t>
        </is>
      </c>
      <c r="N648" s="72" t="n">
        <v>37.65</v>
      </c>
      <c r="O648" s="72">
        <f>ROUND(N648*(1+$F$10),2)</f>
        <v/>
      </c>
      <c r="P648" s="73">
        <f>ROUND(K648*N648,2)</f>
        <v/>
      </c>
      <c r="Q648" s="74">
        <f>ROUND(L648*N648,2)</f>
        <v/>
      </c>
      <c r="R648" s="75" t="n"/>
      <c r="S648" s="76" t="n"/>
      <c r="T648" s="77">
        <f>K648-L648</f>
        <v/>
      </c>
      <c r="U648" s="77">
        <f>P648-Q648</f>
        <v/>
      </c>
      <c r="V648" s="77">
        <f>ABS(U648)</f>
        <v/>
      </c>
      <c r="W648" s="78">
        <f>T648/L648</f>
        <v/>
      </c>
      <c r="X648" s="79">
        <f>ABS(W648)</f>
        <v/>
      </c>
      <c r="AH648" s="80" t="inlineStr">
        <is>
          <t>技术原因暂无解决方案</t>
        </is>
      </c>
    </row>
    <row r="649" ht="11.4" customHeight="1">
      <c r="A649" s="67" t="inlineStr">
        <is>
          <t>68</t>
        </is>
      </c>
      <c r="B649" s="67" t="inlineStr">
        <is>
          <t>1066</t>
        </is>
      </c>
      <c r="C649" s="67" t="inlineStr">
        <is>
          <t>1612</t>
        </is>
      </c>
      <c r="D649" s="68" t="inlineStr">
        <is>
          <t>01</t>
        </is>
      </c>
      <c r="E649" s="68" t="inlineStr">
        <is>
          <t>6 物业施工费</t>
        </is>
      </c>
      <c r="F649" s="68" t="inlineStr">
        <is>
          <t>6.1 总承包工程</t>
        </is>
      </c>
      <c r="G649" s="68" t="inlineStr">
        <is>
          <t>6.1.2 电气工程</t>
        </is>
      </c>
      <c r="H649" s="68" t="inlineStr">
        <is>
          <t>空调电气(包含电管、电线及所有配件辅材)</t>
        </is>
      </c>
      <c r="I649" s="69" t="inlineStr">
        <is>
          <t>1000021914</t>
        </is>
      </c>
      <c r="J649" s="69" t="inlineStr">
        <is>
          <t>北区电加热电源及控制线</t>
        </is>
      </c>
      <c r="K649" s="70" t="n"/>
      <c r="L649" s="70" t="n"/>
      <c r="M649" s="71" t="inlineStr">
        <is>
          <t>套</t>
        </is>
      </c>
      <c r="N649" s="72" t="n">
        <v>842.05</v>
      </c>
      <c r="O649" s="72">
        <f>ROUND(N649*(1+$F$10),2)</f>
        <v/>
      </c>
      <c r="P649" s="73">
        <f>ROUND(K649*N649,2)</f>
        <v/>
      </c>
      <c r="Q649" s="74">
        <f>ROUND(L649*N649,2)</f>
        <v/>
      </c>
      <c r="R649" s="75" t="n"/>
      <c r="S649" s="76" t="n"/>
      <c r="T649" s="77">
        <f>K649-L649</f>
        <v/>
      </c>
      <c r="U649" s="77">
        <f>P649-Q649</f>
        <v/>
      </c>
      <c r="V649" s="77">
        <f>ABS(U649)</f>
        <v/>
      </c>
      <c r="W649" s="78">
        <f>T649/L649</f>
        <v/>
      </c>
      <c r="X649" s="79">
        <f>ABS(W649)</f>
        <v/>
      </c>
      <c r="AG649" s="80" t="inlineStr">
        <is>
          <t>个数</t>
        </is>
      </c>
    </row>
    <row r="650" ht="11.4" customHeight="1">
      <c r="A650" s="67" t="inlineStr">
        <is>
          <t>68</t>
        </is>
      </c>
      <c r="B650" s="67" t="inlineStr">
        <is>
          <t>1066</t>
        </is>
      </c>
      <c r="C650" s="67" t="inlineStr">
        <is>
          <t>1612</t>
        </is>
      </c>
      <c r="D650" s="68" t="inlineStr">
        <is>
          <t>01</t>
        </is>
      </c>
      <c r="E650" s="68" t="inlineStr">
        <is>
          <t>6 物业施工费</t>
        </is>
      </c>
      <c r="F650" s="68" t="inlineStr">
        <is>
          <t>6.1 总承包工程</t>
        </is>
      </c>
      <c r="G650" s="68" t="inlineStr">
        <is>
          <t>6.1.2 电气工程</t>
        </is>
      </c>
      <c r="H650" s="68" t="inlineStr">
        <is>
          <t>招牌电气(包含电管、电线及所以配件辅材)</t>
        </is>
      </c>
      <c r="I650" s="69" t="inlineStr">
        <is>
          <t>1000021915</t>
        </is>
      </c>
      <c r="J650" s="69" t="inlineStr">
        <is>
          <t>16A门头招牌电源</t>
        </is>
      </c>
      <c r="K650" s="70" t="n">
        <v>2</v>
      </c>
      <c r="L650" s="70" t="n">
        <v>2</v>
      </c>
      <c r="M650" s="71" t="inlineStr">
        <is>
          <t>个</t>
        </is>
      </c>
      <c r="N650" s="72" t="n">
        <v>505.45</v>
      </c>
      <c r="O650" s="72">
        <f>ROUND(N650*(1+$F$10),2)</f>
        <v/>
      </c>
      <c r="P650" s="73">
        <f>ROUND(K650*N650,2)</f>
        <v/>
      </c>
      <c r="Q650" s="74">
        <f>ROUND(L650*N650,2)</f>
        <v/>
      </c>
      <c r="R650" s="75" t="n"/>
      <c r="S650" s="76" t="n"/>
      <c r="T650" s="77">
        <f>K650-L650</f>
        <v/>
      </c>
      <c r="U650" s="77">
        <f>P650-Q650</f>
        <v/>
      </c>
      <c r="V650" s="77">
        <f>ABS(U650)</f>
        <v/>
      </c>
      <c r="W650" s="78">
        <f>T650/L650</f>
        <v/>
      </c>
      <c r="X650" s="79">
        <f>ABS(W650)</f>
        <v/>
      </c>
      <c r="AH650" s="6" t="inlineStr">
        <is>
          <t>强电管线\电气系统图</t>
        </is>
      </c>
    </row>
    <row r="651" ht="11.4" customHeight="1">
      <c r="A651" s="67" t="inlineStr">
        <is>
          <t>68</t>
        </is>
      </c>
      <c r="B651" s="67" t="inlineStr">
        <is>
          <t>1066</t>
        </is>
      </c>
      <c r="C651" s="67" t="inlineStr">
        <is>
          <t>1612</t>
        </is>
      </c>
      <c r="D651" s="68" t="inlineStr">
        <is>
          <t>01</t>
        </is>
      </c>
      <c r="E651" s="68" t="inlineStr">
        <is>
          <t>6 物业施工费</t>
        </is>
      </c>
      <c r="F651" s="68" t="inlineStr">
        <is>
          <t>6.1 总承包工程</t>
        </is>
      </c>
      <c r="G651" s="68" t="inlineStr">
        <is>
          <t>6.1.2 电气工程</t>
        </is>
      </c>
      <c r="H651" s="68" t="inlineStr">
        <is>
          <t>招牌电气(包含电管、电线及所以配件辅材)</t>
        </is>
      </c>
      <c r="I651" s="69" t="inlineStr">
        <is>
          <t>1000021916</t>
        </is>
      </c>
      <c r="J651" s="69" t="inlineStr">
        <is>
          <t>20A侧招电源</t>
        </is>
      </c>
      <c r="K651" s="70" t="n"/>
      <c r="L651" s="70" t="n"/>
      <c r="M651" s="71" t="inlineStr">
        <is>
          <t>米</t>
        </is>
      </c>
      <c r="N651" s="72" t="n">
        <v>34.75</v>
      </c>
      <c r="O651" s="72">
        <f>ROUND(N651*(1+$F$10),2)</f>
        <v/>
      </c>
      <c r="P651" s="73">
        <f>ROUND(K651*N651,2)</f>
        <v/>
      </c>
      <c r="Q651" s="74">
        <f>ROUND(L651*N651,2)</f>
        <v/>
      </c>
      <c r="R651" s="75" t="n"/>
      <c r="S651" s="76" t="n"/>
      <c r="T651" s="77">
        <f>K651-L651</f>
        <v/>
      </c>
      <c r="U651" s="77">
        <f>P651-Q651</f>
        <v/>
      </c>
      <c r="V651" s="77">
        <f>ABS(U651)</f>
        <v/>
      </c>
      <c r="W651" s="78">
        <f>T651/L651</f>
        <v/>
      </c>
      <c r="X651" s="79">
        <f>ABS(W651)</f>
        <v/>
      </c>
      <c r="AG651" s="6" t="inlineStr">
        <is>
          <t>总长度（插件计算）线管</t>
        </is>
      </c>
    </row>
    <row r="652" ht="11.4" customHeight="1">
      <c r="A652" s="67" t="inlineStr">
        <is>
          <t>68</t>
        </is>
      </c>
      <c r="B652" s="67" t="inlineStr">
        <is>
          <t>1066</t>
        </is>
      </c>
      <c r="C652" s="67" t="inlineStr">
        <is>
          <t>1612</t>
        </is>
      </c>
      <c r="D652" s="68" t="inlineStr">
        <is>
          <t>01</t>
        </is>
      </c>
      <c r="E652" s="68" t="inlineStr">
        <is>
          <t>6 物业施工费</t>
        </is>
      </c>
      <c r="F652" s="68" t="inlineStr">
        <is>
          <t>6.1 总承包工程</t>
        </is>
      </c>
      <c r="G652" s="68" t="inlineStr">
        <is>
          <t>6.1.2 电气工程</t>
        </is>
      </c>
      <c r="H652" s="68" t="inlineStr">
        <is>
          <t>招牌电气(包含电管、电线及所以配件辅材)</t>
        </is>
      </c>
      <c r="I652" s="69" t="inlineStr">
        <is>
          <t>1000021917</t>
        </is>
      </c>
      <c r="J652" s="69" t="inlineStr">
        <is>
          <t>20A杆标电源</t>
        </is>
      </c>
      <c r="K652" s="70" t="n"/>
      <c r="L652" s="70" t="n"/>
      <c r="M652" s="71" t="inlineStr">
        <is>
          <t>米</t>
        </is>
      </c>
      <c r="N652" s="72" t="n">
        <v>34.75</v>
      </c>
      <c r="O652" s="72">
        <f>ROUND(N652*(1+$F$10),2)</f>
        <v/>
      </c>
      <c r="P652" s="73">
        <f>ROUND(K652*N652,2)</f>
        <v/>
      </c>
      <c r="Q652" s="74">
        <f>ROUND(L652*N652,2)</f>
        <v/>
      </c>
      <c r="R652" s="75" t="n"/>
      <c r="S652" s="76" t="n"/>
      <c r="T652" s="77">
        <f>K652-L652</f>
        <v/>
      </c>
      <c r="U652" s="77">
        <f>P652-Q652</f>
        <v/>
      </c>
      <c r="V652" s="77">
        <f>ABS(U652)</f>
        <v/>
      </c>
      <c r="W652" s="78">
        <f>T652/L652</f>
        <v/>
      </c>
      <c r="X652" s="79">
        <f>ABS(W652)</f>
        <v/>
      </c>
      <c r="AG652" s="6" t="inlineStr">
        <is>
          <t>总长度（插件计算）线管</t>
        </is>
      </c>
    </row>
    <row r="653" ht="11.4" customHeight="1">
      <c r="A653" s="67" t="inlineStr">
        <is>
          <t>68</t>
        </is>
      </c>
      <c r="B653" s="67" t="inlineStr">
        <is>
          <t>1066</t>
        </is>
      </c>
      <c r="C653" s="67" t="inlineStr">
        <is>
          <t>1612</t>
        </is>
      </c>
      <c r="D653" s="68" t="inlineStr">
        <is>
          <t>01</t>
        </is>
      </c>
      <c r="E653" s="68" t="inlineStr">
        <is>
          <t>6 物业施工费</t>
        </is>
      </c>
      <c r="F653" s="68" t="inlineStr">
        <is>
          <t>6.1 总承包工程</t>
        </is>
      </c>
      <c r="G653" s="68" t="inlineStr">
        <is>
          <t>6.1.2 电气工程</t>
        </is>
      </c>
      <c r="H653" s="68" t="inlineStr">
        <is>
          <t>招牌电气(包含电管、电线及所以配件辅材)</t>
        </is>
      </c>
      <c r="I653" s="69" t="inlineStr">
        <is>
          <t>1000025195</t>
        </is>
      </c>
      <c r="J653" s="69" t="inlineStr">
        <is>
          <t>高位招牌小电箱（含时控开关及电表等配件）</t>
        </is>
      </c>
      <c r="K653" s="70" t="n"/>
      <c r="L653" s="70" t="n"/>
      <c r="M653" s="71" t="inlineStr">
        <is>
          <t>套</t>
        </is>
      </c>
      <c r="N653" s="72" t="n">
        <v>762.65</v>
      </c>
      <c r="O653" s="72">
        <f>ROUND(N653*(1+$F$10),2)</f>
        <v/>
      </c>
      <c r="P653" s="73">
        <f>ROUND(K653*N653,2)</f>
        <v/>
      </c>
      <c r="Q653" s="74">
        <f>ROUND(L653*N653,2)</f>
        <v/>
      </c>
      <c r="R653" s="75" t="n"/>
      <c r="S653" s="76" t="n"/>
      <c r="T653" s="77">
        <f>K653-L653</f>
        <v/>
      </c>
      <c r="U653" s="77">
        <f>P653-Q653</f>
        <v/>
      </c>
      <c r="V653" s="77">
        <f>ABS(U653)</f>
        <v/>
      </c>
      <c r="W653" s="78">
        <f>T653/L653</f>
        <v/>
      </c>
      <c r="X653" s="79">
        <f>ABS(W653)</f>
        <v/>
      </c>
      <c r="AG653" s="80" t="inlineStr">
        <is>
          <t>个数</t>
        </is>
      </c>
    </row>
    <row r="654" ht="11.4" customHeight="1">
      <c r="A654" s="67" t="inlineStr">
        <is>
          <t>68</t>
        </is>
      </c>
      <c r="B654" s="67" t="inlineStr">
        <is>
          <t>1066</t>
        </is>
      </c>
      <c r="C654" s="67" t="inlineStr">
        <is>
          <t>1612</t>
        </is>
      </c>
      <c r="D654" s="68" t="inlineStr">
        <is>
          <t>01</t>
        </is>
      </c>
      <c r="E654" s="68" t="inlineStr">
        <is>
          <t>6 物业施工费</t>
        </is>
      </c>
      <c r="F654" s="68" t="inlineStr">
        <is>
          <t>6.1 总承包工程</t>
        </is>
      </c>
      <c r="G654" s="68" t="inlineStr">
        <is>
          <t>6.1.2 电气工程</t>
        </is>
      </c>
      <c r="H654" s="68" t="inlineStr">
        <is>
          <t>招牌电气(包含电管、电线及所以配件辅材)</t>
        </is>
      </c>
      <c r="I654" s="69" t="inlineStr">
        <is>
          <t>1000021918</t>
        </is>
      </c>
      <c r="J654" s="69" t="inlineStr">
        <is>
          <t>1000*700菜单箱电源</t>
        </is>
      </c>
      <c r="K654" s="70" t="n">
        <v>2</v>
      </c>
      <c r="L654" s="70" t="n">
        <v>2</v>
      </c>
      <c r="M654" s="71" t="inlineStr">
        <is>
          <t>个</t>
        </is>
      </c>
      <c r="N654" s="72" t="n">
        <v>374.11</v>
      </c>
      <c r="O654" s="72">
        <f>ROUND(N654*(1+$F$10),2)</f>
        <v/>
      </c>
      <c r="P654" s="73">
        <f>ROUND(K654*N654,2)</f>
        <v/>
      </c>
      <c r="Q654" s="74">
        <f>ROUND(L654*N654,2)</f>
        <v/>
      </c>
      <c r="R654" s="75" t="n"/>
      <c r="S654" s="76" t="n"/>
      <c r="T654" s="77">
        <f>K654-L654</f>
        <v/>
      </c>
      <c r="U654" s="77">
        <f>P654-Q654</f>
        <v/>
      </c>
      <c r="V654" s="77">
        <f>ABS(U654)</f>
        <v/>
      </c>
      <c r="W654" s="78">
        <f>T654/L654</f>
        <v/>
      </c>
      <c r="X654" s="79">
        <f>ABS(W654)</f>
        <v/>
      </c>
      <c r="AG654" s="80" t="inlineStr">
        <is>
          <t>个数</t>
        </is>
      </c>
    </row>
    <row r="655" ht="11.4" customHeight="1">
      <c r="A655" s="67" t="inlineStr">
        <is>
          <t>68</t>
        </is>
      </c>
      <c r="B655" s="67" t="inlineStr">
        <is>
          <t>1066</t>
        </is>
      </c>
      <c r="C655" s="67" t="inlineStr">
        <is>
          <t>1612</t>
        </is>
      </c>
      <c r="D655" s="68" t="inlineStr">
        <is>
          <t>01</t>
        </is>
      </c>
      <c r="E655" s="68" t="inlineStr">
        <is>
          <t>6 物业施工费</t>
        </is>
      </c>
      <c r="F655" s="68" t="inlineStr">
        <is>
          <t>6.1 总承包工程</t>
        </is>
      </c>
      <c r="G655" s="68" t="inlineStr">
        <is>
          <t>6.1.2 电气工程</t>
        </is>
      </c>
      <c r="H655" s="68" t="inlineStr">
        <is>
          <t>招牌电气(包含电管、电线及所以配件辅材)</t>
        </is>
      </c>
      <c r="I655" s="69" t="inlineStr">
        <is>
          <t>1000021919</t>
        </is>
      </c>
      <c r="J655" s="69" t="inlineStr">
        <is>
          <t>指示牌、餐牌电源</t>
        </is>
      </c>
      <c r="K655" s="70" t="n"/>
      <c r="L655" s="70" t="n"/>
      <c r="M655" s="71" t="inlineStr">
        <is>
          <t>米</t>
        </is>
      </c>
      <c r="N655" s="72" t="n">
        <v>37.94</v>
      </c>
      <c r="O655" s="72">
        <f>ROUND(N655*(1+$F$10),2)</f>
        <v/>
      </c>
      <c r="P655" s="73">
        <f>ROUND(K655*N655,2)</f>
        <v/>
      </c>
      <c r="Q655" s="74">
        <f>ROUND(L655*N655,2)</f>
        <v/>
      </c>
      <c r="R655" s="75" t="n"/>
      <c r="S655" s="76" t="n"/>
      <c r="T655" s="77">
        <f>K655-L655</f>
        <v/>
      </c>
      <c r="U655" s="77">
        <f>P655-Q655</f>
        <v/>
      </c>
      <c r="V655" s="77">
        <f>ABS(U655)</f>
        <v/>
      </c>
      <c r="W655" s="78">
        <f>T655/L655</f>
        <v/>
      </c>
      <c r="X655" s="79">
        <f>ABS(W655)</f>
        <v/>
      </c>
      <c r="AG655" s="6" t="inlineStr">
        <is>
          <t>总长度（插件计算）线管</t>
        </is>
      </c>
    </row>
    <row r="656" ht="11.4" customHeight="1">
      <c r="A656" s="67" t="inlineStr">
        <is>
          <t>68</t>
        </is>
      </c>
      <c r="B656" s="67" t="inlineStr">
        <is>
          <t>1066</t>
        </is>
      </c>
      <c r="C656" s="67" t="inlineStr">
        <is>
          <t>1612</t>
        </is>
      </c>
      <c r="D656" s="68" t="inlineStr">
        <is>
          <t>01</t>
        </is>
      </c>
      <c r="E656" s="68" t="inlineStr">
        <is>
          <t>6 物业施工费</t>
        </is>
      </c>
      <c r="F656" s="68" t="inlineStr">
        <is>
          <t>6.1 总承包工程</t>
        </is>
      </c>
      <c r="G656" s="68" t="inlineStr">
        <is>
          <t>6.1.2 电气工程</t>
        </is>
      </c>
      <c r="H656" s="68" t="inlineStr">
        <is>
          <t>其它电气(包含电管、电线及所以配件辅材)</t>
        </is>
      </c>
      <c r="I656" s="69" t="inlineStr">
        <is>
          <t>1000021920</t>
        </is>
      </c>
      <c r="J656" s="69" t="inlineStr">
        <is>
          <t>卷帘门电源</t>
        </is>
      </c>
      <c r="K656" s="70" t="n"/>
      <c r="L656" s="70" t="n"/>
      <c r="M656" s="71" t="inlineStr">
        <is>
          <t>个</t>
        </is>
      </c>
      <c r="N656" s="72" t="n">
        <v>563.75</v>
      </c>
      <c r="O656" s="72">
        <f>ROUND(N656*(1+$F$10),2)</f>
        <v/>
      </c>
      <c r="P656" s="73">
        <f>ROUND(K656*N656,2)</f>
        <v/>
      </c>
      <c r="Q656" s="74">
        <f>ROUND(L656*N656,2)</f>
        <v/>
      </c>
      <c r="R656" s="75" t="n"/>
      <c r="S656" s="76" t="n"/>
      <c r="T656" s="77">
        <f>K656-L656</f>
        <v/>
      </c>
      <c r="U656" s="77">
        <f>P656-Q656</f>
        <v/>
      </c>
      <c r="V656" s="77">
        <f>ABS(U656)</f>
        <v/>
      </c>
      <c r="W656" s="78">
        <f>T656/L656</f>
        <v/>
      </c>
      <c r="X656" s="79">
        <f>ABS(W656)</f>
        <v/>
      </c>
      <c r="AG656" s="80" t="inlineStr">
        <is>
          <t>个数</t>
        </is>
      </c>
    </row>
    <row r="657" ht="11.4" customHeight="1">
      <c r="A657" s="67" t="inlineStr">
        <is>
          <t>68</t>
        </is>
      </c>
      <c r="B657" s="67" t="inlineStr">
        <is>
          <t>1066</t>
        </is>
      </c>
      <c r="C657" s="67" t="inlineStr">
        <is>
          <t>1612</t>
        </is>
      </c>
      <c r="D657" s="68" t="inlineStr">
        <is>
          <t>01</t>
        </is>
      </c>
      <c r="E657" s="68" t="inlineStr">
        <is>
          <t>6 物业施工费</t>
        </is>
      </c>
      <c r="F657" s="68" t="inlineStr">
        <is>
          <t>6.1 总承包工程</t>
        </is>
      </c>
      <c r="G657" s="68" t="inlineStr">
        <is>
          <t>6.1.2 电气工程</t>
        </is>
      </c>
      <c r="H657" s="68" t="inlineStr">
        <is>
          <t>其它电气(包含电管、电线及所以配件辅材)</t>
        </is>
      </c>
      <c r="I657" s="69" t="inlineStr">
        <is>
          <t>1000021921</t>
        </is>
      </c>
      <c r="J657" s="69" t="inlineStr">
        <is>
          <t>happy meal电源</t>
        </is>
      </c>
      <c r="K657" s="70" t="n"/>
      <c r="L657" s="70" t="n"/>
      <c r="M657" s="71" t="inlineStr">
        <is>
          <t>个</t>
        </is>
      </c>
      <c r="N657" s="72" t="n">
        <v>468.33</v>
      </c>
      <c r="O657" s="72">
        <f>ROUND(N657*(1+$F$10),2)</f>
        <v/>
      </c>
      <c r="P657" s="73">
        <f>ROUND(K657*N657,2)</f>
        <v/>
      </c>
      <c r="Q657" s="74">
        <f>ROUND(L657*N657,2)</f>
        <v/>
      </c>
      <c r="R657" s="75" t="n"/>
      <c r="S657" s="76" t="n"/>
      <c r="T657" s="77">
        <f>K657-L657</f>
        <v/>
      </c>
      <c r="U657" s="77">
        <f>P657-Q657</f>
        <v/>
      </c>
      <c r="V657" s="77">
        <f>ABS(U657)</f>
        <v/>
      </c>
      <c r="W657" s="78">
        <f>T657/L657</f>
        <v/>
      </c>
      <c r="X657" s="79">
        <f>ABS(W657)</f>
        <v/>
      </c>
      <c r="AG657" s="80" t="inlineStr">
        <is>
          <t>个数</t>
        </is>
      </c>
    </row>
    <row r="658" ht="11.4" customHeight="1">
      <c r="A658" s="67" t="inlineStr">
        <is>
          <t>68</t>
        </is>
      </c>
      <c r="B658" s="67" t="inlineStr">
        <is>
          <t>1066</t>
        </is>
      </c>
      <c r="C658" s="67" t="inlineStr">
        <is>
          <t>1612</t>
        </is>
      </c>
      <c r="D658" s="68" t="inlineStr">
        <is>
          <t>01</t>
        </is>
      </c>
      <c r="E658" s="68" t="inlineStr">
        <is>
          <t>6 物业施工费</t>
        </is>
      </c>
      <c r="F658" s="68" t="inlineStr">
        <is>
          <t>6.1 总承包工程</t>
        </is>
      </c>
      <c r="G658" s="68" t="inlineStr">
        <is>
          <t>6.1.2 电气工程</t>
        </is>
      </c>
      <c r="H658" s="68" t="inlineStr">
        <is>
          <t>其它电气(包含电管、电线及所以配件辅材)</t>
        </is>
      </c>
      <c r="I658" s="69" t="inlineStr">
        <is>
          <t>1000022161</t>
        </is>
      </c>
      <c r="J658" s="69" t="inlineStr">
        <is>
          <t>SOK电源</t>
        </is>
      </c>
      <c r="K658" s="70" t="n">
        <v>1</v>
      </c>
      <c r="L658" s="70" t="n">
        <v>1</v>
      </c>
      <c r="M658" s="71" t="inlineStr">
        <is>
          <t>组</t>
        </is>
      </c>
      <c r="N658" s="72" t="n">
        <v>748</v>
      </c>
      <c r="O658" s="72">
        <f>ROUND(N658*(1+$F$10),2)</f>
        <v/>
      </c>
      <c r="P658" s="73">
        <f>ROUND(K658*N658,2)</f>
        <v/>
      </c>
      <c r="Q658" s="74">
        <f>ROUND(L658*N658,2)</f>
        <v/>
      </c>
      <c r="R658" s="75" t="n"/>
      <c r="S658" s="76" t="n"/>
      <c r="T658" s="77">
        <f>K658-L658</f>
        <v/>
      </c>
      <c r="U658" s="77">
        <f>P658-Q658</f>
        <v/>
      </c>
      <c r="V658" s="77">
        <f>ABS(U658)</f>
        <v/>
      </c>
      <c r="W658" s="78">
        <f>T658/L658</f>
        <v/>
      </c>
      <c r="X658" s="79">
        <f>ABS(W658)</f>
        <v/>
      </c>
      <c r="AG658" s="80" t="inlineStr">
        <is>
          <t>个数</t>
        </is>
      </c>
    </row>
    <row r="659" ht="11.4" customHeight="1">
      <c r="A659" s="67" t="inlineStr">
        <is>
          <t>68</t>
        </is>
      </c>
      <c r="B659" s="67" t="inlineStr">
        <is>
          <t>1066</t>
        </is>
      </c>
      <c r="C659" s="67" t="inlineStr">
        <is>
          <t>1612</t>
        </is>
      </c>
      <c r="D659" s="68" t="inlineStr">
        <is>
          <t>01</t>
        </is>
      </c>
      <c r="E659" s="68" t="inlineStr">
        <is>
          <t>6 物业施工费</t>
        </is>
      </c>
      <c r="F659" s="68" t="inlineStr">
        <is>
          <t>6.1 总承包工程</t>
        </is>
      </c>
      <c r="G659" s="68" t="inlineStr">
        <is>
          <t>6.1.2 电气工程</t>
        </is>
      </c>
      <c r="H659" s="68" t="inlineStr">
        <is>
          <t>其它电气(包含电管、电线及所以配件辅材)</t>
        </is>
      </c>
      <c r="I659" s="69" t="inlineStr">
        <is>
          <t>1000021924</t>
        </is>
      </c>
      <c r="J659" s="69" t="inlineStr">
        <is>
          <t>数盒系统安装</t>
        </is>
      </c>
      <c r="K659" s="70" t="n"/>
      <c r="L659" s="70" t="n"/>
      <c r="M659" s="71" t="inlineStr">
        <is>
          <t>项</t>
        </is>
      </c>
      <c r="N659" s="72" t="n">
        <v>1950</v>
      </c>
      <c r="O659" s="72">
        <f>ROUND(N659*(1+$F$10),2)</f>
        <v/>
      </c>
      <c r="P659" s="73">
        <f>ROUND(K659*N659,2)</f>
        <v/>
      </c>
      <c r="Q659" s="74">
        <f>ROUND(L659*N659,2)</f>
        <v/>
      </c>
      <c r="R659" s="75" t="n"/>
      <c r="S659" s="76" t="n"/>
      <c r="T659" s="77">
        <f>K659-L659</f>
        <v/>
      </c>
      <c r="U659" s="77">
        <f>P659-Q659</f>
        <v/>
      </c>
      <c r="V659" s="77">
        <f>ABS(U659)</f>
        <v/>
      </c>
      <c r="W659" s="78">
        <f>T659/L659</f>
        <v/>
      </c>
      <c r="X659" s="79">
        <f>ABS(W659)</f>
        <v/>
      </c>
      <c r="AG659" s="80" t="n"/>
      <c r="AH659" s="80" t="inlineStr">
        <is>
          <t>待定</t>
        </is>
      </c>
    </row>
    <row r="660" ht="11.4" customHeight="1">
      <c r="A660" s="67" t="inlineStr">
        <is>
          <t>68</t>
        </is>
      </c>
      <c r="B660" s="67" t="inlineStr">
        <is>
          <t>1066</t>
        </is>
      </c>
      <c r="C660" s="67" t="inlineStr">
        <is>
          <t>1612</t>
        </is>
      </c>
      <c r="D660" s="68" t="inlineStr">
        <is>
          <t>01</t>
        </is>
      </c>
      <c r="E660" s="68" t="inlineStr">
        <is>
          <t>6 物业施工费</t>
        </is>
      </c>
      <c r="F660" s="68" t="inlineStr">
        <is>
          <t>6.1 总承包工程</t>
        </is>
      </c>
      <c r="G660" s="68" t="inlineStr">
        <is>
          <t>6.1.2 电气工程</t>
        </is>
      </c>
      <c r="H660" s="68" t="inlineStr">
        <is>
          <t>其它电气(包含电管、电线及所以配件辅材)</t>
        </is>
      </c>
      <c r="I660" s="69" t="inlineStr">
        <is>
          <t>1000051714</t>
        </is>
      </c>
      <c r="J660" s="69" t="inlineStr">
        <is>
          <t>消防应急集中控制装置（单层）</t>
        </is>
      </c>
      <c r="K660" s="70" t="n">
        <v>1</v>
      </c>
      <c r="L660" s="70" t="n">
        <v>1</v>
      </c>
      <c r="M660" s="71" t="inlineStr">
        <is>
          <t>套</t>
        </is>
      </c>
      <c r="N660" s="72" t="n">
        <v>3005.9</v>
      </c>
      <c r="O660" s="72">
        <f>ROUND(N660*(1+$F$10),2)</f>
        <v/>
      </c>
      <c r="P660" s="73">
        <f>ROUND(K660*N660,2)</f>
        <v/>
      </c>
      <c r="Q660" s="74">
        <f>ROUND(L660*N660,2)</f>
        <v/>
      </c>
      <c r="R660" s="75" t="n"/>
      <c r="S660" s="76" t="n"/>
      <c r="T660" s="77">
        <f>K660-L660</f>
        <v/>
      </c>
      <c r="U660" s="77">
        <f>P660-Q660</f>
        <v/>
      </c>
      <c r="V660" s="77">
        <f>ABS(U660)</f>
        <v/>
      </c>
      <c r="W660" s="78">
        <f>T660/L660</f>
        <v/>
      </c>
      <c r="X660" s="79">
        <f>ABS(W660)</f>
        <v/>
      </c>
      <c r="AH660" s="6" t="inlineStr">
        <is>
          <t>委托书\市场特性</t>
        </is>
      </c>
    </row>
    <row r="661" ht="11.4" customHeight="1">
      <c r="A661" s="67" t="inlineStr">
        <is>
          <t>68</t>
        </is>
      </c>
      <c r="B661" s="67" t="inlineStr">
        <is>
          <t>1066</t>
        </is>
      </c>
      <c r="C661" s="67" t="inlineStr">
        <is>
          <t>1612</t>
        </is>
      </c>
      <c r="D661" s="68" t="inlineStr">
        <is>
          <t>01</t>
        </is>
      </c>
      <c r="E661" s="68" t="inlineStr">
        <is>
          <t>6 物业施工费</t>
        </is>
      </c>
      <c r="F661" s="68" t="inlineStr">
        <is>
          <t>6.1 总承包工程</t>
        </is>
      </c>
      <c r="G661" s="68" t="inlineStr">
        <is>
          <t>6.1.2 电气工程</t>
        </is>
      </c>
      <c r="H661" s="68" t="inlineStr">
        <is>
          <t>其它电气(包含电管、电线及所以配件辅材)</t>
        </is>
      </c>
      <c r="I661" s="69" t="inlineStr">
        <is>
          <t>1000051715</t>
        </is>
      </c>
      <c r="J661" s="69" t="inlineStr">
        <is>
          <t>消防应急集中控制装置（双层）</t>
        </is>
      </c>
      <c r="K661" s="70" t="n"/>
      <c r="L661" s="70" t="n"/>
      <c r="M661" s="71" t="inlineStr">
        <is>
          <t>套</t>
        </is>
      </c>
      <c r="N661" s="72" t="n">
        <v>4713.1</v>
      </c>
      <c r="O661" s="72">
        <f>ROUND(N661*(1+$F$10),2)</f>
        <v/>
      </c>
      <c r="P661" s="73">
        <f>ROUND(K661*N661,2)</f>
        <v/>
      </c>
      <c r="Q661" s="74">
        <f>ROUND(L661*N661,2)</f>
        <v/>
      </c>
      <c r="R661" s="75" t="n"/>
      <c r="S661" s="76" t="n"/>
      <c r="T661" s="77">
        <f>K661-L661</f>
        <v/>
      </c>
      <c r="U661" s="77">
        <f>P661-Q661</f>
        <v/>
      </c>
      <c r="V661" s="77">
        <f>ABS(U661)</f>
        <v/>
      </c>
      <c r="W661" s="78">
        <f>T661/L661</f>
        <v/>
      </c>
      <c r="X661" s="79">
        <f>ABS(W661)</f>
        <v/>
      </c>
      <c r="AH661" s="6" t="inlineStr">
        <is>
          <t>委托书\市场特性</t>
        </is>
      </c>
    </row>
    <row r="662" ht="11.4" customHeight="1">
      <c r="A662" s="67" t="inlineStr">
        <is>
          <t>68</t>
        </is>
      </c>
      <c r="B662" s="67" t="inlineStr">
        <is>
          <t>1066</t>
        </is>
      </c>
      <c r="C662" s="67" t="inlineStr">
        <is>
          <t>1612</t>
        </is>
      </c>
      <c r="D662" s="68" t="inlineStr">
        <is>
          <t>01</t>
        </is>
      </c>
      <c r="E662" s="68" t="inlineStr">
        <is>
          <t>6 物业施工费</t>
        </is>
      </c>
      <c r="F662" s="68" t="inlineStr">
        <is>
          <t>6.1 总承包工程</t>
        </is>
      </c>
      <c r="G662" s="68" t="inlineStr">
        <is>
          <t>6.1.2 电气工程</t>
        </is>
      </c>
      <c r="H662" s="68" t="inlineStr">
        <is>
          <t>LEED认证配套电气(包含电管、电线及所以配件辅材)</t>
        </is>
      </c>
      <c r="I662" s="69" t="inlineStr">
        <is>
          <t>1000021523</t>
        </is>
      </c>
      <c r="J662" s="69" t="inlineStr">
        <is>
          <t>PHILIPS灯具感应装置（房间&lt;25m2时配备）</t>
        </is>
      </c>
      <c r="K662" s="70" t="n">
        <v>4</v>
      </c>
      <c r="L662" s="70" t="n">
        <v>4</v>
      </c>
      <c r="M662" s="71" t="inlineStr">
        <is>
          <t>个</t>
        </is>
      </c>
      <c r="N662" s="72" t="n">
        <v>269.86</v>
      </c>
      <c r="O662" s="72">
        <f>ROUND(N662*(1+$F$10),2)</f>
        <v/>
      </c>
      <c r="P662" s="73">
        <f>ROUND(K662*N662,2)</f>
        <v/>
      </c>
      <c r="Q662" s="74">
        <f>ROUND(L662*N662,2)</f>
        <v/>
      </c>
      <c r="R662" s="75" t="n"/>
      <c r="S662" s="76" t="n"/>
      <c r="T662" s="77">
        <f>K662-L662</f>
        <v/>
      </c>
      <c r="U662" s="77">
        <f>P662-Q662</f>
        <v/>
      </c>
      <c r="V662" s="77">
        <f>ABS(U662)</f>
        <v/>
      </c>
      <c r="W662" s="78">
        <f>T662/L662</f>
        <v/>
      </c>
      <c r="X662" s="79">
        <f>ABS(W662)</f>
        <v/>
      </c>
      <c r="AG662" s="80" t="inlineStr">
        <is>
          <t>个数</t>
        </is>
      </c>
    </row>
    <row r="663" ht="11.4" customHeight="1">
      <c r="A663" s="67" t="inlineStr">
        <is>
          <t>68</t>
        </is>
      </c>
      <c r="B663" s="67" t="inlineStr">
        <is>
          <t>1066</t>
        </is>
      </c>
      <c r="C663" s="67" t="inlineStr">
        <is>
          <t>1612</t>
        </is>
      </c>
      <c r="D663" s="68" t="inlineStr">
        <is>
          <t>01</t>
        </is>
      </c>
      <c r="E663" s="68" t="inlineStr">
        <is>
          <t>6 物业施工费</t>
        </is>
      </c>
      <c r="F663" s="68" t="inlineStr">
        <is>
          <t>6.1 总承包工程</t>
        </is>
      </c>
      <c r="G663" s="68" t="inlineStr">
        <is>
          <t>6.1.2 电气工程</t>
        </is>
      </c>
      <c r="H663" s="68" t="inlineStr">
        <is>
          <t>LEED认证配套电气(包含电管、电线及所以配件辅材)</t>
        </is>
      </c>
      <c r="I663" s="69" t="inlineStr">
        <is>
          <t>1000049829</t>
        </is>
      </c>
      <c r="J663" s="69" t="inlineStr">
        <is>
          <t>OPPLE灯具感应装置（房间&lt;25m2时配备）</t>
        </is>
      </c>
      <c r="K663" s="70" t="n"/>
      <c r="L663" s="70" t="n"/>
      <c r="M663" s="71" t="inlineStr">
        <is>
          <t>个</t>
        </is>
      </c>
      <c r="N663" s="72" t="n">
        <v>236.86</v>
      </c>
      <c r="O663" s="72">
        <f>ROUND(N663*(1+$F$10),2)</f>
        <v/>
      </c>
      <c r="P663" s="73">
        <f>ROUND(K663*N663,2)</f>
        <v/>
      </c>
      <c r="Q663" s="74">
        <f>ROUND(L663*N663,2)</f>
        <v/>
      </c>
      <c r="R663" s="75" t="n"/>
      <c r="S663" s="76" t="n"/>
      <c r="T663" s="77">
        <f>K663-L663</f>
        <v/>
      </c>
      <c r="U663" s="77">
        <f>P663-Q663</f>
        <v/>
      </c>
      <c r="V663" s="77">
        <f>ABS(U663)</f>
        <v/>
      </c>
      <c r="W663" s="78">
        <f>T663/L663</f>
        <v/>
      </c>
      <c r="X663" s="79">
        <f>ABS(W663)</f>
        <v/>
      </c>
      <c r="AG663" s="80" t="inlineStr">
        <is>
          <t>个数</t>
        </is>
      </c>
    </row>
    <row r="664" ht="11.4" customHeight="1">
      <c r="A664" s="67" t="inlineStr">
        <is>
          <t>68</t>
        </is>
      </c>
      <c r="B664" s="67" t="inlineStr">
        <is>
          <t>1066</t>
        </is>
      </c>
      <c r="C664" s="67" t="inlineStr">
        <is>
          <t>1612</t>
        </is>
      </c>
      <c r="D664" s="68" t="inlineStr">
        <is>
          <t>01</t>
        </is>
      </c>
      <c r="E664" s="68" t="inlineStr">
        <is>
          <t>6 物业施工费</t>
        </is>
      </c>
      <c r="F664" s="68" t="inlineStr">
        <is>
          <t>6.1 总承包工程</t>
        </is>
      </c>
      <c r="G664" s="68" t="inlineStr">
        <is>
          <t>6.1.2 电气工程</t>
        </is>
      </c>
      <c r="H664" s="68" t="inlineStr">
        <is>
          <t>LEED认证配套电气(包含电管、电线及所以配件辅材)</t>
        </is>
      </c>
      <c r="I664" s="69" t="inlineStr">
        <is>
          <t>1000049830</t>
        </is>
      </c>
      <c r="J664" s="69" t="inlineStr">
        <is>
          <t>OSRAM灯具感应装置（房间&lt;25m2时配备）</t>
        </is>
      </c>
      <c r="K664" s="70" t="n"/>
      <c r="L664" s="70" t="n"/>
      <c r="M664" s="71" t="inlineStr">
        <is>
          <t>个</t>
        </is>
      </c>
      <c r="N664" s="72" t="n">
        <v>256.66</v>
      </c>
      <c r="O664" s="72">
        <f>ROUND(N664*(1+$F$10),2)</f>
        <v/>
      </c>
      <c r="P664" s="73">
        <f>ROUND(K664*N664,2)</f>
        <v/>
      </c>
      <c r="Q664" s="74">
        <f>ROUND(L664*N664,2)</f>
        <v/>
      </c>
      <c r="R664" s="75" t="n"/>
      <c r="S664" s="76" t="n"/>
      <c r="T664" s="77">
        <f>K664-L664</f>
        <v/>
      </c>
      <c r="U664" s="77">
        <f>P664-Q664</f>
        <v/>
      </c>
      <c r="V664" s="77">
        <f>ABS(U664)</f>
        <v/>
      </c>
      <c r="W664" s="78">
        <f>T664/L664</f>
        <v/>
      </c>
      <c r="X664" s="79">
        <f>ABS(W664)</f>
        <v/>
      </c>
      <c r="AG664" s="80" t="inlineStr">
        <is>
          <t>个数</t>
        </is>
      </c>
    </row>
    <row r="665" ht="11.4" customHeight="1">
      <c r="A665" s="67" t="inlineStr">
        <is>
          <t>68</t>
        </is>
      </c>
      <c r="B665" s="67" t="inlineStr">
        <is>
          <t>1066</t>
        </is>
      </c>
      <c r="C665" s="67" t="inlineStr">
        <is>
          <t>1612</t>
        </is>
      </c>
      <c r="D665" s="68" t="inlineStr">
        <is>
          <t>01</t>
        </is>
      </c>
      <c r="E665" s="68" t="inlineStr">
        <is>
          <t>6 物业施工费</t>
        </is>
      </c>
      <c r="F665" s="68" t="inlineStr">
        <is>
          <t>6.1 总承包工程</t>
        </is>
      </c>
      <c r="G665" s="68" t="inlineStr">
        <is>
          <t>6.1.2 电气工程</t>
        </is>
      </c>
      <c r="H665" s="68" t="inlineStr">
        <is>
          <t>其它电气(包含电管及所以配件辅材)</t>
        </is>
      </c>
      <c r="I665" s="69" t="inlineStr">
        <is>
          <t>1000021923</t>
        </is>
      </c>
      <c r="J665" s="69" t="inlineStr">
        <is>
          <t>智能水表485控制线（不含线主材）</t>
        </is>
      </c>
      <c r="K665" s="70" t="n">
        <v>15.73</v>
      </c>
      <c r="L665" s="70" t="n">
        <v>15.71</v>
      </c>
      <c r="M665" s="71" t="inlineStr">
        <is>
          <t>米</t>
        </is>
      </c>
      <c r="N665" s="72" t="n">
        <v>16.99</v>
      </c>
      <c r="O665" s="72">
        <f>ROUND(N665*(1+$F$10),2)</f>
        <v/>
      </c>
      <c r="P665" s="73">
        <f>ROUND(K665*N665,2)</f>
        <v/>
      </c>
      <c r="Q665" s="74">
        <f>ROUND(L665*N665,2)</f>
        <v/>
      </c>
      <c r="R665" s="75" t="n"/>
      <c r="S665" s="76" t="n"/>
      <c r="T665" s="77">
        <f>K665-L665</f>
        <v/>
      </c>
      <c r="U665" s="77">
        <f>P665-Q665</f>
        <v/>
      </c>
      <c r="V665" s="77">
        <f>ABS(U665)</f>
        <v/>
      </c>
      <c r="W665" s="78">
        <f>T665/L665</f>
        <v/>
      </c>
      <c r="X665" s="79">
        <f>ABS(W665)</f>
        <v/>
      </c>
      <c r="AG665" s="6" t="inlineStr">
        <is>
          <t>总长度（插件计算）线管</t>
        </is>
      </c>
    </row>
    <row r="666" ht="11.4" customHeight="1">
      <c r="A666" s="67" t="inlineStr">
        <is>
          <t>68</t>
        </is>
      </c>
      <c r="B666" s="67" t="inlineStr">
        <is>
          <t>1066</t>
        </is>
      </c>
      <c r="C666" s="67" t="inlineStr">
        <is>
          <t>1612</t>
        </is>
      </c>
      <c r="D666" s="68" t="inlineStr">
        <is>
          <t>01</t>
        </is>
      </c>
      <c r="E666" s="68" t="inlineStr">
        <is>
          <t>6 物业施工费</t>
        </is>
      </c>
      <c r="F666" s="68" t="inlineStr">
        <is>
          <t>6.1 总承包工程</t>
        </is>
      </c>
      <c r="G666" s="68" t="inlineStr">
        <is>
          <t>6.1.2 电气工程</t>
        </is>
      </c>
      <c r="H666" s="68" t="inlineStr">
        <is>
          <t>其它电气(包含电管、电线及所以配件辅材)</t>
        </is>
      </c>
      <c r="I666" s="69" t="inlineStr">
        <is>
          <t>1000051724</t>
        </is>
      </c>
      <c r="J666" s="69" t="inlineStr">
        <is>
          <t>空调IOT通讯线</t>
        </is>
      </c>
      <c r="K666" s="83" t="n">
        <v>23.64</v>
      </c>
      <c r="L666" s="70" t="n">
        <v>24.77</v>
      </c>
      <c r="M666" s="71" t="inlineStr">
        <is>
          <t>米</t>
        </is>
      </c>
      <c r="N666" s="72" t="n">
        <v>12.5</v>
      </c>
      <c r="O666" s="72">
        <f>ROUND(N666*(1+$F$10),2)</f>
        <v/>
      </c>
      <c r="P666" s="73">
        <f>ROUND(K666*N666,2)</f>
        <v/>
      </c>
      <c r="Q666" s="74">
        <f>ROUND(L666*N666,2)</f>
        <v/>
      </c>
      <c r="R666" s="75" t="n"/>
      <c r="S666" s="76" t="n"/>
      <c r="T666" s="77">
        <f>K666-L666</f>
        <v/>
      </c>
      <c r="U666" s="77">
        <f>P666-Q666</f>
        <v/>
      </c>
      <c r="V666" s="77">
        <f>ABS(U666)</f>
        <v/>
      </c>
      <c r="W666" s="78">
        <f>T666/L666</f>
        <v/>
      </c>
      <c r="X666" s="79">
        <f>ABS(W666)</f>
        <v/>
      </c>
      <c r="AG666" s="6" t="inlineStr">
        <is>
          <t>总长度（插件计算）线管</t>
        </is>
      </c>
    </row>
    <row r="667" ht="11.4" customHeight="1">
      <c r="A667" s="67" t="inlineStr">
        <is>
          <t>68</t>
        </is>
      </c>
      <c r="B667" s="67" t="inlineStr">
        <is>
          <t>1066</t>
        </is>
      </c>
      <c r="C667" s="67" t="inlineStr">
        <is>
          <t>1612</t>
        </is>
      </c>
      <c r="D667" s="68" t="inlineStr">
        <is>
          <t>01</t>
        </is>
      </c>
      <c r="E667" s="68" t="inlineStr">
        <is>
          <t>6 物业施工费</t>
        </is>
      </c>
      <c r="F667" s="68" t="inlineStr">
        <is>
          <t>6.1 总承包工程</t>
        </is>
      </c>
      <c r="G667" s="68" t="inlineStr">
        <is>
          <t>6.1.2 电气工程</t>
        </is>
      </c>
      <c r="H667" s="68" t="inlineStr">
        <is>
          <t>其它电气(包含电管、电线及所以配件辅材)</t>
        </is>
      </c>
      <c r="I667" s="69" t="inlineStr">
        <is>
          <t>1000085722</t>
        </is>
      </c>
      <c r="J667" s="69" t="inlineStr">
        <is>
          <t>冷藏冷库IOT通讯线</t>
        </is>
      </c>
      <c r="K667" s="83" t="n">
        <v>17.11</v>
      </c>
      <c r="L667" s="70" t="n">
        <v>20.17</v>
      </c>
      <c r="M667" s="71" t="inlineStr">
        <is>
          <t>米</t>
        </is>
      </c>
      <c r="N667" s="72" t="n">
        <v>12</v>
      </c>
      <c r="O667" s="72">
        <f>ROUND(N667*(1+$F$10),2)</f>
        <v/>
      </c>
      <c r="P667" s="73">
        <f>ROUND(K667*N667,2)</f>
        <v/>
      </c>
      <c r="Q667" s="74">
        <f>ROUND(L667*N667,2)</f>
        <v/>
      </c>
      <c r="R667" s="75" t="n"/>
      <c r="S667" s="76" t="n"/>
      <c r="T667" s="77">
        <f>K667-L667</f>
        <v/>
      </c>
      <c r="U667" s="77">
        <f>P667-Q667</f>
        <v/>
      </c>
      <c r="V667" s="77">
        <f>ABS(U667)</f>
        <v/>
      </c>
      <c r="W667" s="78">
        <f>T667/L667</f>
        <v/>
      </c>
      <c r="X667" s="79">
        <f>ABS(W667)</f>
        <v/>
      </c>
      <c r="AG667" s="6" t="inlineStr">
        <is>
          <t>总长度（插件计算）线管</t>
        </is>
      </c>
    </row>
    <row r="668" ht="11.4" customHeight="1">
      <c r="A668" s="67" t="inlineStr">
        <is>
          <t>70</t>
        </is>
      </c>
      <c r="B668" s="67" t="inlineStr">
        <is>
          <t>1068</t>
        </is>
      </c>
      <c r="C668" s="67" t="inlineStr">
        <is>
          <t>1646</t>
        </is>
      </c>
      <c r="D668" s="68" t="inlineStr">
        <is>
          <t>01</t>
        </is>
      </c>
      <c r="E668" s="68" t="inlineStr">
        <is>
          <t>6 物业施工费</t>
        </is>
      </c>
      <c r="F668" s="68" t="inlineStr">
        <is>
          <t>6.1 总承包工程</t>
        </is>
      </c>
      <c r="G668" s="68" t="inlineStr">
        <is>
          <t>6.1.2A 电气工程-灯具主材</t>
        </is>
      </c>
      <c r="H668" s="68" t="inlineStr">
        <is>
          <t>灯具主材-大堂</t>
        </is>
      </c>
      <c r="I668" s="69" t="inlineStr">
        <is>
          <t>1000021524</t>
        </is>
      </c>
      <c r="J668" s="69" t="inlineStr">
        <is>
          <t>PHILIPS吊灯用LED光源P1</t>
        </is>
      </c>
      <c r="K668" s="70" t="n"/>
      <c r="L668" s="70" t="n"/>
      <c r="M668" s="71" t="inlineStr">
        <is>
          <t>个</t>
        </is>
      </c>
      <c r="N668" s="72" t="n">
        <v>27.3</v>
      </c>
      <c r="O668" s="72">
        <f>ROUND(N668*(1+$F$10),2)</f>
        <v/>
      </c>
      <c r="P668" s="73">
        <f>ROUND(K668*N668,2)</f>
        <v/>
      </c>
      <c r="Q668" s="74">
        <f>ROUND(L668*N668,2)</f>
        <v/>
      </c>
      <c r="R668" s="75" t="n"/>
      <c r="S668" s="76" t="n"/>
      <c r="T668" s="77">
        <f>K668-L668</f>
        <v/>
      </c>
      <c r="U668" s="77">
        <f>P668-Q668</f>
        <v/>
      </c>
      <c r="V668" s="77">
        <f>ABS(U668)</f>
        <v/>
      </c>
      <c r="W668" s="78">
        <f>T668/L668</f>
        <v/>
      </c>
      <c r="X668" s="79">
        <f>ABS(W668)</f>
        <v/>
      </c>
      <c r="AG668" s="80" t="inlineStr">
        <is>
          <t>个数</t>
        </is>
      </c>
    </row>
    <row r="669" ht="11.4" customHeight="1">
      <c r="A669" s="67" t="inlineStr">
        <is>
          <t>70</t>
        </is>
      </c>
      <c r="B669" s="67" t="inlineStr">
        <is>
          <t>1068</t>
        </is>
      </c>
      <c r="C669" s="67" t="inlineStr">
        <is>
          <t>1646</t>
        </is>
      </c>
      <c r="D669" s="68" t="inlineStr">
        <is>
          <t>01</t>
        </is>
      </c>
      <c r="E669" s="68" t="inlineStr">
        <is>
          <t>6 物业施工费</t>
        </is>
      </c>
      <c r="F669" s="68" t="inlineStr">
        <is>
          <t>6.1 总承包工程</t>
        </is>
      </c>
      <c r="G669" s="68" t="inlineStr">
        <is>
          <t>6.1.2A 电气工程-灯具主材</t>
        </is>
      </c>
      <c r="H669" s="68" t="inlineStr">
        <is>
          <t>灯具主材-大堂</t>
        </is>
      </c>
      <c r="I669" s="69" t="inlineStr">
        <is>
          <t>1000021929</t>
        </is>
      </c>
      <c r="J669" s="69" t="inlineStr">
        <is>
          <t>安全出口灯</t>
        </is>
      </c>
      <c r="K669" s="70" t="n"/>
      <c r="L669" s="70" t="n"/>
      <c r="M669" s="71" t="inlineStr">
        <is>
          <t>个</t>
        </is>
      </c>
      <c r="N669" s="72" t="n">
        <v>63</v>
      </c>
      <c r="O669" s="72">
        <f>ROUND(N669*(1+$F$10),2)</f>
        <v/>
      </c>
      <c r="P669" s="73">
        <f>ROUND(K669*N669,2)</f>
        <v/>
      </c>
      <c r="Q669" s="74">
        <f>ROUND(L669*N669,2)</f>
        <v/>
      </c>
      <c r="R669" s="75" t="n"/>
      <c r="S669" s="76" t="n"/>
      <c r="T669" s="77">
        <f>K669-L669</f>
        <v/>
      </c>
      <c r="U669" s="77">
        <f>P669-Q669</f>
        <v/>
      </c>
      <c r="V669" s="77">
        <f>ABS(U669)</f>
        <v/>
      </c>
      <c r="W669" s="78">
        <f>T669/L669</f>
        <v/>
      </c>
      <c r="X669" s="79">
        <f>ABS(W669)</f>
        <v/>
      </c>
      <c r="AG669" s="80" t="inlineStr">
        <is>
          <t>个数</t>
        </is>
      </c>
    </row>
    <row r="670" ht="11.4" customHeight="1">
      <c r="A670" s="67" t="inlineStr">
        <is>
          <t>70</t>
        </is>
      </c>
      <c r="B670" s="67" t="inlineStr">
        <is>
          <t>1068</t>
        </is>
      </c>
      <c r="C670" s="67" t="inlineStr">
        <is>
          <t>1646</t>
        </is>
      </c>
      <c r="D670" s="68" t="inlineStr">
        <is>
          <t>01</t>
        </is>
      </c>
      <c r="E670" s="68" t="inlineStr">
        <is>
          <t>6 物业施工费</t>
        </is>
      </c>
      <c r="F670" s="68" t="inlineStr">
        <is>
          <t>6.1 总承包工程</t>
        </is>
      </c>
      <c r="G670" s="68" t="inlineStr">
        <is>
          <t>6.1.2A 电气工程-灯具主材</t>
        </is>
      </c>
      <c r="H670" s="68" t="inlineStr">
        <is>
          <t>灯具主材-大堂</t>
        </is>
      </c>
      <c r="I670" s="69" t="inlineStr">
        <is>
          <t>1000051746</t>
        </is>
      </c>
      <c r="J670" s="69" t="inlineStr">
        <is>
          <t>A型安全出口灯/单面指示灯</t>
        </is>
      </c>
      <c r="K670" s="70" t="n">
        <v>12</v>
      </c>
      <c r="L670" s="70" t="n">
        <v>12</v>
      </c>
      <c r="M670" s="71" t="inlineStr">
        <is>
          <t>个</t>
        </is>
      </c>
      <c r="N670" s="72" t="n">
        <v>36.75</v>
      </c>
      <c r="O670" s="72">
        <f>ROUND(N670*(1+$F$10),2)</f>
        <v/>
      </c>
      <c r="P670" s="73">
        <f>ROUND(K670*N670,2)</f>
        <v/>
      </c>
      <c r="Q670" s="74">
        <f>ROUND(L670*N670,2)</f>
        <v/>
      </c>
      <c r="R670" s="75" t="n"/>
      <c r="S670" s="76" t="n"/>
      <c r="T670" s="77">
        <f>K670-L670</f>
        <v/>
      </c>
      <c r="U670" s="77">
        <f>P670-Q670</f>
        <v/>
      </c>
      <c r="V670" s="77">
        <f>ABS(U670)</f>
        <v/>
      </c>
      <c r="W670" s="78">
        <f>T670/L670</f>
        <v/>
      </c>
      <c r="X670" s="79">
        <f>ABS(W670)</f>
        <v/>
      </c>
      <c r="AG670" s="80" t="inlineStr">
        <is>
          <t>个数</t>
        </is>
      </c>
    </row>
    <row r="671" ht="11.4" customHeight="1">
      <c r="A671" s="67" t="inlineStr">
        <is>
          <t>70</t>
        </is>
      </c>
      <c r="B671" s="67" t="inlineStr">
        <is>
          <t>1068</t>
        </is>
      </c>
      <c r="C671" s="67" t="inlineStr">
        <is>
          <t>1646</t>
        </is>
      </c>
      <c r="D671" s="68" t="inlineStr">
        <is>
          <t>01</t>
        </is>
      </c>
      <c r="E671" s="68" t="inlineStr">
        <is>
          <t>6 物业施工费</t>
        </is>
      </c>
      <c r="F671" s="68" t="inlineStr">
        <is>
          <t>6.1 总承包工程</t>
        </is>
      </c>
      <c r="G671" s="68" t="inlineStr">
        <is>
          <t>6.1.2A 电气工程-灯具主材</t>
        </is>
      </c>
      <c r="H671" s="68" t="inlineStr">
        <is>
          <t>灯具主材-大堂</t>
        </is>
      </c>
      <c r="I671" s="69" t="inlineStr">
        <is>
          <t>1000051747</t>
        </is>
      </c>
      <c r="J671" s="69" t="inlineStr">
        <is>
          <t>A型双面单向指示灯</t>
        </is>
      </c>
      <c r="K671" s="70" t="n"/>
      <c r="L671" s="70" t="n"/>
      <c r="M671" s="71" t="inlineStr">
        <is>
          <t>个</t>
        </is>
      </c>
      <c r="N671" s="72" t="n">
        <v>42</v>
      </c>
      <c r="O671" s="72">
        <f>ROUND(N671*(1+$F$10),2)</f>
        <v/>
      </c>
      <c r="P671" s="73">
        <f>ROUND(K671*N671,2)</f>
        <v/>
      </c>
      <c r="Q671" s="74">
        <f>ROUND(L671*N671,2)</f>
        <v/>
      </c>
      <c r="R671" s="75" t="n"/>
      <c r="S671" s="76" t="n"/>
      <c r="T671" s="77">
        <f>K671-L671</f>
        <v/>
      </c>
      <c r="U671" s="77">
        <f>P671-Q671</f>
        <v/>
      </c>
      <c r="V671" s="77">
        <f>ABS(U671)</f>
        <v/>
      </c>
      <c r="W671" s="78">
        <f>T671/L671</f>
        <v/>
      </c>
      <c r="X671" s="79">
        <f>ABS(W671)</f>
        <v/>
      </c>
      <c r="AG671" s="80" t="inlineStr">
        <is>
          <t>个数</t>
        </is>
      </c>
    </row>
    <row r="672" ht="11.4" customHeight="1">
      <c r="A672" s="67" t="inlineStr">
        <is>
          <t>70</t>
        </is>
      </c>
      <c r="B672" s="67" t="inlineStr">
        <is>
          <t>1068</t>
        </is>
      </c>
      <c r="C672" s="67" t="inlineStr">
        <is>
          <t>1646</t>
        </is>
      </c>
      <c r="D672" s="68" t="inlineStr">
        <is>
          <t>01</t>
        </is>
      </c>
      <c r="E672" s="68" t="inlineStr">
        <is>
          <t>6 物业施工费</t>
        </is>
      </c>
      <c r="F672" s="68" t="inlineStr">
        <is>
          <t>6.1 总承包工程</t>
        </is>
      </c>
      <c r="G672" s="68" t="inlineStr">
        <is>
          <t>6.1.2A 电气工程-灯具主材</t>
        </is>
      </c>
      <c r="H672" s="68" t="inlineStr">
        <is>
          <t>灯具主材-大堂</t>
        </is>
      </c>
      <c r="I672" s="69" t="inlineStr">
        <is>
          <t>1000051748</t>
        </is>
      </c>
      <c r="J672" s="69" t="inlineStr">
        <is>
          <t>A型应急灯</t>
        </is>
      </c>
      <c r="K672" s="83" t="n">
        <v>7</v>
      </c>
      <c r="L672" s="70" t="n">
        <v>6</v>
      </c>
      <c r="M672" s="71" t="inlineStr">
        <is>
          <t>个</t>
        </is>
      </c>
      <c r="N672" s="72" t="n">
        <v>40.95</v>
      </c>
      <c r="O672" s="72">
        <f>ROUND(N672*(1+$F$10),2)</f>
        <v/>
      </c>
      <c r="P672" s="73">
        <f>ROUND(K672*N672,2)</f>
        <v/>
      </c>
      <c r="Q672" s="74">
        <f>ROUND(L672*N672,2)</f>
        <v/>
      </c>
      <c r="R672" s="75" t="n"/>
      <c r="S672" s="76" t="n"/>
      <c r="T672" s="77">
        <f>K672-L672</f>
        <v/>
      </c>
      <c r="U672" s="77">
        <f>P672-Q672</f>
        <v/>
      </c>
      <c r="V672" s="77">
        <f>ABS(U672)</f>
        <v/>
      </c>
      <c r="W672" s="78">
        <f>T672/L672</f>
        <v/>
      </c>
      <c r="X672" s="79">
        <f>ABS(W672)</f>
        <v/>
      </c>
      <c r="AG672" s="80" t="inlineStr">
        <is>
          <t>个数</t>
        </is>
      </c>
    </row>
    <row r="673" ht="11.4" customHeight="1">
      <c r="A673" s="67" t="inlineStr">
        <is>
          <t>70</t>
        </is>
      </c>
      <c r="B673" s="67" t="inlineStr">
        <is>
          <t>1068</t>
        </is>
      </c>
      <c r="C673" s="67" t="inlineStr">
        <is>
          <t>1646</t>
        </is>
      </c>
      <c r="D673" s="68" t="inlineStr">
        <is>
          <t>01</t>
        </is>
      </c>
      <c r="E673" s="68" t="inlineStr">
        <is>
          <t>6 物业施工费</t>
        </is>
      </c>
      <c r="F673" s="68" t="inlineStr">
        <is>
          <t>6.1 总承包工程</t>
        </is>
      </c>
      <c r="G673" s="68" t="inlineStr">
        <is>
          <t>6.1.2A 电气工程-灯具主材</t>
        </is>
      </c>
      <c r="H673" s="68" t="inlineStr">
        <is>
          <t>灯具主材-大堂</t>
        </is>
      </c>
      <c r="I673" s="69" t="inlineStr">
        <is>
          <t>1000021525</t>
        </is>
      </c>
      <c r="J673" s="69" t="inlineStr">
        <is>
          <t>PHILIPS LED 5W应急灯具90分钟E</t>
        </is>
      </c>
      <c r="K673" s="70" t="n"/>
      <c r="L673" s="70" t="n"/>
      <c r="M673" s="71" t="inlineStr">
        <is>
          <t>个</t>
        </is>
      </c>
      <c r="N673" s="72" t="n">
        <v>94.5</v>
      </c>
      <c r="O673" s="72">
        <f>ROUND(N673*(1+$F$10),2)</f>
        <v/>
      </c>
      <c r="P673" s="73">
        <f>ROUND(K673*N673,2)</f>
        <v/>
      </c>
      <c r="Q673" s="74">
        <f>ROUND(L673*N673,2)</f>
        <v/>
      </c>
      <c r="R673" s="75" t="n"/>
      <c r="S673" s="76" t="n"/>
      <c r="T673" s="77">
        <f>K673-L673</f>
        <v/>
      </c>
      <c r="U673" s="77">
        <f>P673-Q673</f>
        <v/>
      </c>
      <c r="V673" s="77">
        <f>ABS(U673)</f>
        <v/>
      </c>
      <c r="W673" s="78">
        <f>T673/L673</f>
        <v/>
      </c>
      <c r="X673" s="79">
        <f>ABS(W673)</f>
        <v/>
      </c>
      <c r="AG673" s="80" t="inlineStr">
        <is>
          <t>个数</t>
        </is>
      </c>
    </row>
    <row r="674" ht="11.4" customHeight="1">
      <c r="A674" s="67" t="inlineStr">
        <is>
          <t>70</t>
        </is>
      </c>
      <c r="B674" s="67" t="inlineStr">
        <is>
          <t>1068</t>
        </is>
      </c>
      <c r="C674" s="67" t="inlineStr">
        <is>
          <t>1646</t>
        </is>
      </c>
      <c r="D674" s="68" t="inlineStr">
        <is>
          <t>01</t>
        </is>
      </c>
      <c r="E674" s="68" t="inlineStr">
        <is>
          <t>6 物业施工费</t>
        </is>
      </c>
      <c r="F674" s="68" t="inlineStr">
        <is>
          <t>6.1 总承包工程</t>
        </is>
      </c>
      <c r="G674" s="68" t="inlineStr">
        <is>
          <t>6.1.2A 电气工程-灯具主材</t>
        </is>
      </c>
      <c r="H674" s="68" t="inlineStr">
        <is>
          <t>灯具主材-大堂</t>
        </is>
      </c>
      <c r="I674" s="69" t="inlineStr">
        <is>
          <t>1000021526</t>
        </is>
      </c>
      <c r="J674" s="69" t="inlineStr">
        <is>
          <t>PHILIPS方形LED灯筒灯灯具  L1</t>
        </is>
      </c>
      <c r="K674" s="70" t="n">
        <v>9</v>
      </c>
      <c r="L674" s="70" t="n">
        <v>9</v>
      </c>
      <c r="M674" s="71" t="inlineStr">
        <is>
          <t>个</t>
        </is>
      </c>
      <c r="N674" s="72" t="n">
        <v>131.25</v>
      </c>
      <c r="O674" s="72">
        <f>ROUND(N674*(1+$F$10),2)</f>
        <v/>
      </c>
      <c r="P674" s="73">
        <f>ROUND(K674*N674,2)</f>
        <v/>
      </c>
      <c r="Q674" s="74">
        <f>ROUND(L674*N674,2)</f>
        <v/>
      </c>
      <c r="R674" s="75" t="n"/>
      <c r="S674" s="76" t="n"/>
      <c r="T674" s="77">
        <f>K674-L674</f>
        <v/>
      </c>
      <c r="U674" s="77">
        <f>P674-Q674</f>
        <v/>
      </c>
      <c r="V674" s="77">
        <f>ABS(U674)</f>
        <v/>
      </c>
      <c r="W674" s="78">
        <f>T674/L674</f>
        <v/>
      </c>
      <c r="X674" s="79">
        <f>ABS(W674)</f>
        <v/>
      </c>
      <c r="AG674" s="80" t="inlineStr">
        <is>
          <t>个数</t>
        </is>
      </c>
    </row>
    <row r="675" ht="11.4" customHeight="1">
      <c r="A675" s="67" t="inlineStr">
        <is>
          <t>70</t>
        </is>
      </c>
      <c r="B675" s="67" t="inlineStr">
        <is>
          <t>1068</t>
        </is>
      </c>
      <c r="C675" s="67" t="inlineStr">
        <is>
          <t>1646</t>
        </is>
      </c>
      <c r="D675" s="68" t="inlineStr">
        <is>
          <t>01</t>
        </is>
      </c>
      <c r="E675" s="68" t="inlineStr">
        <is>
          <t>6 物业施工费</t>
        </is>
      </c>
      <c r="F675" s="68" t="inlineStr">
        <is>
          <t>6.1 总承包工程</t>
        </is>
      </c>
      <c r="G675" s="68" t="inlineStr">
        <is>
          <t>6.1.2A 电气工程-灯具主材</t>
        </is>
      </c>
      <c r="H675" s="68" t="inlineStr">
        <is>
          <t>灯具主材-大堂</t>
        </is>
      </c>
      <c r="I675" s="69" t="inlineStr">
        <is>
          <t>1000021527</t>
        </is>
      </c>
      <c r="J675" s="69" t="inlineStr">
        <is>
          <t>PHILIPS双头方形LED灯筒灯灯具  L2</t>
        </is>
      </c>
      <c r="K675" s="70" t="n">
        <v>36</v>
      </c>
      <c r="L675" s="70" t="n">
        <v>36</v>
      </c>
      <c r="M675" s="71" t="inlineStr">
        <is>
          <t>个</t>
        </is>
      </c>
      <c r="N675" s="72" t="n">
        <v>222.6</v>
      </c>
      <c r="O675" s="72">
        <f>ROUND(N675*(1+$F$10),2)</f>
        <v/>
      </c>
      <c r="P675" s="73">
        <f>ROUND(K675*N675,2)</f>
        <v/>
      </c>
      <c r="Q675" s="74">
        <f>ROUND(L675*N675,2)</f>
        <v/>
      </c>
      <c r="R675" s="75" t="n"/>
      <c r="S675" s="76" t="n"/>
      <c r="T675" s="77">
        <f>K675-L675</f>
        <v/>
      </c>
      <c r="U675" s="77">
        <f>P675-Q675</f>
        <v/>
      </c>
      <c r="V675" s="77">
        <f>ABS(U675)</f>
        <v/>
      </c>
      <c r="W675" s="78">
        <f>T675/L675</f>
        <v/>
      </c>
      <c r="X675" s="79">
        <f>ABS(W675)</f>
        <v/>
      </c>
      <c r="AG675" s="80" t="inlineStr">
        <is>
          <t>个数</t>
        </is>
      </c>
    </row>
    <row r="676" ht="11.4" customHeight="1">
      <c r="A676" s="67" t="inlineStr">
        <is>
          <t>70</t>
        </is>
      </c>
      <c r="B676" s="67" t="inlineStr">
        <is>
          <t>1068</t>
        </is>
      </c>
      <c r="C676" s="67" t="inlineStr">
        <is>
          <t>1646</t>
        </is>
      </c>
      <c r="D676" s="68" t="inlineStr">
        <is>
          <t>01</t>
        </is>
      </c>
      <c r="E676" s="68" t="inlineStr">
        <is>
          <t>6 物业施工费</t>
        </is>
      </c>
      <c r="F676" s="68" t="inlineStr">
        <is>
          <t>6.1 总承包工程</t>
        </is>
      </c>
      <c r="G676" s="68" t="inlineStr">
        <is>
          <t>6.1.2A 电气工程-灯具主材</t>
        </is>
      </c>
      <c r="H676" s="68" t="inlineStr">
        <is>
          <t>灯具主材-大堂</t>
        </is>
      </c>
      <c r="I676" s="69" t="inlineStr">
        <is>
          <t>1000021528</t>
        </is>
      </c>
      <c r="J676" s="69" t="inlineStr">
        <is>
          <t>PHILIPS方形嵌入式LED射灯28W  L3</t>
        </is>
      </c>
      <c r="K676" s="70" t="n"/>
      <c r="L676" s="70" t="n"/>
      <c r="M676" s="71" t="inlineStr">
        <is>
          <t>个</t>
        </is>
      </c>
      <c r="N676" s="72" t="n">
        <v>176.4</v>
      </c>
      <c r="O676" s="72">
        <f>ROUND(N676*(1+$F$10),2)</f>
        <v/>
      </c>
      <c r="P676" s="73">
        <f>ROUND(K676*N676,2)</f>
        <v/>
      </c>
      <c r="Q676" s="74">
        <f>ROUND(L676*N676,2)</f>
        <v/>
      </c>
      <c r="R676" s="75" t="n"/>
      <c r="S676" s="76" t="n"/>
      <c r="T676" s="77">
        <f>K676-L676</f>
        <v/>
      </c>
      <c r="U676" s="77">
        <f>P676-Q676</f>
        <v/>
      </c>
      <c r="V676" s="77">
        <f>ABS(U676)</f>
        <v/>
      </c>
      <c r="W676" s="78">
        <f>T676/L676</f>
        <v/>
      </c>
      <c r="X676" s="79">
        <f>ABS(W676)</f>
        <v/>
      </c>
      <c r="AG676" s="80" t="inlineStr">
        <is>
          <t>个数</t>
        </is>
      </c>
    </row>
    <row r="677" ht="11.4" customHeight="1">
      <c r="A677" s="67" t="inlineStr">
        <is>
          <t>70</t>
        </is>
      </c>
      <c r="B677" s="67" t="inlineStr">
        <is>
          <t>1068</t>
        </is>
      </c>
      <c r="C677" s="67" t="inlineStr">
        <is>
          <t>1646</t>
        </is>
      </c>
      <c r="D677" s="68" t="inlineStr">
        <is>
          <t>01</t>
        </is>
      </c>
      <c r="E677" s="68" t="inlineStr">
        <is>
          <t>6 物业施工费</t>
        </is>
      </c>
      <c r="F677" s="68" t="inlineStr">
        <is>
          <t>6.1 总承包工程</t>
        </is>
      </c>
      <c r="G677" s="68" t="inlineStr">
        <is>
          <t>6.1.2A 电气工程-灯具主材</t>
        </is>
      </c>
      <c r="H677" s="68" t="inlineStr">
        <is>
          <t>灯具主材-大堂</t>
        </is>
      </c>
      <c r="I677" s="69" t="inlineStr">
        <is>
          <t>1000021529</t>
        </is>
      </c>
      <c r="J677" s="69" t="inlineStr">
        <is>
          <t>PHILIPS深照型圆形LED灯筒灯灯具  L4</t>
        </is>
      </c>
      <c r="K677" s="70" t="n"/>
      <c r="L677" s="70" t="n"/>
      <c r="M677" s="71" t="inlineStr">
        <is>
          <t>个</t>
        </is>
      </c>
      <c r="N677" s="72" t="n">
        <v>134.4</v>
      </c>
      <c r="O677" s="72">
        <f>ROUND(N677*(1+$F$10),2)</f>
        <v/>
      </c>
      <c r="P677" s="73">
        <f>ROUND(K677*N677,2)</f>
        <v/>
      </c>
      <c r="Q677" s="74">
        <f>ROUND(L677*N677,2)</f>
        <v/>
      </c>
      <c r="R677" s="75" t="n"/>
      <c r="S677" s="76" t="n"/>
      <c r="T677" s="77">
        <f>K677-L677</f>
        <v/>
      </c>
      <c r="U677" s="77">
        <f>P677-Q677</f>
        <v/>
      </c>
      <c r="V677" s="77">
        <f>ABS(U677)</f>
        <v/>
      </c>
      <c r="W677" s="78">
        <f>T677/L677</f>
        <v/>
      </c>
      <c r="X677" s="79">
        <f>ABS(W677)</f>
        <v/>
      </c>
      <c r="AG677" s="80" t="inlineStr">
        <is>
          <t>个数</t>
        </is>
      </c>
    </row>
    <row r="678" ht="11.4" customHeight="1">
      <c r="A678" s="67" t="inlineStr">
        <is>
          <t>70</t>
        </is>
      </c>
      <c r="B678" s="67" t="inlineStr">
        <is>
          <t>1068</t>
        </is>
      </c>
      <c r="C678" s="67" t="inlineStr">
        <is>
          <t>1646</t>
        </is>
      </c>
      <c r="D678" s="68" t="inlineStr">
        <is>
          <t>01</t>
        </is>
      </c>
      <c r="E678" s="68" t="inlineStr">
        <is>
          <t>6 物业施工费</t>
        </is>
      </c>
      <c r="F678" s="68" t="inlineStr">
        <is>
          <t>6.1 总承包工程</t>
        </is>
      </c>
      <c r="G678" s="68" t="inlineStr">
        <is>
          <t>6.1.2A 电气工程-灯具主材</t>
        </is>
      </c>
      <c r="H678" s="68" t="inlineStr">
        <is>
          <t>灯具主材-大堂</t>
        </is>
      </c>
      <c r="I678" s="69" t="inlineStr">
        <is>
          <t>1000021531</t>
        </is>
      </c>
      <c r="J678" s="69" t="inlineStr">
        <is>
          <t>PHILIPS圆形嵌入式 LED 筒灯  L5</t>
        </is>
      </c>
      <c r="K678" s="70" t="n"/>
      <c r="L678" s="70" t="n"/>
      <c r="M678" s="71" t="inlineStr">
        <is>
          <t>个</t>
        </is>
      </c>
      <c r="N678" s="72" t="n">
        <v>152.56</v>
      </c>
      <c r="O678" s="72">
        <f>ROUND(N678*(1+$F$10),2)</f>
        <v/>
      </c>
      <c r="P678" s="73">
        <f>ROUND(K678*N678,2)</f>
        <v/>
      </c>
      <c r="Q678" s="74">
        <f>ROUND(L678*N678,2)</f>
        <v/>
      </c>
      <c r="R678" s="75" t="n"/>
      <c r="S678" s="76" t="n"/>
      <c r="T678" s="77">
        <f>K678-L678</f>
        <v/>
      </c>
      <c r="U678" s="77">
        <f>P678-Q678</f>
        <v/>
      </c>
      <c r="V678" s="77">
        <f>ABS(U678)</f>
        <v/>
      </c>
      <c r="W678" s="78">
        <f>T678/L678</f>
        <v/>
      </c>
      <c r="X678" s="79">
        <f>ABS(W678)</f>
        <v/>
      </c>
      <c r="AG678" s="80" t="inlineStr">
        <is>
          <t>个数</t>
        </is>
      </c>
    </row>
    <row r="679" ht="11.4" customHeight="1">
      <c r="A679" s="67" t="inlineStr">
        <is>
          <t>70</t>
        </is>
      </c>
      <c r="B679" s="67" t="inlineStr">
        <is>
          <t>1068</t>
        </is>
      </c>
      <c r="C679" s="67" t="inlineStr">
        <is>
          <t>1646</t>
        </is>
      </c>
      <c r="D679" s="68" t="inlineStr">
        <is>
          <t>01</t>
        </is>
      </c>
      <c r="E679" s="68" t="inlineStr">
        <is>
          <t>6 物业施工费</t>
        </is>
      </c>
      <c r="F679" s="68" t="inlineStr">
        <is>
          <t>6.1 总承包工程</t>
        </is>
      </c>
      <c r="G679" s="68" t="inlineStr">
        <is>
          <t>6.1.2A 电气工程-灯具主材</t>
        </is>
      </c>
      <c r="H679" s="68" t="inlineStr">
        <is>
          <t>灯具主材-大堂</t>
        </is>
      </c>
      <c r="I679" s="69" t="inlineStr">
        <is>
          <t>1000021532</t>
        </is>
      </c>
      <c r="J679" s="69" t="inlineStr">
        <is>
          <t>PHILIPS方形嵌入式 LED 筒灯  L5</t>
        </is>
      </c>
      <c r="K679" s="70" t="n">
        <v>19</v>
      </c>
      <c r="L679" s="70" t="n">
        <v>19</v>
      </c>
      <c r="M679" s="71" t="inlineStr">
        <is>
          <t>个</t>
        </is>
      </c>
      <c r="N679" s="72" t="n">
        <v>222.6</v>
      </c>
      <c r="O679" s="72">
        <f>ROUND(N679*(1+$F$10),2)</f>
        <v/>
      </c>
      <c r="P679" s="73">
        <f>ROUND(K679*N679,2)</f>
        <v/>
      </c>
      <c r="Q679" s="74">
        <f>ROUND(L679*N679,2)</f>
        <v/>
      </c>
      <c r="R679" s="75" t="n"/>
      <c r="S679" s="76" t="n"/>
      <c r="T679" s="77">
        <f>K679-L679</f>
        <v/>
      </c>
      <c r="U679" s="77">
        <f>P679-Q679</f>
        <v/>
      </c>
      <c r="V679" s="77">
        <f>ABS(U679)</f>
        <v/>
      </c>
      <c r="W679" s="78">
        <f>T679/L679</f>
        <v/>
      </c>
      <c r="X679" s="79">
        <f>ABS(W679)</f>
        <v/>
      </c>
      <c r="AG679" s="80" t="inlineStr">
        <is>
          <t>个数</t>
        </is>
      </c>
    </row>
    <row r="680" ht="11.4" customHeight="1">
      <c r="A680" s="67" t="inlineStr">
        <is>
          <t>70</t>
        </is>
      </c>
      <c r="B680" s="67" t="inlineStr">
        <is>
          <t>1068</t>
        </is>
      </c>
      <c r="C680" s="67" t="inlineStr">
        <is>
          <t>1646</t>
        </is>
      </c>
      <c r="D680" s="68" t="inlineStr">
        <is>
          <t>01</t>
        </is>
      </c>
      <c r="E680" s="68" t="inlineStr">
        <is>
          <t>6 物业施工费</t>
        </is>
      </c>
      <c r="F680" s="68" t="inlineStr">
        <is>
          <t>6.1 总承包工程</t>
        </is>
      </c>
      <c r="G680" s="68" t="inlineStr">
        <is>
          <t>6.1.2A 电气工程-灯具主材</t>
        </is>
      </c>
      <c r="H680" s="68" t="inlineStr">
        <is>
          <t>灯具主材-大堂</t>
        </is>
      </c>
      <c r="I680" s="69" t="inlineStr">
        <is>
          <t>1000021530</t>
        </is>
      </c>
      <c r="J680" s="69" t="inlineStr">
        <is>
          <t>PHILIPS圆形嵌入式 LED 防尘防水筒灯  L6</t>
        </is>
      </c>
      <c r="K680" s="70" t="n">
        <v>3</v>
      </c>
      <c r="L680" s="70" t="n">
        <v>3</v>
      </c>
      <c r="M680" s="71" t="inlineStr">
        <is>
          <t>个</t>
        </is>
      </c>
      <c r="N680" s="72" t="n">
        <v>86.09999999999999</v>
      </c>
      <c r="O680" s="72">
        <f>ROUND(N680*(1+$F$10),2)</f>
        <v/>
      </c>
      <c r="P680" s="73">
        <f>ROUND(K680*N680,2)</f>
        <v/>
      </c>
      <c r="Q680" s="74">
        <f>ROUND(L680*N680,2)</f>
        <v/>
      </c>
      <c r="R680" s="75" t="n"/>
      <c r="S680" s="76" t="n"/>
      <c r="T680" s="77">
        <f>K680-L680</f>
        <v/>
      </c>
      <c r="U680" s="77">
        <f>P680-Q680</f>
        <v/>
      </c>
      <c r="V680" s="77">
        <f>ABS(U680)</f>
        <v/>
      </c>
      <c r="W680" s="78">
        <f>T680/L680</f>
        <v/>
      </c>
      <c r="X680" s="79">
        <f>ABS(W680)</f>
        <v/>
      </c>
      <c r="AG680" s="80" t="inlineStr">
        <is>
          <t>个数</t>
        </is>
      </c>
    </row>
    <row r="681" ht="11.4" customHeight="1">
      <c r="A681" s="67" t="inlineStr">
        <is>
          <t>70</t>
        </is>
      </c>
      <c r="B681" s="67" t="inlineStr">
        <is>
          <t>1068</t>
        </is>
      </c>
      <c r="C681" s="67" t="inlineStr">
        <is>
          <t>1646</t>
        </is>
      </c>
      <c r="D681" s="68" t="inlineStr">
        <is>
          <t>01</t>
        </is>
      </c>
      <c r="E681" s="68" t="inlineStr">
        <is>
          <t>6 物业施工费</t>
        </is>
      </c>
      <c r="F681" s="68" t="inlineStr">
        <is>
          <t>6.1 总承包工程</t>
        </is>
      </c>
      <c r="G681" s="68" t="inlineStr">
        <is>
          <t>6.1.2A 电气工程-灯具主材</t>
        </is>
      </c>
      <c r="H681" s="68" t="inlineStr">
        <is>
          <t>灯具主材-大堂</t>
        </is>
      </c>
      <c r="I681" s="69" t="inlineStr">
        <is>
          <t>1000021561</t>
        </is>
      </c>
      <c r="J681" s="69" t="inlineStr">
        <is>
          <t>PHILIPS圆形嵌入式LED防水型射灯 L9</t>
        </is>
      </c>
      <c r="K681" s="70" t="n"/>
      <c r="L681" s="70" t="n"/>
      <c r="M681" s="71" t="inlineStr">
        <is>
          <t>个</t>
        </is>
      </c>
      <c r="N681" s="72" t="n">
        <v>261.15</v>
      </c>
      <c r="O681" s="72">
        <f>ROUND(N681*(1+$F$10),2)</f>
        <v/>
      </c>
      <c r="P681" s="73">
        <f>ROUND(K681*N681,2)</f>
        <v/>
      </c>
      <c r="Q681" s="74">
        <f>ROUND(L681*N681,2)</f>
        <v/>
      </c>
      <c r="R681" s="75" t="n"/>
      <c r="S681" s="76" t="n"/>
      <c r="T681" s="77">
        <f>K681-L681</f>
        <v/>
      </c>
      <c r="U681" s="77">
        <f>P681-Q681</f>
        <v/>
      </c>
      <c r="V681" s="77">
        <f>ABS(U681)</f>
        <v/>
      </c>
      <c r="W681" s="78">
        <f>T681/L681</f>
        <v/>
      </c>
      <c r="X681" s="79">
        <f>ABS(W681)</f>
        <v/>
      </c>
      <c r="AG681" s="80" t="inlineStr">
        <is>
          <t>个数</t>
        </is>
      </c>
    </row>
    <row r="682" ht="11.4" customHeight="1">
      <c r="A682" s="67" t="inlineStr">
        <is>
          <t>70</t>
        </is>
      </c>
      <c r="B682" s="67" t="inlineStr">
        <is>
          <t>1068</t>
        </is>
      </c>
      <c r="C682" s="67" t="inlineStr">
        <is>
          <t>1646</t>
        </is>
      </c>
      <c r="D682" s="68" t="inlineStr">
        <is>
          <t>01</t>
        </is>
      </c>
      <c r="E682" s="68" t="inlineStr">
        <is>
          <t>6 物业施工费</t>
        </is>
      </c>
      <c r="F682" s="68" t="inlineStr">
        <is>
          <t>6.1 总承包工程</t>
        </is>
      </c>
      <c r="G682" s="68" t="inlineStr">
        <is>
          <t>6.1.2A 电气工程-灯具主材</t>
        </is>
      </c>
      <c r="H682" s="68" t="inlineStr">
        <is>
          <t>灯具主材-大堂</t>
        </is>
      </c>
      <c r="I682" s="69" t="inlineStr">
        <is>
          <t>1000021536</t>
        </is>
      </c>
      <c r="J682" s="69" t="inlineStr">
        <is>
          <t>PHILIPS 圆形吊灯 LO1</t>
        </is>
      </c>
      <c r="K682" s="70" t="n"/>
      <c r="L682" s="70" t="n"/>
      <c r="M682" s="71" t="inlineStr">
        <is>
          <t>个</t>
        </is>
      </c>
      <c r="N682" s="72" t="n">
        <v>420</v>
      </c>
      <c r="O682" s="72">
        <f>ROUND(N682*(1+$F$10),2)</f>
        <v/>
      </c>
      <c r="P682" s="73">
        <f>ROUND(K682*N682,2)</f>
        <v/>
      </c>
      <c r="Q682" s="74">
        <f>ROUND(L682*N682,2)</f>
        <v/>
      </c>
      <c r="R682" s="75" t="n"/>
      <c r="S682" s="76" t="n"/>
      <c r="T682" s="77">
        <f>K682-L682</f>
        <v/>
      </c>
      <c r="U682" s="77">
        <f>P682-Q682</f>
        <v/>
      </c>
      <c r="V682" s="77">
        <f>ABS(U682)</f>
        <v/>
      </c>
      <c r="W682" s="78">
        <f>T682/L682</f>
        <v/>
      </c>
      <c r="X682" s="79">
        <f>ABS(W682)</f>
        <v/>
      </c>
      <c r="AG682" s="80" t="inlineStr">
        <is>
          <t>个数</t>
        </is>
      </c>
    </row>
    <row r="683" ht="11.4" customHeight="1">
      <c r="A683" s="67" t="inlineStr">
        <is>
          <t>70</t>
        </is>
      </c>
      <c r="B683" s="67" t="inlineStr">
        <is>
          <t>1068</t>
        </is>
      </c>
      <c r="C683" s="67" t="inlineStr">
        <is>
          <t>1646</t>
        </is>
      </c>
      <c r="D683" s="68" t="inlineStr">
        <is>
          <t>01</t>
        </is>
      </c>
      <c r="E683" s="68" t="inlineStr">
        <is>
          <t>6 物业施工费</t>
        </is>
      </c>
      <c r="F683" s="68" t="inlineStr">
        <is>
          <t>6.1 总承包工程</t>
        </is>
      </c>
      <c r="G683" s="68" t="inlineStr">
        <is>
          <t>6.1.2A 电气工程-灯具主材</t>
        </is>
      </c>
      <c r="H683" s="68" t="inlineStr">
        <is>
          <t>灯具主材-大堂</t>
        </is>
      </c>
      <c r="I683" s="69" t="inlineStr">
        <is>
          <t>1000041828</t>
        </is>
      </c>
      <c r="J683" s="69" t="inlineStr">
        <is>
          <t>PHILIPS双头嵌入式射灯 L02</t>
        </is>
      </c>
      <c r="K683" s="70" t="n"/>
      <c r="L683" s="70" t="n"/>
      <c r="M683" s="71" t="inlineStr">
        <is>
          <t>个</t>
        </is>
      </c>
      <c r="N683" s="72" t="n">
        <v>222.6</v>
      </c>
      <c r="O683" s="72">
        <f>ROUND(N683*(1+$F$10),2)</f>
        <v/>
      </c>
      <c r="P683" s="73">
        <f>ROUND(K683*N683,2)</f>
        <v/>
      </c>
      <c r="Q683" s="74">
        <f>ROUND(L683*N683,2)</f>
        <v/>
      </c>
      <c r="R683" s="75" t="n"/>
      <c r="S683" s="76" t="n"/>
      <c r="T683" s="77">
        <f>K683-L683</f>
        <v/>
      </c>
      <c r="U683" s="77">
        <f>P683-Q683</f>
        <v/>
      </c>
      <c r="V683" s="77">
        <f>ABS(U683)</f>
        <v/>
      </c>
      <c r="W683" s="78">
        <f>T683/L683</f>
        <v/>
      </c>
      <c r="X683" s="79">
        <f>ABS(W683)</f>
        <v/>
      </c>
      <c r="AG683" s="80" t="inlineStr">
        <is>
          <t>个数</t>
        </is>
      </c>
    </row>
    <row r="684" ht="11.4" customHeight="1">
      <c r="A684" s="67" t="inlineStr">
        <is>
          <t>70</t>
        </is>
      </c>
      <c r="B684" s="67" t="inlineStr">
        <is>
          <t>1068</t>
        </is>
      </c>
      <c r="C684" s="67" t="inlineStr">
        <is>
          <t>1646</t>
        </is>
      </c>
      <c r="D684" s="68" t="inlineStr">
        <is>
          <t>01</t>
        </is>
      </c>
      <c r="E684" s="68" t="inlineStr">
        <is>
          <t>6 物业施工费</t>
        </is>
      </c>
      <c r="F684" s="68" t="inlineStr">
        <is>
          <t>6.1 总承包工程</t>
        </is>
      </c>
      <c r="G684" s="68" t="inlineStr">
        <is>
          <t>6.1.2A 电气工程-灯具主材</t>
        </is>
      </c>
      <c r="H684" s="68" t="inlineStr">
        <is>
          <t>灯具主材-大堂</t>
        </is>
      </c>
      <c r="I684" s="69" t="inlineStr">
        <is>
          <t>1000021537</t>
        </is>
      </c>
      <c r="J684" s="69" t="inlineStr">
        <is>
          <t>PHILIPS 暗藏轨道射灯 LO3</t>
        </is>
      </c>
      <c r="K684" s="70" t="n"/>
      <c r="L684" s="70" t="n"/>
      <c r="M684" s="71" t="inlineStr">
        <is>
          <t>个</t>
        </is>
      </c>
      <c r="N684" s="72" t="n">
        <v>173.25</v>
      </c>
      <c r="O684" s="72">
        <f>ROUND(N684*(1+$F$10),2)</f>
        <v/>
      </c>
      <c r="P684" s="73">
        <f>ROUND(K684*N684,2)</f>
        <v/>
      </c>
      <c r="Q684" s="74">
        <f>ROUND(L684*N684,2)</f>
        <v/>
      </c>
      <c r="R684" s="75" t="n"/>
      <c r="S684" s="76" t="n"/>
      <c r="T684" s="77">
        <f>K684-L684</f>
        <v/>
      </c>
      <c r="U684" s="77">
        <f>P684-Q684</f>
        <v/>
      </c>
      <c r="V684" s="77">
        <f>ABS(U684)</f>
        <v/>
      </c>
      <c r="W684" s="78">
        <f>T684/L684</f>
        <v/>
      </c>
      <c r="X684" s="79">
        <f>ABS(W684)</f>
        <v/>
      </c>
      <c r="AG684" s="80" t="inlineStr">
        <is>
          <t>个数</t>
        </is>
      </c>
    </row>
    <row r="685" ht="11.4" customHeight="1">
      <c r="A685" s="67" t="inlineStr">
        <is>
          <t>70</t>
        </is>
      </c>
      <c r="B685" s="67" t="inlineStr">
        <is>
          <t>1068</t>
        </is>
      </c>
      <c r="C685" s="67" t="inlineStr">
        <is>
          <t>1646</t>
        </is>
      </c>
      <c r="D685" s="68" t="inlineStr">
        <is>
          <t>01</t>
        </is>
      </c>
      <c r="E685" s="68" t="inlineStr">
        <is>
          <t>6 物业施工费</t>
        </is>
      </c>
      <c r="F685" s="68" t="inlineStr">
        <is>
          <t>6.1 总承包工程</t>
        </is>
      </c>
      <c r="G685" s="68" t="inlineStr">
        <is>
          <t>6.1.2A 电气工程-灯具主材</t>
        </is>
      </c>
      <c r="H685" s="68" t="inlineStr">
        <is>
          <t>灯具主材-大堂</t>
        </is>
      </c>
      <c r="I685" s="69" t="inlineStr">
        <is>
          <t>1000041827</t>
        </is>
      </c>
      <c r="J685" s="69" t="inlineStr">
        <is>
          <t>PHILIPS圆形嵌入式射灯 L04</t>
        </is>
      </c>
      <c r="K685" s="70" t="n"/>
      <c r="L685" s="70" t="n"/>
      <c r="M685" s="71" t="inlineStr">
        <is>
          <t>个</t>
        </is>
      </c>
      <c r="N685" s="72" t="n">
        <v>134.4</v>
      </c>
      <c r="O685" s="72">
        <f>ROUND(N685*(1+$F$10),2)</f>
        <v/>
      </c>
      <c r="P685" s="73">
        <f>ROUND(K685*N685,2)</f>
        <v/>
      </c>
      <c r="Q685" s="74">
        <f>ROUND(L685*N685,2)</f>
        <v/>
      </c>
      <c r="R685" s="75" t="n"/>
      <c r="S685" s="76" t="n"/>
      <c r="T685" s="77">
        <f>K685-L685</f>
        <v/>
      </c>
      <c r="U685" s="77">
        <f>P685-Q685</f>
        <v/>
      </c>
      <c r="V685" s="77">
        <f>ABS(U685)</f>
        <v/>
      </c>
      <c r="W685" s="78">
        <f>T685/L685</f>
        <v/>
      </c>
      <c r="X685" s="79">
        <f>ABS(W685)</f>
        <v/>
      </c>
      <c r="AG685" s="80" t="inlineStr">
        <is>
          <t>个数</t>
        </is>
      </c>
    </row>
    <row r="686" ht="11.4" customHeight="1">
      <c r="A686" s="67" t="inlineStr">
        <is>
          <t>70</t>
        </is>
      </c>
      <c r="B686" s="67" t="inlineStr">
        <is>
          <t>1068</t>
        </is>
      </c>
      <c r="C686" s="67" t="inlineStr">
        <is>
          <t>1646</t>
        </is>
      </c>
      <c r="D686" s="68" t="inlineStr">
        <is>
          <t>01</t>
        </is>
      </c>
      <c r="E686" s="68" t="inlineStr">
        <is>
          <t>6 物业施工费</t>
        </is>
      </c>
      <c r="F686" s="68" t="inlineStr">
        <is>
          <t>6.1 总承包工程</t>
        </is>
      </c>
      <c r="G686" s="68" t="inlineStr">
        <is>
          <t>6.1.2A 电气工程-灯具主材</t>
        </is>
      </c>
      <c r="H686" s="68" t="inlineStr">
        <is>
          <t>灯具主材-大堂</t>
        </is>
      </c>
      <c r="I686" s="69" t="inlineStr">
        <is>
          <t>1000021541</t>
        </is>
      </c>
      <c r="J686" s="69" t="inlineStr">
        <is>
          <t>PHILIPS 长条壁灯 L07</t>
        </is>
      </c>
      <c r="K686" s="70" t="n"/>
      <c r="L686" s="70" t="n"/>
      <c r="M686" s="71" t="inlineStr">
        <is>
          <t>个</t>
        </is>
      </c>
      <c r="N686" s="72" t="n">
        <v>498.75</v>
      </c>
      <c r="O686" s="72">
        <f>ROUND(N686*(1+$F$10),2)</f>
        <v/>
      </c>
      <c r="P686" s="73">
        <f>ROUND(K686*N686,2)</f>
        <v/>
      </c>
      <c r="Q686" s="74">
        <f>ROUND(L686*N686,2)</f>
        <v/>
      </c>
      <c r="R686" s="75" t="n"/>
      <c r="S686" s="76" t="n"/>
      <c r="T686" s="77">
        <f>K686-L686</f>
        <v/>
      </c>
      <c r="U686" s="77">
        <f>P686-Q686</f>
        <v/>
      </c>
      <c r="V686" s="77">
        <f>ABS(U686)</f>
        <v/>
      </c>
      <c r="W686" s="78">
        <f>T686/L686</f>
        <v/>
      </c>
      <c r="X686" s="79">
        <f>ABS(W686)</f>
        <v/>
      </c>
      <c r="AG686" s="80" t="inlineStr">
        <is>
          <t>个数</t>
        </is>
      </c>
    </row>
    <row r="687" ht="11.4" customHeight="1">
      <c r="A687" s="67" t="inlineStr">
        <is>
          <t>70</t>
        </is>
      </c>
      <c r="B687" s="67" t="inlineStr">
        <is>
          <t>1068</t>
        </is>
      </c>
      <c r="C687" s="67" t="inlineStr">
        <is>
          <t>1646</t>
        </is>
      </c>
      <c r="D687" s="68" t="inlineStr">
        <is>
          <t>01</t>
        </is>
      </c>
      <c r="E687" s="68" t="inlineStr">
        <is>
          <t>6 物业施工费</t>
        </is>
      </c>
      <c r="F687" s="68" t="inlineStr">
        <is>
          <t>6.1 总承包工程</t>
        </is>
      </c>
      <c r="G687" s="68" t="inlineStr">
        <is>
          <t>6.1.2A 电气工程-灯具主材</t>
        </is>
      </c>
      <c r="H687" s="68" t="inlineStr">
        <is>
          <t>灯具主材-大堂</t>
        </is>
      </c>
      <c r="I687" s="69" t="inlineStr">
        <is>
          <t>1000021542</t>
        </is>
      </c>
      <c r="J687" s="69" t="inlineStr">
        <is>
          <t>PHILIPS Wall Light L08</t>
        </is>
      </c>
      <c r="K687" s="70" t="n"/>
      <c r="L687" s="70" t="n"/>
      <c r="M687" s="71" t="inlineStr">
        <is>
          <t>个</t>
        </is>
      </c>
      <c r="N687" s="72" t="n">
        <v>346.5</v>
      </c>
      <c r="O687" s="72">
        <f>ROUND(N687*(1+$F$10),2)</f>
        <v/>
      </c>
      <c r="P687" s="73">
        <f>ROUND(K687*N687,2)</f>
        <v/>
      </c>
      <c r="Q687" s="74">
        <f>ROUND(L687*N687,2)</f>
        <v/>
      </c>
      <c r="R687" s="75" t="n"/>
      <c r="S687" s="76" t="n"/>
      <c r="T687" s="77">
        <f>K687-L687</f>
        <v/>
      </c>
      <c r="U687" s="77">
        <f>P687-Q687</f>
        <v/>
      </c>
      <c r="V687" s="77">
        <f>ABS(U687)</f>
        <v/>
      </c>
      <c r="W687" s="78">
        <f>T687/L687</f>
        <v/>
      </c>
      <c r="X687" s="79">
        <f>ABS(W687)</f>
        <v/>
      </c>
      <c r="AG687" s="80" t="inlineStr">
        <is>
          <t>个数</t>
        </is>
      </c>
    </row>
    <row r="688" ht="11.4" customHeight="1">
      <c r="A688" s="67" t="inlineStr">
        <is>
          <t>70</t>
        </is>
      </c>
      <c r="B688" s="67" t="inlineStr">
        <is>
          <t>1068</t>
        </is>
      </c>
      <c r="C688" s="67" t="inlineStr">
        <is>
          <t>1646</t>
        </is>
      </c>
      <c r="D688" s="68" t="inlineStr">
        <is>
          <t>01</t>
        </is>
      </c>
      <c r="E688" s="68" t="inlineStr">
        <is>
          <t>6 物业施工费</t>
        </is>
      </c>
      <c r="F688" s="68" t="inlineStr">
        <is>
          <t>6.1 总承包工程</t>
        </is>
      </c>
      <c r="G688" s="68" t="inlineStr">
        <is>
          <t>6.1.2A 电气工程-灯具主材</t>
        </is>
      </c>
      <c r="H688" s="68" t="inlineStr">
        <is>
          <t>灯具主材-大堂</t>
        </is>
      </c>
      <c r="I688" s="69" t="inlineStr">
        <is>
          <t>1000021543</t>
        </is>
      </c>
      <c r="J688" s="69" t="inlineStr">
        <is>
          <t>PHILIPS LED灯带 L09</t>
        </is>
      </c>
      <c r="K688" s="70" t="n"/>
      <c r="L688" s="70" t="n"/>
      <c r="M688" s="71" t="inlineStr">
        <is>
          <t>米</t>
        </is>
      </c>
      <c r="N688" s="72" t="n">
        <v>42</v>
      </c>
      <c r="O688" s="72">
        <f>ROUND(N688*(1+$F$10),2)</f>
        <v/>
      </c>
      <c r="P688" s="73">
        <f>ROUND(K688*N688,2)</f>
        <v/>
      </c>
      <c r="Q688" s="74">
        <f>ROUND(L688*N688,2)</f>
        <v/>
      </c>
      <c r="R688" s="75" t="n"/>
      <c r="S688" s="76" t="n"/>
      <c r="T688" s="77">
        <f>K688-L688</f>
        <v/>
      </c>
      <c r="U688" s="77">
        <f>P688-Q688</f>
        <v/>
      </c>
      <c r="V688" s="77">
        <f>ABS(U688)</f>
        <v/>
      </c>
      <c r="W688" s="78">
        <f>T688/L688</f>
        <v/>
      </c>
      <c r="X688" s="79">
        <f>ABS(W688)</f>
        <v/>
      </c>
      <c r="AH688" s="80" t="inlineStr">
        <is>
          <t>待定</t>
        </is>
      </c>
    </row>
    <row r="689" ht="11.4" customHeight="1">
      <c r="A689" s="67" t="inlineStr">
        <is>
          <t>70</t>
        </is>
      </c>
      <c r="B689" s="67" t="inlineStr">
        <is>
          <t>1068</t>
        </is>
      </c>
      <c r="C689" s="67" t="inlineStr">
        <is>
          <t>1646</t>
        </is>
      </c>
      <c r="D689" s="68" t="inlineStr">
        <is>
          <t>01</t>
        </is>
      </c>
      <c r="E689" s="68" t="inlineStr">
        <is>
          <t>6 物业施工费</t>
        </is>
      </c>
      <c r="F689" s="68" t="inlineStr">
        <is>
          <t>6.1 总承包工程</t>
        </is>
      </c>
      <c r="G689" s="68" t="inlineStr">
        <is>
          <t>6.1.2A 电气工程-灯具主材</t>
        </is>
      </c>
      <c r="H689" s="68" t="inlineStr">
        <is>
          <t>灯具主材-大堂</t>
        </is>
      </c>
      <c r="I689" s="69" t="inlineStr">
        <is>
          <t>1000021538</t>
        </is>
      </c>
      <c r="J689" s="69" t="inlineStr">
        <is>
          <t>PHILIPS L05配套导轨 Track L=2000mm</t>
        </is>
      </c>
      <c r="K689" s="70" t="n"/>
      <c r="L689" s="70" t="n"/>
      <c r="M689" s="71" t="inlineStr">
        <is>
          <t>个</t>
        </is>
      </c>
      <c r="N689" s="72" t="n">
        <v>75.59999999999999</v>
      </c>
      <c r="O689" s="72">
        <f>ROUND(N689*(1+$F$10),2)</f>
        <v/>
      </c>
      <c r="P689" s="73">
        <f>ROUND(K689*N689,2)</f>
        <v/>
      </c>
      <c r="Q689" s="74">
        <f>ROUND(L689*N689,2)</f>
        <v/>
      </c>
      <c r="R689" s="75" t="n"/>
      <c r="S689" s="76" t="n"/>
      <c r="T689" s="77">
        <f>K689-L689</f>
        <v/>
      </c>
      <c r="U689" s="77">
        <f>P689-Q689</f>
        <v/>
      </c>
      <c r="V689" s="77">
        <f>ABS(U689)</f>
        <v/>
      </c>
      <c r="W689" s="78">
        <f>T689/L689</f>
        <v/>
      </c>
      <c r="X689" s="79">
        <f>ABS(W689)</f>
        <v/>
      </c>
      <c r="AG689" s="80" t="inlineStr">
        <is>
          <t>公式</t>
        </is>
      </c>
    </row>
    <row r="690" ht="11.4" customHeight="1">
      <c r="A690" s="67" t="inlineStr">
        <is>
          <t>70</t>
        </is>
      </c>
      <c r="B690" s="67" t="inlineStr">
        <is>
          <t>1068</t>
        </is>
      </c>
      <c r="C690" s="67" t="inlineStr">
        <is>
          <t>1646</t>
        </is>
      </c>
      <c r="D690" s="68" t="inlineStr">
        <is>
          <t>01</t>
        </is>
      </c>
      <c r="E690" s="68" t="inlineStr">
        <is>
          <t>6 物业施工费</t>
        </is>
      </c>
      <c r="F690" s="68" t="inlineStr">
        <is>
          <t>6.1 总承包工程</t>
        </is>
      </c>
      <c r="G690" s="68" t="inlineStr">
        <is>
          <t>6.1.2A 电气工程-灯具主材</t>
        </is>
      </c>
      <c r="H690" s="68" t="inlineStr">
        <is>
          <t>灯具主材-大堂</t>
        </is>
      </c>
      <c r="I690" s="69" t="inlineStr">
        <is>
          <t>1000021539</t>
        </is>
      </c>
      <c r="J690" s="69" t="inlineStr">
        <is>
          <t>PHILIPS L05配套导轨 Track L=1000mm</t>
        </is>
      </c>
      <c r="K690" s="70" t="n"/>
      <c r="L690" s="70" t="n"/>
      <c r="M690" s="71" t="inlineStr">
        <is>
          <t>个</t>
        </is>
      </c>
      <c r="N690" s="72" t="n">
        <v>38.85</v>
      </c>
      <c r="O690" s="72">
        <f>ROUND(N690*(1+$F$10),2)</f>
        <v/>
      </c>
      <c r="P690" s="73">
        <f>ROUND(K690*N690,2)</f>
        <v/>
      </c>
      <c r="Q690" s="74">
        <f>ROUND(L690*N690,2)</f>
        <v/>
      </c>
      <c r="R690" s="75" t="n"/>
      <c r="S690" s="76" t="n"/>
      <c r="T690" s="77">
        <f>K690-L690</f>
        <v/>
      </c>
      <c r="U690" s="77">
        <f>P690-Q690</f>
        <v/>
      </c>
      <c r="V690" s="77">
        <f>ABS(U690)</f>
        <v/>
      </c>
      <c r="W690" s="78">
        <f>T690/L690</f>
        <v/>
      </c>
      <c r="X690" s="79">
        <f>ABS(W690)</f>
        <v/>
      </c>
      <c r="AG690" s="80" t="inlineStr">
        <is>
          <t>公式</t>
        </is>
      </c>
    </row>
    <row r="691" ht="11.4" customHeight="1">
      <c r="A691" s="67" t="inlineStr">
        <is>
          <t>70</t>
        </is>
      </c>
      <c r="B691" s="67" t="inlineStr">
        <is>
          <t>1068</t>
        </is>
      </c>
      <c r="C691" s="67" t="inlineStr">
        <is>
          <t>1646</t>
        </is>
      </c>
      <c r="D691" s="68" t="inlineStr">
        <is>
          <t>01</t>
        </is>
      </c>
      <c r="E691" s="68" t="inlineStr">
        <is>
          <t>6 物业施工费</t>
        </is>
      </c>
      <c r="F691" s="68" t="inlineStr">
        <is>
          <t>6.1 总承包工程</t>
        </is>
      </c>
      <c r="G691" s="68" t="inlineStr">
        <is>
          <t>6.1.2A 电气工程-灯具主材</t>
        </is>
      </c>
      <c r="H691" s="68" t="inlineStr">
        <is>
          <t>灯具主材-大堂</t>
        </is>
      </c>
      <c r="I691" s="69" t="inlineStr">
        <is>
          <t>1000021540</t>
        </is>
      </c>
      <c r="J691" s="69" t="inlineStr">
        <is>
          <t>PHILIPS L05配套导轨连接件 Track connector</t>
        </is>
      </c>
      <c r="K691" s="70" t="n"/>
      <c r="L691" s="70" t="n"/>
      <c r="M691" s="71" t="inlineStr">
        <is>
          <t>个</t>
        </is>
      </c>
      <c r="N691" s="72" t="n">
        <v>8.4</v>
      </c>
      <c r="O691" s="72">
        <f>ROUND(N691*(1+$F$10),2)</f>
        <v/>
      </c>
      <c r="P691" s="73">
        <f>ROUND(K691*N691,2)</f>
        <v/>
      </c>
      <c r="Q691" s="74">
        <f>ROUND(L691*N691,2)</f>
        <v/>
      </c>
      <c r="R691" s="75" t="n"/>
      <c r="S691" s="76" t="n"/>
      <c r="T691" s="77">
        <f>K691-L691</f>
        <v/>
      </c>
      <c r="U691" s="77">
        <f>P691-Q691</f>
        <v/>
      </c>
      <c r="V691" s="77">
        <f>ABS(U691)</f>
        <v/>
      </c>
      <c r="W691" s="78">
        <f>T691/L691</f>
        <v/>
      </c>
      <c r="X691" s="79">
        <f>ABS(W691)</f>
        <v/>
      </c>
      <c r="AG691" s="80" t="inlineStr">
        <is>
          <t>公式</t>
        </is>
      </c>
    </row>
    <row r="692" ht="11.4" customHeight="1">
      <c r="A692" s="67" t="inlineStr">
        <is>
          <t>70</t>
        </is>
      </c>
      <c r="B692" s="67" t="inlineStr">
        <is>
          <t>1068</t>
        </is>
      </c>
      <c r="C692" s="67" t="inlineStr">
        <is>
          <t>1646</t>
        </is>
      </c>
      <c r="D692" s="68" t="inlineStr">
        <is>
          <t>01</t>
        </is>
      </c>
      <c r="E692" s="68" t="inlineStr">
        <is>
          <t>6 物业施工费</t>
        </is>
      </c>
      <c r="F692" s="68" t="inlineStr">
        <is>
          <t>6.1 总承包工程</t>
        </is>
      </c>
      <c r="G692" s="68" t="inlineStr">
        <is>
          <t>6.1.2A 电气工程-灯具主材</t>
        </is>
      </c>
      <c r="H692" s="68" t="inlineStr">
        <is>
          <t>灯具主材-大堂</t>
        </is>
      </c>
      <c r="I692" s="69" t="inlineStr">
        <is>
          <t>1000021544</t>
        </is>
      </c>
      <c r="J692" s="69" t="inlineStr">
        <is>
          <t>PHILIPS L09配套电源变压器（每10米配备一个）</t>
        </is>
      </c>
      <c r="K692" s="70" t="n"/>
      <c r="L692" s="70" t="n"/>
      <c r="M692" s="71" t="inlineStr">
        <is>
          <t>个</t>
        </is>
      </c>
      <c r="N692" s="72" t="n">
        <v>119.7</v>
      </c>
      <c r="O692" s="72">
        <f>ROUND(N692*(1+$F$10),2)</f>
        <v/>
      </c>
      <c r="P692" s="73">
        <f>ROUND(K692*N692,2)</f>
        <v/>
      </c>
      <c r="Q692" s="74">
        <f>ROUND(L692*N692,2)</f>
        <v/>
      </c>
      <c r="R692" s="75" t="n"/>
      <c r="S692" s="76" t="n"/>
      <c r="T692" s="77">
        <f>K692-L692</f>
        <v/>
      </c>
      <c r="U692" s="77">
        <f>P692-Q692</f>
        <v/>
      </c>
      <c r="V692" s="77">
        <f>ABS(U692)</f>
        <v/>
      </c>
      <c r="W692" s="78">
        <f>T692/L692</f>
        <v/>
      </c>
      <c r="X692" s="79">
        <f>ABS(W692)</f>
        <v/>
      </c>
      <c r="AH692" s="80" t="inlineStr">
        <is>
          <t>待定</t>
        </is>
      </c>
    </row>
    <row r="693" ht="11.4" customHeight="1">
      <c r="A693" s="67" t="inlineStr">
        <is>
          <t>70</t>
        </is>
      </c>
      <c r="B693" s="67" t="inlineStr">
        <is>
          <t>1068</t>
        </is>
      </c>
      <c r="C693" s="67" t="inlineStr">
        <is>
          <t>1646</t>
        </is>
      </c>
      <c r="D693" s="68" t="inlineStr">
        <is>
          <t>01</t>
        </is>
      </c>
      <c r="E693" s="68" t="inlineStr">
        <is>
          <t>6 物业施工费</t>
        </is>
      </c>
      <c r="F693" s="68" t="inlineStr">
        <is>
          <t>6.1 总承包工程</t>
        </is>
      </c>
      <c r="G693" s="68" t="inlineStr">
        <is>
          <t>6.1.2A 电气工程-灯具主材</t>
        </is>
      </c>
      <c r="H693" s="68" t="inlineStr">
        <is>
          <t>灯具主材-大堂</t>
        </is>
      </c>
      <c r="I693" s="69" t="inlineStr">
        <is>
          <t>1000021573</t>
        </is>
      </c>
      <c r="J693" s="69" t="inlineStr">
        <is>
          <t>PHILIPS装饰性灯具（吊灯光源L3-E/L4-E）</t>
        </is>
      </c>
      <c r="K693" s="70" t="n"/>
      <c r="L693" s="70" t="n"/>
      <c r="M693" s="71" t="inlineStr">
        <is>
          <t>个</t>
        </is>
      </c>
      <c r="N693" s="72" t="n">
        <v>28.35</v>
      </c>
      <c r="O693" s="72">
        <f>ROUND(N693*(1+$F$10),2)</f>
        <v/>
      </c>
      <c r="P693" s="73">
        <f>ROUND(K693*N693,2)</f>
        <v/>
      </c>
      <c r="Q693" s="74">
        <f>ROUND(L693*N693,2)</f>
        <v/>
      </c>
      <c r="R693" s="75" t="n"/>
      <c r="S693" s="76" t="n"/>
      <c r="T693" s="77">
        <f>K693-L693</f>
        <v/>
      </c>
      <c r="U693" s="77">
        <f>P693-Q693</f>
        <v/>
      </c>
      <c r="V693" s="77">
        <f>ABS(U693)</f>
        <v/>
      </c>
      <c r="W693" s="78">
        <f>T693/L693</f>
        <v/>
      </c>
      <c r="X693" s="79">
        <f>ABS(W693)</f>
        <v/>
      </c>
      <c r="AG693" s="80" t="inlineStr">
        <is>
          <t>个数</t>
        </is>
      </c>
    </row>
    <row r="694" ht="11.4" customHeight="1">
      <c r="A694" s="67" t="inlineStr">
        <is>
          <t>70</t>
        </is>
      </c>
      <c r="B694" s="67" t="inlineStr">
        <is>
          <t>1068</t>
        </is>
      </c>
      <c r="C694" s="67" t="inlineStr">
        <is>
          <t>1646</t>
        </is>
      </c>
      <c r="D694" s="68" t="inlineStr">
        <is>
          <t>01</t>
        </is>
      </c>
      <c r="E694" s="68" t="inlineStr">
        <is>
          <t>6 物业施工费</t>
        </is>
      </c>
      <c r="F694" s="68" t="inlineStr">
        <is>
          <t>6.1 总承包工程</t>
        </is>
      </c>
      <c r="G694" s="68" t="inlineStr">
        <is>
          <t>6.1.2A 电气工程-灯具主材</t>
        </is>
      </c>
      <c r="H694" s="68" t="inlineStr">
        <is>
          <t>灯具主材-大堂</t>
        </is>
      </c>
      <c r="I694" s="69" t="inlineStr">
        <is>
          <t>1000021574</t>
        </is>
      </c>
      <c r="J694" s="69" t="inlineStr">
        <is>
          <t>PHILIPS圆形嵌入式射灯 L1-E</t>
        </is>
      </c>
      <c r="K694" s="70" t="n"/>
      <c r="L694" s="70" t="n"/>
      <c r="M694" s="71" t="inlineStr">
        <is>
          <t>个</t>
        </is>
      </c>
      <c r="N694" s="72" t="n">
        <v>102.9</v>
      </c>
      <c r="O694" s="72">
        <f>ROUND(N694*(1+$F$10),2)</f>
        <v/>
      </c>
      <c r="P694" s="73">
        <f>ROUND(K694*N694,2)</f>
        <v/>
      </c>
      <c r="Q694" s="74">
        <f>ROUND(L694*N694,2)</f>
        <v/>
      </c>
      <c r="R694" s="75" t="n"/>
      <c r="S694" s="76" t="n"/>
      <c r="T694" s="77">
        <f>K694-L694</f>
        <v/>
      </c>
      <c r="U694" s="77">
        <f>P694-Q694</f>
        <v/>
      </c>
      <c r="V694" s="77">
        <f>ABS(U694)</f>
        <v/>
      </c>
      <c r="W694" s="78">
        <f>T694/L694</f>
        <v/>
      </c>
      <c r="X694" s="79">
        <f>ABS(W694)</f>
        <v/>
      </c>
      <c r="AG694" s="80" t="inlineStr">
        <is>
          <t>个数</t>
        </is>
      </c>
    </row>
    <row r="695" ht="11.4" customHeight="1">
      <c r="A695" s="67" t="inlineStr">
        <is>
          <t>70</t>
        </is>
      </c>
      <c r="B695" s="67" t="inlineStr">
        <is>
          <t>1068</t>
        </is>
      </c>
      <c r="C695" s="67" t="inlineStr">
        <is>
          <t>1646</t>
        </is>
      </c>
      <c r="D695" s="68" t="inlineStr">
        <is>
          <t>01</t>
        </is>
      </c>
      <c r="E695" s="68" t="inlineStr">
        <is>
          <t>6 物业施工费</t>
        </is>
      </c>
      <c r="F695" s="68" t="inlineStr">
        <is>
          <t>6.1 总承包工程</t>
        </is>
      </c>
      <c r="G695" s="68" t="inlineStr">
        <is>
          <t>6.1.2A 电气工程-灯具主材</t>
        </is>
      </c>
      <c r="H695" s="68" t="inlineStr">
        <is>
          <t>灯具主材-大堂</t>
        </is>
      </c>
      <c r="I695" s="69" t="inlineStr">
        <is>
          <t>1000021575</t>
        </is>
      </c>
      <c r="J695" s="69" t="inlineStr">
        <is>
          <t>PHILIPS圆形嵌入式射灯 L2-E/L5-E</t>
        </is>
      </c>
      <c r="K695" s="70" t="n"/>
      <c r="L695" s="70" t="n"/>
      <c r="M695" s="71" t="inlineStr">
        <is>
          <t>个</t>
        </is>
      </c>
      <c r="N695" s="72" t="n">
        <v>176.4</v>
      </c>
      <c r="O695" s="72">
        <f>ROUND(N695*(1+$F$10),2)</f>
        <v/>
      </c>
      <c r="P695" s="73">
        <f>ROUND(K695*N695,2)</f>
        <v/>
      </c>
      <c r="Q695" s="74">
        <f>ROUND(L695*N695,2)</f>
        <v/>
      </c>
      <c r="R695" s="75" t="n"/>
      <c r="S695" s="76" t="n"/>
      <c r="T695" s="77">
        <f>K695-L695</f>
        <v/>
      </c>
      <c r="U695" s="77">
        <f>P695-Q695</f>
        <v/>
      </c>
      <c r="V695" s="77">
        <f>ABS(U695)</f>
        <v/>
      </c>
      <c r="W695" s="78">
        <f>T695/L695</f>
        <v/>
      </c>
      <c r="X695" s="79">
        <f>ABS(W695)</f>
        <v/>
      </c>
      <c r="AG695" s="80" t="inlineStr">
        <is>
          <t>个数</t>
        </is>
      </c>
    </row>
    <row r="696" ht="11.4" customHeight="1">
      <c r="A696" s="67" t="inlineStr">
        <is>
          <t>70</t>
        </is>
      </c>
      <c r="B696" s="67" t="inlineStr">
        <is>
          <t>1068</t>
        </is>
      </c>
      <c r="C696" s="67" t="inlineStr">
        <is>
          <t>1646</t>
        </is>
      </c>
      <c r="D696" s="68" t="inlineStr">
        <is>
          <t>01</t>
        </is>
      </c>
      <c r="E696" s="68" t="inlineStr">
        <is>
          <t>6 物业施工费</t>
        </is>
      </c>
      <c r="F696" s="68" t="inlineStr">
        <is>
          <t>6.1 总承包工程</t>
        </is>
      </c>
      <c r="G696" s="68" t="inlineStr">
        <is>
          <t>6.1.2A 电气工程-灯具主材</t>
        </is>
      </c>
      <c r="H696" s="68" t="inlineStr">
        <is>
          <t>灯具主材-大堂</t>
        </is>
      </c>
      <c r="I696" s="69" t="inlineStr">
        <is>
          <t>1000041825</t>
        </is>
      </c>
      <c r="J696" s="69" t="inlineStr">
        <is>
          <t>PHILIPS圆形嵌入式灯 L1-L</t>
        </is>
      </c>
      <c r="K696" s="70" t="n"/>
      <c r="L696" s="70" t="n"/>
      <c r="M696" s="71" t="inlineStr">
        <is>
          <t>个</t>
        </is>
      </c>
      <c r="N696" s="72" t="n">
        <v>176.4</v>
      </c>
      <c r="O696" s="72">
        <f>ROUND(N696*(1+$F$10),2)</f>
        <v/>
      </c>
      <c r="P696" s="73">
        <f>ROUND(K696*N696,2)</f>
        <v/>
      </c>
      <c r="Q696" s="74">
        <f>ROUND(L696*N696,2)</f>
        <v/>
      </c>
      <c r="R696" s="75" t="n"/>
      <c r="S696" s="76" t="n"/>
      <c r="T696" s="77">
        <f>K696-L696</f>
        <v/>
      </c>
      <c r="U696" s="77">
        <f>P696-Q696</f>
        <v/>
      </c>
      <c r="V696" s="77">
        <f>ABS(U696)</f>
        <v/>
      </c>
      <c r="W696" s="78">
        <f>T696/L696</f>
        <v/>
      </c>
      <c r="X696" s="79">
        <f>ABS(W696)</f>
        <v/>
      </c>
      <c r="AG696" s="80" t="inlineStr">
        <is>
          <t>个数</t>
        </is>
      </c>
    </row>
    <row r="697" ht="11.4" customHeight="1">
      <c r="A697" s="67" t="inlineStr">
        <is>
          <t>70</t>
        </is>
      </c>
      <c r="B697" s="67" t="inlineStr">
        <is>
          <t>1068</t>
        </is>
      </c>
      <c r="C697" s="67" t="inlineStr">
        <is>
          <t>1646</t>
        </is>
      </c>
      <c r="D697" s="68" t="inlineStr">
        <is>
          <t>01</t>
        </is>
      </c>
      <c r="E697" s="68" t="inlineStr">
        <is>
          <t>6 物业施工费</t>
        </is>
      </c>
      <c r="F697" s="68" t="inlineStr">
        <is>
          <t>6.1 总承包工程</t>
        </is>
      </c>
      <c r="G697" s="68" t="inlineStr">
        <is>
          <t>6.1.2A 电气工程-灯具主材</t>
        </is>
      </c>
      <c r="H697" s="68" t="inlineStr">
        <is>
          <t>灯具主材-大堂</t>
        </is>
      </c>
      <c r="I697" s="69" t="inlineStr">
        <is>
          <t>1000041824</t>
        </is>
      </c>
      <c r="J697" s="69" t="inlineStr">
        <is>
          <t>PHILIPS圆形嵌入式灯 L2-L</t>
        </is>
      </c>
      <c r="K697" s="70" t="n"/>
      <c r="L697" s="70" t="n"/>
      <c r="M697" s="71" t="inlineStr">
        <is>
          <t>个</t>
        </is>
      </c>
      <c r="N697" s="72" t="n">
        <v>97.65000000000001</v>
      </c>
      <c r="O697" s="72">
        <f>ROUND(N697*(1+$F$10),2)</f>
        <v/>
      </c>
      <c r="P697" s="73">
        <f>ROUND(K697*N697,2)</f>
        <v/>
      </c>
      <c r="Q697" s="74">
        <f>ROUND(L697*N697,2)</f>
        <v/>
      </c>
      <c r="R697" s="75" t="n"/>
      <c r="S697" s="76" t="n"/>
      <c r="T697" s="77">
        <f>K697-L697</f>
        <v/>
      </c>
      <c r="U697" s="77">
        <f>P697-Q697</f>
        <v/>
      </c>
      <c r="V697" s="77">
        <f>ABS(U697)</f>
        <v/>
      </c>
      <c r="W697" s="78">
        <f>T697/L697</f>
        <v/>
      </c>
      <c r="X697" s="79">
        <f>ABS(W697)</f>
        <v/>
      </c>
      <c r="AG697" s="80" t="inlineStr">
        <is>
          <t>个数</t>
        </is>
      </c>
    </row>
    <row r="698" ht="11.4" customHeight="1">
      <c r="A698" s="67" t="inlineStr">
        <is>
          <t>70</t>
        </is>
      </c>
      <c r="B698" s="67" t="inlineStr">
        <is>
          <t>1068</t>
        </is>
      </c>
      <c r="C698" s="67" t="inlineStr">
        <is>
          <t>1646</t>
        </is>
      </c>
      <c r="D698" s="68" t="inlineStr">
        <is>
          <t>01</t>
        </is>
      </c>
      <c r="E698" s="68" t="inlineStr">
        <is>
          <t>6 物业施工费</t>
        </is>
      </c>
      <c r="F698" s="68" t="inlineStr">
        <is>
          <t>6.1 总承包工程</t>
        </is>
      </c>
      <c r="G698" s="68" t="inlineStr">
        <is>
          <t>6.1.2A 电气工程-灯具主材</t>
        </is>
      </c>
      <c r="H698" s="68" t="inlineStr">
        <is>
          <t>灯具主材-大堂</t>
        </is>
      </c>
      <c r="I698" s="69" t="inlineStr">
        <is>
          <t>1000041826</t>
        </is>
      </c>
      <c r="J698" s="69" t="inlineStr">
        <is>
          <t>PHILIPS LED灯带含变压器 L3-L</t>
        </is>
      </c>
      <c r="K698" s="70" t="n"/>
      <c r="L698" s="70" t="n"/>
      <c r="M698" s="71" t="inlineStr">
        <is>
          <t>米</t>
        </is>
      </c>
      <c r="N698" s="72" t="n">
        <v>46.2</v>
      </c>
      <c r="O698" s="72">
        <f>ROUND(N698*(1+$F$10),2)</f>
        <v/>
      </c>
      <c r="P698" s="73">
        <f>ROUND(K698*N698,2)</f>
        <v/>
      </c>
      <c r="Q698" s="74">
        <f>ROUND(L698*N698,2)</f>
        <v/>
      </c>
      <c r="R698" s="75" t="n"/>
      <c r="S698" s="76" t="n"/>
      <c r="T698" s="77">
        <f>K698-L698</f>
        <v/>
      </c>
      <c r="U698" s="77">
        <f>P698-Q698</f>
        <v/>
      </c>
      <c r="V698" s="77">
        <f>ABS(U698)</f>
        <v/>
      </c>
      <c r="W698" s="78">
        <f>T698/L698</f>
        <v/>
      </c>
      <c r="X698" s="79">
        <f>ABS(W698)</f>
        <v/>
      </c>
      <c r="AH698" s="80" t="inlineStr">
        <is>
          <t>待定</t>
        </is>
      </c>
    </row>
    <row r="699" ht="11.4" customHeight="1">
      <c r="A699" s="67" t="inlineStr">
        <is>
          <t>70</t>
        </is>
      </c>
      <c r="B699" s="67" t="inlineStr">
        <is>
          <t>1068</t>
        </is>
      </c>
      <c r="C699" s="67" t="inlineStr">
        <is>
          <t>1646</t>
        </is>
      </c>
      <c r="D699" s="68" t="inlineStr">
        <is>
          <t>01</t>
        </is>
      </c>
      <c r="E699" s="68" t="inlineStr">
        <is>
          <t>6 物业施工费</t>
        </is>
      </c>
      <c r="F699" s="68" t="inlineStr">
        <is>
          <t>6.1 总承包工程</t>
        </is>
      </c>
      <c r="G699" s="68" t="inlineStr">
        <is>
          <t>6.1.1A 电气工程-灯具主材</t>
        </is>
      </c>
      <c r="H699" s="68" t="inlineStr">
        <is>
          <t>灯具主材-大堂</t>
        </is>
      </c>
      <c r="I699" s="69" t="inlineStr">
        <is>
          <t>1000021572</t>
        </is>
      </c>
      <c r="J699" s="69" t="inlineStr">
        <is>
          <t>OSRAM吊灯用LED光源P1</t>
        </is>
      </c>
      <c r="K699" s="70" t="n"/>
      <c r="L699" s="70" t="n"/>
      <c r="M699" s="71" t="inlineStr">
        <is>
          <t>个</t>
        </is>
      </c>
      <c r="N699" s="72" t="n">
        <v>36.75</v>
      </c>
      <c r="O699" s="72">
        <f>ROUND(N699*(1+$F$10),2)</f>
        <v/>
      </c>
      <c r="P699" s="73">
        <f>ROUND(K699*N699,2)</f>
        <v/>
      </c>
      <c r="Q699" s="74">
        <f>ROUND(L699*N699,2)</f>
        <v/>
      </c>
      <c r="R699" s="75" t="n"/>
      <c r="S699" s="76" t="n"/>
      <c r="T699" s="77">
        <f>K699-L699</f>
        <v/>
      </c>
      <c r="U699" s="77">
        <f>P699-Q699</f>
        <v/>
      </c>
      <c r="V699" s="77">
        <f>ABS(U699)</f>
        <v/>
      </c>
      <c r="W699" s="78">
        <f>T699/L699</f>
        <v/>
      </c>
      <c r="X699" s="79">
        <f>ABS(W699)</f>
        <v/>
      </c>
    </row>
    <row r="700" ht="11.4" customHeight="1">
      <c r="A700" s="67" t="inlineStr">
        <is>
          <t>70</t>
        </is>
      </c>
      <c r="B700" s="67" t="inlineStr">
        <is>
          <t>1068</t>
        </is>
      </c>
      <c r="C700" s="67" t="inlineStr">
        <is>
          <t>1646</t>
        </is>
      </c>
      <c r="D700" s="68" t="inlineStr">
        <is>
          <t>01</t>
        </is>
      </c>
      <c r="E700" s="68" t="inlineStr">
        <is>
          <t>6 物业施工费</t>
        </is>
      </c>
      <c r="F700" s="68" t="inlineStr">
        <is>
          <t>6.1 总承包工程</t>
        </is>
      </c>
      <c r="G700" s="68" t="inlineStr">
        <is>
          <t>6.1.2A 电气工程-灯具主材</t>
        </is>
      </c>
      <c r="H700" s="68" t="inlineStr">
        <is>
          <t>灯具主材-大堂</t>
        </is>
      </c>
      <c r="I700" s="69" t="inlineStr">
        <is>
          <t>1000021571</t>
        </is>
      </c>
      <c r="J700" s="69" t="inlineStr">
        <is>
          <t>OSRAM LED 5W应急灯具90分钟E</t>
        </is>
      </c>
      <c r="K700" s="70" t="n"/>
      <c r="L700" s="70" t="n"/>
      <c r="M700" s="71" t="inlineStr">
        <is>
          <t>个</t>
        </is>
      </c>
      <c r="N700" s="72" t="n">
        <v>92.40000000000001</v>
      </c>
      <c r="O700" s="72">
        <f>ROUND(N700*(1+$F$10),2)</f>
        <v/>
      </c>
      <c r="P700" s="73">
        <f>ROUND(K700*N700,2)</f>
        <v/>
      </c>
      <c r="Q700" s="74">
        <f>ROUND(L700*N700,2)</f>
        <v/>
      </c>
      <c r="R700" s="75" t="n"/>
      <c r="S700" s="76" t="n"/>
      <c r="T700" s="77">
        <f>K700-L700</f>
        <v/>
      </c>
      <c r="U700" s="77">
        <f>P700-Q700</f>
        <v/>
      </c>
      <c r="V700" s="77">
        <f>ABS(U700)</f>
        <v/>
      </c>
      <c r="W700" s="78">
        <f>T700/L700</f>
        <v/>
      </c>
      <c r="X700" s="79">
        <f>ABS(W700)</f>
        <v/>
      </c>
      <c r="AG700" s="80" t="inlineStr">
        <is>
          <t>个数</t>
        </is>
      </c>
    </row>
    <row r="701" ht="11.4" customHeight="1">
      <c r="A701" s="67" t="inlineStr">
        <is>
          <t>70</t>
        </is>
      </c>
      <c r="B701" s="67" t="inlineStr">
        <is>
          <t>1068</t>
        </is>
      </c>
      <c r="C701" s="67" t="inlineStr">
        <is>
          <t>1646</t>
        </is>
      </c>
      <c r="D701" s="68" t="inlineStr">
        <is>
          <t>01</t>
        </is>
      </c>
      <c r="E701" s="68" t="inlineStr">
        <is>
          <t>6 物业施工费</t>
        </is>
      </c>
      <c r="F701" s="68" t="inlineStr">
        <is>
          <t>6.1 总承包工程</t>
        </is>
      </c>
      <c r="G701" s="68" t="inlineStr">
        <is>
          <t>6.1.2A 电气工程-灯具主材</t>
        </is>
      </c>
      <c r="H701" s="68" t="inlineStr">
        <is>
          <t>灯具主材-大堂</t>
        </is>
      </c>
      <c r="I701" s="69" t="inlineStr">
        <is>
          <t>1000021554</t>
        </is>
      </c>
      <c r="J701" s="69" t="inlineStr">
        <is>
          <t>OSRAM方形LED灯筒灯灯具  L1</t>
        </is>
      </c>
      <c r="K701" s="70" t="n"/>
      <c r="L701" s="70" t="n"/>
      <c r="M701" s="71" t="inlineStr">
        <is>
          <t>个</t>
        </is>
      </c>
      <c r="N701" s="72" t="n">
        <v>111.3</v>
      </c>
      <c r="O701" s="72">
        <f>ROUND(N701*(1+$F$10),2)</f>
        <v/>
      </c>
      <c r="P701" s="73">
        <f>ROUND(K701*N701,2)</f>
        <v/>
      </c>
      <c r="Q701" s="74">
        <f>ROUND(L701*N701,2)</f>
        <v/>
      </c>
      <c r="R701" s="75" t="n"/>
      <c r="S701" s="76" t="n"/>
      <c r="T701" s="77">
        <f>K701-L701</f>
        <v/>
      </c>
      <c r="U701" s="77">
        <f>P701-Q701</f>
        <v/>
      </c>
      <c r="V701" s="77">
        <f>ABS(U701)</f>
        <v/>
      </c>
      <c r="W701" s="78">
        <f>T701/L701</f>
        <v/>
      </c>
      <c r="X701" s="79">
        <f>ABS(W701)</f>
        <v/>
      </c>
      <c r="AG701" s="80" t="inlineStr">
        <is>
          <t>个数</t>
        </is>
      </c>
    </row>
    <row r="702" ht="11.4" customHeight="1">
      <c r="A702" s="67" t="inlineStr">
        <is>
          <t>70</t>
        </is>
      </c>
      <c r="B702" s="67" t="inlineStr">
        <is>
          <t>1068</t>
        </is>
      </c>
      <c r="C702" s="67" t="inlineStr">
        <is>
          <t>1646</t>
        </is>
      </c>
      <c r="D702" s="68" t="inlineStr">
        <is>
          <t>01</t>
        </is>
      </c>
      <c r="E702" s="68" t="inlineStr">
        <is>
          <t>6 物业施工费</t>
        </is>
      </c>
      <c r="F702" s="68" t="inlineStr">
        <is>
          <t>6.1 总承包工程</t>
        </is>
      </c>
      <c r="G702" s="68" t="inlineStr">
        <is>
          <t>6.1.2A 电气工程-灯具主材</t>
        </is>
      </c>
      <c r="H702" s="68" t="inlineStr">
        <is>
          <t>灯具主材-大堂</t>
        </is>
      </c>
      <c r="I702" s="69" t="inlineStr">
        <is>
          <t>1000021555</t>
        </is>
      </c>
      <c r="J702" s="69" t="inlineStr">
        <is>
          <t>OSRAM双头方形LED灯筒灯灯具  L2</t>
        </is>
      </c>
      <c r="K702" s="70" t="n"/>
      <c r="L702" s="70" t="n"/>
      <c r="M702" s="71" t="inlineStr">
        <is>
          <t>个</t>
        </is>
      </c>
      <c r="N702" s="72" t="n">
        <v>181.65</v>
      </c>
      <c r="O702" s="72">
        <f>ROUND(N702*(1+$F$10),2)</f>
        <v/>
      </c>
      <c r="P702" s="73">
        <f>ROUND(K702*N702,2)</f>
        <v/>
      </c>
      <c r="Q702" s="74">
        <f>ROUND(L702*N702,2)</f>
        <v/>
      </c>
      <c r="R702" s="75" t="n"/>
      <c r="S702" s="76" t="n"/>
      <c r="T702" s="77">
        <f>K702-L702</f>
        <v/>
      </c>
      <c r="U702" s="77">
        <f>P702-Q702</f>
        <v/>
      </c>
      <c r="V702" s="77">
        <f>ABS(U702)</f>
        <v/>
      </c>
      <c r="W702" s="78">
        <f>T702/L702</f>
        <v/>
      </c>
      <c r="X702" s="79">
        <f>ABS(W702)</f>
        <v/>
      </c>
      <c r="AG702" s="80" t="inlineStr">
        <is>
          <t>个数</t>
        </is>
      </c>
    </row>
    <row r="703" ht="11.4" customHeight="1">
      <c r="A703" s="67" t="inlineStr">
        <is>
          <t>70</t>
        </is>
      </c>
      <c r="B703" s="67" t="inlineStr">
        <is>
          <t>1068</t>
        </is>
      </c>
      <c r="C703" s="67" t="inlineStr">
        <is>
          <t>1646</t>
        </is>
      </c>
      <c r="D703" s="68" t="inlineStr">
        <is>
          <t>01</t>
        </is>
      </c>
      <c r="E703" s="68" t="inlineStr">
        <is>
          <t>6 物业施工费</t>
        </is>
      </c>
      <c r="F703" s="68" t="inlineStr">
        <is>
          <t>6.1 总承包工程</t>
        </is>
      </c>
      <c r="G703" s="68" t="inlineStr">
        <is>
          <t>6.1.2A 电气工程-灯具主材</t>
        </is>
      </c>
      <c r="H703" s="68" t="inlineStr">
        <is>
          <t>灯具主材-大堂</t>
        </is>
      </c>
      <c r="I703" s="69" t="inlineStr">
        <is>
          <t>1000021567</t>
        </is>
      </c>
      <c r="J703" s="69" t="inlineStr">
        <is>
          <t>OSRAM方形嵌入式LED射灯28W  L3</t>
        </is>
      </c>
      <c r="K703" s="70" t="n"/>
      <c r="L703" s="70" t="n"/>
      <c r="M703" s="71" t="inlineStr">
        <is>
          <t>个</t>
        </is>
      </c>
      <c r="N703" s="72" t="n">
        <v>198.45</v>
      </c>
      <c r="O703" s="72">
        <f>ROUND(N703*(1+$F$10),2)</f>
        <v/>
      </c>
      <c r="P703" s="73">
        <f>ROUND(K703*N703,2)</f>
        <v/>
      </c>
      <c r="Q703" s="74">
        <f>ROUND(L703*N703,2)</f>
        <v/>
      </c>
      <c r="R703" s="75" t="n"/>
      <c r="S703" s="76" t="n"/>
      <c r="T703" s="77">
        <f>K703-L703</f>
        <v/>
      </c>
      <c r="U703" s="77">
        <f>P703-Q703</f>
        <v/>
      </c>
      <c r="V703" s="77">
        <f>ABS(U703)</f>
        <v/>
      </c>
      <c r="W703" s="78">
        <f>T703/L703</f>
        <v/>
      </c>
      <c r="X703" s="79">
        <f>ABS(W703)</f>
        <v/>
      </c>
      <c r="AG703" s="80" t="inlineStr">
        <is>
          <t>个数</t>
        </is>
      </c>
    </row>
    <row r="704" ht="11.4" customHeight="1">
      <c r="A704" s="67" t="inlineStr">
        <is>
          <t>70</t>
        </is>
      </c>
      <c r="B704" s="67" t="inlineStr">
        <is>
          <t>1068</t>
        </is>
      </c>
      <c r="C704" s="67" t="inlineStr">
        <is>
          <t>1646</t>
        </is>
      </c>
      <c r="D704" s="68" t="inlineStr">
        <is>
          <t>01</t>
        </is>
      </c>
      <c r="E704" s="68" t="inlineStr">
        <is>
          <t>6 物业施工费</t>
        </is>
      </c>
      <c r="F704" s="68" t="inlineStr">
        <is>
          <t>6.1 总承包工程</t>
        </is>
      </c>
      <c r="G704" s="68" t="inlineStr">
        <is>
          <t>6.1.2A 电气工程-灯具主材</t>
        </is>
      </c>
      <c r="H704" s="68" t="inlineStr">
        <is>
          <t>灯具主材-大堂</t>
        </is>
      </c>
      <c r="I704" s="69" t="inlineStr">
        <is>
          <t>1000021556</t>
        </is>
      </c>
      <c r="J704" s="69" t="inlineStr">
        <is>
          <t>OSRAM深照型圆形LED灯筒灯灯具  L4</t>
        </is>
      </c>
      <c r="K704" s="70" t="n"/>
      <c r="L704" s="70" t="n"/>
      <c r="M704" s="71" t="inlineStr">
        <is>
          <t>个</t>
        </is>
      </c>
      <c r="N704" s="72" t="n">
        <v>113.4</v>
      </c>
      <c r="O704" s="72">
        <f>ROUND(N704*(1+$F$10),2)</f>
        <v/>
      </c>
      <c r="P704" s="73">
        <f>ROUND(K704*N704,2)</f>
        <v/>
      </c>
      <c r="Q704" s="74">
        <f>ROUND(L704*N704,2)</f>
        <v/>
      </c>
      <c r="R704" s="75" t="n"/>
      <c r="S704" s="76" t="n"/>
      <c r="T704" s="77">
        <f>K704-L704</f>
        <v/>
      </c>
      <c r="U704" s="77">
        <f>P704-Q704</f>
        <v/>
      </c>
      <c r="V704" s="77">
        <f>ABS(U704)</f>
        <v/>
      </c>
      <c r="W704" s="78">
        <f>T704/L704</f>
        <v/>
      </c>
      <c r="X704" s="79">
        <f>ABS(W704)</f>
        <v/>
      </c>
      <c r="AG704" s="80" t="inlineStr">
        <is>
          <t>个数</t>
        </is>
      </c>
    </row>
    <row r="705" ht="11.4" customHeight="1">
      <c r="A705" s="67" t="inlineStr">
        <is>
          <t>70</t>
        </is>
      </c>
      <c r="B705" s="67" t="inlineStr">
        <is>
          <t>1068</t>
        </is>
      </c>
      <c r="C705" s="67" t="inlineStr">
        <is>
          <t>1646</t>
        </is>
      </c>
      <c r="D705" s="68" t="inlineStr">
        <is>
          <t>01</t>
        </is>
      </c>
      <c r="E705" s="68" t="inlineStr">
        <is>
          <t>6 物业施工费</t>
        </is>
      </c>
      <c r="F705" s="68" t="inlineStr">
        <is>
          <t>6.1 总承包工程</t>
        </is>
      </c>
      <c r="G705" s="68" t="inlineStr">
        <is>
          <t>6.1.2A 电气工程-灯具主材</t>
        </is>
      </c>
      <c r="H705" s="68" t="inlineStr">
        <is>
          <t>灯具主材-大堂</t>
        </is>
      </c>
      <c r="I705" s="69" t="inlineStr">
        <is>
          <t>1000021557</t>
        </is>
      </c>
      <c r="J705" s="69" t="inlineStr">
        <is>
          <t>OSRAM圆形嵌入式 LED 筒灯  L5</t>
        </is>
      </c>
      <c r="K705" s="70" t="n"/>
      <c r="L705" s="70" t="n"/>
      <c r="M705" s="71" t="inlineStr">
        <is>
          <t>个</t>
        </is>
      </c>
      <c r="N705" s="72" t="n">
        <v>152.56</v>
      </c>
      <c r="O705" s="72">
        <f>ROUND(N705*(1+$F$10),2)</f>
        <v/>
      </c>
      <c r="P705" s="73">
        <f>ROUND(K705*N705,2)</f>
        <v/>
      </c>
      <c r="Q705" s="74">
        <f>ROUND(L705*N705,2)</f>
        <v/>
      </c>
      <c r="R705" s="75" t="n"/>
      <c r="S705" s="76" t="n"/>
      <c r="T705" s="77">
        <f>K705-L705</f>
        <v/>
      </c>
      <c r="U705" s="77">
        <f>P705-Q705</f>
        <v/>
      </c>
      <c r="V705" s="77">
        <f>ABS(U705)</f>
        <v/>
      </c>
      <c r="W705" s="78">
        <f>T705/L705</f>
        <v/>
      </c>
      <c r="X705" s="79">
        <f>ABS(W705)</f>
        <v/>
      </c>
      <c r="AG705" s="80" t="inlineStr">
        <is>
          <t>个数</t>
        </is>
      </c>
    </row>
    <row r="706" ht="11.4" customHeight="1">
      <c r="A706" s="67" t="inlineStr">
        <is>
          <t>70</t>
        </is>
      </c>
      <c r="B706" s="67" t="inlineStr">
        <is>
          <t>1068</t>
        </is>
      </c>
      <c r="C706" s="67" t="inlineStr">
        <is>
          <t>1646</t>
        </is>
      </c>
      <c r="D706" s="68" t="inlineStr">
        <is>
          <t>01</t>
        </is>
      </c>
      <c r="E706" s="68" t="inlineStr">
        <is>
          <t>6 物业施工费</t>
        </is>
      </c>
      <c r="F706" s="68" t="inlineStr">
        <is>
          <t>6.1 总承包工程</t>
        </is>
      </c>
      <c r="G706" s="68" t="inlineStr">
        <is>
          <t>6.1.2A 电气工程-灯具主材</t>
        </is>
      </c>
      <c r="H706" s="68" t="inlineStr">
        <is>
          <t>灯具主材-大堂</t>
        </is>
      </c>
      <c r="I706" s="69" t="inlineStr">
        <is>
          <t>1000021565</t>
        </is>
      </c>
      <c r="J706" s="69" t="inlineStr">
        <is>
          <t>OSRAM方形嵌入式 LED 筒灯  L5</t>
        </is>
      </c>
      <c r="K706" s="70" t="n"/>
      <c r="L706" s="70" t="n"/>
      <c r="M706" s="71" t="inlineStr">
        <is>
          <t>个</t>
        </is>
      </c>
      <c r="N706" s="72" t="n">
        <v>184.8</v>
      </c>
      <c r="O706" s="72">
        <f>ROUND(N706*(1+$F$10),2)</f>
        <v/>
      </c>
      <c r="P706" s="73">
        <f>ROUND(K706*N706,2)</f>
        <v/>
      </c>
      <c r="Q706" s="74">
        <f>ROUND(L706*N706,2)</f>
        <v/>
      </c>
      <c r="R706" s="75" t="n"/>
      <c r="S706" s="76" t="n"/>
      <c r="T706" s="77">
        <f>K706-L706</f>
        <v/>
      </c>
      <c r="U706" s="77">
        <f>P706-Q706</f>
        <v/>
      </c>
      <c r="V706" s="77">
        <f>ABS(U706)</f>
        <v/>
      </c>
      <c r="W706" s="78">
        <f>T706/L706</f>
        <v/>
      </c>
      <c r="X706" s="79">
        <f>ABS(W706)</f>
        <v/>
      </c>
      <c r="AG706" s="80" t="inlineStr">
        <is>
          <t>个数</t>
        </is>
      </c>
    </row>
    <row r="707" ht="11.4" customHeight="1">
      <c r="A707" s="67" t="inlineStr">
        <is>
          <t>70</t>
        </is>
      </c>
      <c r="B707" s="67" t="inlineStr">
        <is>
          <t>1068</t>
        </is>
      </c>
      <c r="C707" s="67" t="inlineStr">
        <is>
          <t>1646</t>
        </is>
      </c>
      <c r="D707" s="68" t="inlineStr">
        <is>
          <t>01</t>
        </is>
      </c>
      <c r="E707" s="68" t="inlineStr">
        <is>
          <t>6 物业施工费</t>
        </is>
      </c>
      <c r="F707" s="68" t="inlineStr">
        <is>
          <t>6.1 总承包工程</t>
        </is>
      </c>
      <c r="G707" s="68" t="inlineStr">
        <is>
          <t>6.1.2A 电气工程-灯具主材</t>
        </is>
      </c>
      <c r="H707" s="68" t="inlineStr">
        <is>
          <t>灯具主材-大堂</t>
        </is>
      </c>
      <c r="I707" s="69" t="inlineStr">
        <is>
          <t>1000021560</t>
        </is>
      </c>
      <c r="J707" s="69" t="inlineStr">
        <is>
          <t>OSRAM圆形嵌入式 LED 防尘防水筒灯  L6</t>
        </is>
      </c>
      <c r="K707" s="70" t="n"/>
      <c r="L707" s="70" t="n"/>
      <c r="M707" s="71" t="inlineStr">
        <is>
          <t>个</t>
        </is>
      </c>
      <c r="N707" s="72" t="n">
        <v>89.25</v>
      </c>
      <c r="O707" s="72">
        <f>ROUND(N707*(1+$F$10),2)</f>
        <v/>
      </c>
      <c r="P707" s="73">
        <f>ROUND(K707*N707,2)</f>
        <v/>
      </c>
      <c r="Q707" s="74">
        <f>ROUND(L707*N707,2)</f>
        <v/>
      </c>
      <c r="R707" s="75" t="n"/>
      <c r="S707" s="76" t="n"/>
      <c r="T707" s="77">
        <f>K707-L707</f>
        <v/>
      </c>
      <c r="U707" s="77">
        <f>P707-Q707</f>
        <v/>
      </c>
      <c r="V707" s="77">
        <f>ABS(U707)</f>
        <v/>
      </c>
      <c r="W707" s="78">
        <f>T707/L707</f>
        <v/>
      </c>
      <c r="X707" s="79">
        <f>ABS(W707)</f>
        <v/>
      </c>
      <c r="AG707" s="80" t="inlineStr">
        <is>
          <t>个数</t>
        </is>
      </c>
    </row>
    <row r="708" ht="11.4" customHeight="1">
      <c r="A708" s="67" t="inlineStr">
        <is>
          <t>70</t>
        </is>
      </c>
      <c r="B708" s="67" t="inlineStr">
        <is>
          <t>1068</t>
        </is>
      </c>
      <c r="C708" s="67" t="inlineStr">
        <is>
          <t>1646</t>
        </is>
      </c>
      <c r="D708" s="68" t="inlineStr">
        <is>
          <t>01</t>
        </is>
      </c>
      <c r="E708" s="68" t="inlineStr">
        <is>
          <t>6 物业施工费</t>
        </is>
      </c>
      <c r="F708" s="68" t="inlineStr">
        <is>
          <t>6.1 总承包工程</t>
        </is>
      </c>
      <c r="G708" s="68" t="inlineStr">
        <is>
          <t>6.1.2A 电气工程-灯具主材</t>
        </is>
      </c>
      <c r="H708" s="68" t="inlineStr">
        <is>
          <t>灯具主材-大堂</t>
        </is>
      </c>
      <c r="I708" s="69" t="inlineStr">
        <is>
          <t>1000021566</t>
        </is>
      </c>
      <c r="J708" s="69" t="inlineStr">
        <is>
          <t>OSRAM圆形嵌入式LED防水型射灯 L9</t>
        </is>
      </c>
      <c r="K708" s="70" t="n"/>
      <c r="L708" s="70" t="n"/>
      <c r="M708" s="71" t="inlineStr">
        <is>
          <t>个</t>
        </is>
      </c>
      <c r="N708" s="72" t="n">
        <v>159.74</v>
      </c>
      <c r="O708" s="72">
        <f>ROUND(N708*(1+$F$10),2)</f>
        <v/>
      </c>
      <c r="P708" s="73">
        <f>ROUND(K708*N708,2)</f>
        <v/>
      </c>
      <c r="Q708" s="74">
        <f>ROUND(L708*N708,2)</f>
        <v/>
      </c>
      <c r="R708" s="75" t="n"/>
      <c r="S708" s="76" t="n"/>
      <c r="T708" s="77">
        <f>K708-L708</f>
        <v/>
      </c>
      <c r="U708" s="77">
        <f>P708-Q708</f>
        <v/>
      </c>
      <c r="V708" s="77">
        <f>ABS(U708)</f>
        <v/>
      </c>
      <c r="W708" s="78">
        <f>T708/L708</f>
        <v/>
      </c>
      <c r="X708" s="79">
        <f>ABS(W708)</f>
        <v/>
      </c>
      <c r="AG708" s="80" t="inlineStr">
        <is>
          <t>个数</t>
        </is>
      </c>
    </row>
    <row r="709" ht="11.4" customHeight="1">
      <c r="A709" s="67" t="inlineStr">
        <is>
          <t>70</t>
        </is>
      </c>
      <c r="B709" s="67" t="inlineStr">
        <is>
          <t>1068</t>
        </is>
      </c>
      <c r="C709" s="67" t="inlineStr">
        <is>
          <t>1646</t>
        </is>
      </c>
      <c r="D709" s="68" t="inlineStr">
        <is>
          <t>01</t>
        </is>
      </c>
      <c r="E709" s="68" t="inlineStr">
        <is>
          <t>6 物业施工费</t>
        </is>
      </c>
      <c r="F709" s="68" t="inlineStr">
        <is>
          <t>6.1 总承包工程</t>
        </is>
      </c>
      <c r="G709" s="68" t="inlineStr">
        <is>
          <t>6.1.2A 电气工程-灯具主材</t>
        </is>
      </c>
      <c r="H709" s="68" t="inlineStr">
        <is>
          <t>灯具主材-大堂</t>
        </is>
      </c>
      <c r="I709" s="69" t="inlineStr">
        <is>
          <t>1000021545</t>
        </is>
      </c>
      <c r="J709" s="69" t="inlineStr">
        <is>
          <t>OSRAM 圆形吊灯 LO1</t>
        </is>
      </c>
      <c r="K709" s="70" t="n"/>
      <c r="L709" s="70" t="n"/>
      <c r="M709" s="71" t="inlineStr">
        <is>
          <t>个</t>
        </is>
      </c>
      <c r="N709" s="72" t="n">
        <v>346.5</v>
      </c>
      <c r="O709" s="72">
        <f>ROUND(N709*(1+$F$10),2)</f>
        <v/>
      </c>
      <c r="P709" s="73">
        <f>ROUND(K709*N709,2)</f>
        <v/>
      </c>
      <c r="Q709" s="74">
        <f>ROUND(L709*N709,2)</f>
        <v/>
      </c>
      <c r="R709" s="75" t="n"/>
      <c r="S709" s="76" t="n"/>
      <c r="T709" s="77">
        <f>K709-L709</f>
        <v/>
      </c>
      <c r="U709" s="77">
        <f>P709-Q709</f>
        <v/>
      </c>
      <c r="V709" s="77">
        <f>ABS(U709)</f>
        <v/>
      </c>
      <c r="W709" s="78">
        <f>T709/L709</f>
        <v/>
      </c>
      <c r="X709" s="79">
        <f>ABS(W709)</f>
        <v/>
      </c>
      <c r="AG709" s="80" t="inlineStr">
        <is>
          <t>个数</t>
        </is>
      </c>
    </row>
    <row r="710" ht="11.4" customHeight="1">
      <c r="A710" s="67" t="inlineStr">
        <is>
          <t>70</t>
        </is>
      </c>
      <c r="B710" s="67" t="inlineStr">
        <is>
          <t>1068</t>
        </is>
      </c>
      <c r="C710" s="67" t="inlineStr">
        <is>
          <t>1646</t>
        </is>
      </c>
      <c r="D710" s="68" t="inlineStr">
        <is>
          <t>01</t>
        </is>
      </c>
      <c r="E710" s="68" t="inlineStr">
        <is>
          <t>6 物业施工费</t>
        </is>
      </c>
      <c r="F710" s="68" t="inlineStr">
        <is>
          <t>6.1 总承包工程</t>
        </is>
      </c>
      <c r="G710" s="68" t="inlineStr">
        <is>
          <t>6.1.2A 电气工程-灯具主材</t>
        </is>
      </c>
      <c r="H710" s="68" t="inlineStr">
        <is>
          <t>灯具主材-大堂</t>
        </is>
      </c>
      <c r="I710" s="69" t="inlineStr">
        <is>
          <t>1000041833</t>
        </is>
      </c>
      <c r="J710" s="69" t="inlineStr">
        <is>
          <t>OSRAM双头嵌入式射灯 L02</t>
        </is>
      </c>
      <c r="K710" s="70" t="n"/>
      <c r="L710" s="70" t="n"/>
      <c r="M710" s="71" t="inlineStr">
        <is>
          <t>个</t>
        </is>
      </c>
      <c r="N710" s="72" t="n">
        <v>181.65</v>
      </c>
      <c r="O710" s="72">
        <f>ROUND(N710*(1+$F$10),2)</f>
        <v/>
      </c>
      <c r="P710" s="73">
        <f>ROUND(K710*N710,2)</f>
        <v/>
      </c>
      <c r="Q710" s="74">
        <f>ROUND(L710*N710,2)</f>
        <v/>
      </c>
      <c r="R710" s="75" t="n"/>
      <c r="S710" s="76" t="n"/>
      <c r="T710" s="77">
        <f>K710-L710</f>
        <v/>
      </c>
      <c r="U710" s="77">
        <f>P710-Q710</f>
        <v/>
      </c>
      <c r="V710" s="77">
        <f>ABS(U710)</f>
        <v/>
      </c>
      <c r="W710" s="78">
        <f>T710/L710</f>
        <v/>
      </c>
      <c r="X710" s="79">
        <f>ABS(W710)</f>
        <v/>
      </c>
      <c r="AG710" s="80" t="inlineStr">
        <is>
          <t>个数</t>
        </is>
      </c>
    </row>
    <row r="711" ht="11.4" customHeight="1">
      <c r="A711" s="67" t="inlineStr">
        <is>
          <t>70</t>
        </is>
      </c>
      <c r="B711" s="67" t="inlineStr">
        <is>
          <t>1068</t>
        </is>
      </c>
      <c r="C711" s="67" t="inlineStr">
        <is>
          <t>1646</t>
        </is>
      </c>
      <c r="D711" s="68" t="inlineStr">
        <is>
          <t>01</t>
        </is>
      </c>
      <c r="E711" s="68" t="inlineStr">
        <is>
          <t>6 物业施工费</t>
        </is>
      </c>
      <c r="F711" s="68" t="inlineStr">
        <is>
          <t>6.1 总承包工程</t>
        </is>
      </c>
      <c r="G711" s="68" t="inlineStr">
        <is>
          <t>6.1.2A 电气工程-灯具主材</t>
        </is>
      </c>
      <c r="H711" s="68" t="inlineStr">
        <is>
          <t>灯具主材-大堂</t>
        </is>
      </c>
      <c r="I711" s="69" t="inlineStr">
        <is>
          <t>1000021546</t>
        </is>
      </c>
      <c r="J711" s="69" t="inlineStr">
        <is>
          <t>OSRAM 暗藏轨道射灯 LO3</t>
        </is>
      </c>
      <c r="K711" s="70" t="n"/>
      <c r="L711" s="70" t="n"/>
      <c r="M711" s="71" t="inlineStr">
        <is>
          <t>个</t>
        </is>
      </c>
      <c r="N711" s="72" t="n">
        <v>149.1</v>
      </c>
      <c r="O711" s="72">
        <f>ROUND(N711*(1+$F$10),2)</f>
        <v/>
      </c>
      <c r="P711" s="73">
        <f>ROUND(K711*N711,2)</f>
        <v/>
      </c>
      <c r="Q711" s="74">
        <f>ROUND(L711*N711,2)</f>
        <v/>
      </c>
      <c r="R711" s="75" t="n"/>
      <c r="S711" s="76" t="n"/>
      <c r="T711" s="77">
        <f>K711-L711</f>
        <v/>
      </c>
      <c r="U711" s="77">
        <f>P711-Q711</f>
        <v/>
      </c>
      <c r="V711" s="77">
        <f>ABS(U711)</f>
        <v/>
      </c>
      <c r="W711" s="78">
        <f>T711/L711</f>
        <v/>
      </c>
      <c r="X711" s="79">
        <f>ABS(W711)</f>
        <v/>
      </c>
      <c r="AG711" s="80" t="inlineStr">
        <is>
          <t>个数</t>
        </is>
      </c>
    </row>
    <row r="712" ht="11.4" customHeight="1">
      <c r="A712" s="67" t="inlineStr">
        <is>
          <t>70</t>
        </is>
      </c>
      <c r="B712" s="67" t="inlineStr">
        <is>
          <t>1068</t>
        </is>
      </c>
      <c r="C712" s="67" t="inlineStr">
        <is>
          <t>1646</t>
        </is>
      </c>
      <c r="D712" s="68" t="inlineStr">
        <is>
          <t>01</t>
        </is>
      </c>
      <c r="E712" s="68" t="inlineStr">
        <is>
          <t>6 物业施工费</t>
        </is>
      </c>
      <c r="F712" s="68" t="inlineStr">
        <is>
          <t>6.1 总承包工程</t>
        </is>
      </c>
      <c r="G712" s="68" t="inlineStr">
        <is>
          <t>6.1.2A 电气工程-灯具主材</t>
        </is>
      </c>
      <c r="H712" s="68" t="inlineStr">
        <is>
          <t>灯具主材-大堂</t>
        </is>
      </c>
      <c r="I712" s="69" t="inlineStr">
        <is>
          <t>1000041832</t>
        </is>
      </c>
      <c r="J712" s="69" t="inlineStr">
        <is>
          <t>OSRAM圆形嵌入式射灯 L04</t>
        </is>
      </c>
      <c r="K712" s="70" t="n"/>
      <c r="L712" s="70" t="n"/>
      <c r="M712" s="71" t="inlineStr">
        <is>
          <t>个</t>
        </is>
      </c>
      <c r="N712" s="72" t="n">
        <v>113.4</v>
      </c>
      <c r="O712" s="72">
        <f>ROUND(N712*(1+$F$10),2)</f>
        <v/>
      </c>
      <c r="P712" s="73">
        <f>ROUND(K712*N712,2)</f>
        <v/>
      </c>
      <c r="Q712" s="74">
        <f>ROUND(L712*N712,2)</f>
        <v/>
      </c>
      <c r="R712" s="75" t="n"/>
      <c r="S712" s="76" t="n"/>
      <c r="T712" s="77">
        <f>K712-L712</f>
        <v/>
      </c>
      <c r="U712" s="77">
        <f>P712-Q712</f>
        <v/>
      </c>
      <c r="V712" s="77">
        <f>ABS(U712)</f>
        <v/>
      </c>
      <c r="W712" s="78">
        <f>T712/L712</f>
        <v/>
      </c>
      <c r="X712" s="79">
        <f>ABS(W712)</f>
        <v/>
      </c>
      <c r="AG712" s="80" t="inlineStr">
        <is>
          <t>个数</t>
        </is>
      </c>
    </row>
    <row r="713" ht="11.4" customHeight="1">
      <c r="A713" s="67" t="inlineStr">
        <is>
          <t>70</t>
        </is>
      </c>
      <c r="B713" s="67" t="inlineStr">
        <is>
          <t>1068</t>
        </is>
      </c>
      <c r="C713" s="67" t="inlineStr">
        <is>
          <t>1646</t>
        </is>
      </c>
      <c r="D713" s="68" t="inlineStr">
        <is>
          <t>01</t>
        </is>
      </c>
      <c r="E713" s="68" t="inlineStr">
        <is>
          <t>6 物业施工费</t>
        </is>
      </c>
      <c r="F713" s="68" t="inlineStr">
        <is>
          <t>6.1 总承包工程</t>
        </is>
      </c>
      <c r="G713" s="68" t="inlineStr">
        <is>
          <t>6.1.2A 电气工程-灯具主材</t>
        </is>
      </c>
      <c r="H713" s="68" t="inlineStr">
        <is>
          <t>灯具主材-大堂</t>
        </is>
      </c>
      <c r="I713" s="69" t="inlineStr">
        <is>
          <t>1000021550</t>
        </is>
      </c>
      <c r="J713" s="69" t="inlineStr">
        <is>
          <t>OSRAM 长条壁灯 L07</t>
        </is>
      </c>
      <c r="K713" s="70" t="n"/>
      <c r="L713" s="70" t="n"/>
      <c r="M713" s="71" t="inlineStr">
        <is>
          <t>个</t>
        </is>
      </c>
      <c r="N713" s="72" t="n">
        <v>483</v>
      </c>
      <c r="O713" s="72">
        <f>ROUND(N713*(1+$F$10),2)</f>
        <v/>
      </c>
      <c r="P713" s="73">
        <f>ROUND(K713*N713,2)</f>
        <v/>
      </c>
      <c r="Q713" s="74">
        <f>ROUND(L713*N713,2)</f>
        <v/>
      </c>
      <c r="R713" s="75" t="n"/>
      <c r="S713" s="76" t="n"/>
      <c r="T713" s="77">
        <f>K713-L713</f>
        <v/>
      </c>
      <c r="U713" s="77">
        <f>P713-Q713</f>
        <v/>
      </c>
      <c r="V713" s="77">
        <f>ABS(U713)</f>
        <v/>
      </c>
      <c r="W713" s="78">
        <f>T713/L713</f>
        <v/>
      </c>
      <c r="X713" s="79">
        <f>ABS(W713)</f>
        <v/>
      </c>
      <c r="AG713" s="80" t="inlineStr">
        <is>
          <t>个数</t>
        </is>
      </c>
    </row>
    <row r="714" ht="11.4" customHeight="1">
      <c r="A714" s="67" t="inlineStr">
        <is>
          <t>70</t>
        </is>
      </c>
      <c r="B714" s="67" t="inlineStr">
        <is>
          <t>1068</t>
        </is>
      </c>
      <c r="C714" s="67" t="inlineStr">
        <is>
          <t>1646</t>
        </is>
      </c>
      <c r="D714" s="68" t="inlineStr">
        <is>
          <t>01</t>
        </is>
      </c>
      <c r="E714" s="68" t="inlineStr">
        <is>
          <t>6 物业施工费</t>
        </is>
      </c>
      <c r="F714" s="68" t="inlineStr">
        <is>
          <t>6.1 总承包工程</t>
        </is>
      </c>
      <c r="G714" s="68" t="inlineStr">
        <is>
          <t>6.1.2A 电气工程-灯具主材</t>
        </is>
      </c>
      <c r="H714" s="68" t="inlineStr">
        <is>
          <t>灯具主材-大堂</t>
        </is>
      </c>
      <c r="I714" s="69" t="inlineStr">
        <is>
          <t>1000021551</t>
        </is>
      </c>
      <c r="J714" s="69" t="inlineStr">
        <is>
          <t>OSRAM Wall Light L08</t>
        </is>
      </c>
      <c r="K714" s="70" t="n"/>
      <c r="L714" s="70" t="n"/>
      <c r="M714" s="71" t="inlineStr">
        <is>
          <t>个</t>
        </is>
      </c>
      <c r="N714" s="72" t="n">
        <v>367.5</v>
      </c>
      <c r="O714" s="72">
        <f>ROUND(N714*(1+$F$10),2)</f>
        <v/>
      </c>
      <c r="P714" s="73">
        <f>ROUND(K714*N714,2)</f>
        <v/>
      </c>
      <c r="Q714" s="74">
        <f>ROUND(L714*N714,2)</f>
        <v/>
      </c>
      <c r="R714" s="75" t="n"/>
      <c r="S714" s="76" t="n"/>
      <c r="T714" s="77">
        <f>K714-L714</f>
        <v/>
      </c>
      <c r="U714" s="77">
        <f>P714-Q714</f>
        <v/>
      </c>
      <c r="V714" s="77">
        <f>ABS(U714)</f>
        <v/>
      </c>
      <c r="W714" s="78">
        <f>T714/L714</f>
        <v/>
      </c>
      <c r="X714" s="79">
        <f>ABS(W714)</f>
        <v/>
      </c>
      <c r="AG714" s="80" t="inlineStr">
        <is>
          <t>个数</t>
        </is>
      </c>
    </row>
    <row r="715" ht="11.4" customHeight="1">
      <c r="A715" s="67" t="inlineStr">
        <is>
          <t>70</t>
        </is>
      </c>
      <c r="B715" s="67" t="inlineStr">
        <is>
          <t>1068</t>
        </is>
      </c>
      <c r="C715" s="67" t="inlineStr">
        <is>
          <t>1646</t>
        </is>
      </c>
      <c r="D715" s="68" t="inlineStr">
        <is>
          <t>01</t>
        </is>
      </c>
      <c r="E715" s="68" t="inlineStr">
        <is>
          <t>6 物业施工费</t>
        </is>
      </c>
      <c r="F715" s="68" t="inlineStr">
        <is>
          <t>6.1 总承包工程</t>
        </is>
      </c>
      <c r="G715" s="68" t="inlineStr">
        <is>
          <t>6.1.2A 电气工程-灯具主材</t>
        </is>
      </c>
      <c r="H715" s="68" t="inlineStr">
        <is>
          <t>灯具主材-大堂</t>
        </is>
      </c>
      <c r="I715" s="69" t="inlineStr">
        <is>
          <t>1000021552</t>
        </is>
      </c>
      <c r="J715" s="69" t="inlineStr">
        <is>
          <t>OSRAM LED灯带 L09</t>
        </is>
      </c>
      <c r="K715" s="70" t="n"/>
      <c r="L715" s="70" t="n"/>
      <c r="M715" s="71" t="inlineStr">
        <is>
          <t>米</t>
        </is>
      </c>
      <c r="N715" s="72" t="n">
        <v>52.5</v>
      </c>
      <c r="O715" s="72">
        <f>ROUND(N715*(1+$F$10),2)</f>
        <v/>
      </c>
      <c r="P715" s="73">
        <f>ROUND(K715*N715,2)</f>
        <v/>
      </c>
      <c r="Q715" s="74">
        <f>ROUND(L715*N715,2)</f>
        <v/>
      </c>
      <c r="R715" s="75" t="n"/>
      <c r="S715" s="76" t="n"/>
      <c r="T715" s="77">
        <f>K715-L715</f>
        <v/>
      </c>
      <c r="U715" s="77">
        <f>P715-Q715</f>
        <v/>
      </c>
      <c r="V715" s="77">
        <f>ABS(U715)</f>
        <v/>
      </c>
      <c r="W715" s="78">
        <f>T715/L715</f>
        <v/>
      </c>
      <c r="X715" s="79">
        <f>ABS(W715)</f>
        <v/>
      </c>
      <c r="AH715" s="80" t="inlineStr">
        <is>
          <t>待定</t>
        </is>
      </c>
    </row>
    <row r="716" ht="11.4" customHeight="1">
      <c r="A716" s="67" t="inlineStr">
        <is>
          <t>70</t>
        </is>
      </c>
      <c r="B716" s="67" t="inlineStr">
        <is>
          <t>1068</t>
        </is>
      </c>
      <c r="C716" s="67" t="inlineStr">
        <is>
          <t>1646</t>
        </is>
      </c>
      <c r="D716" s="68" t="inlineStr">
        <is>
          <t>01</t>
        </is>
      </c>
      <c r="E716" s="68" t="inlineStr">
        <is>
          <t>6 物业施工费</t>
        </is>
      </c>
      <c r="F716" s="68" t="inlineStr">
        <is>
          <t>6.1 总承包工程</t>
        </is>
      </c>
      <c r="G716" s="68" t="inlineStr">
        <is>
          <t>6.1.2A 电气工程-灯具主材</t>
        </is>
      </c>
      <c r="H716" s="68" t="inlineStr">
        <is>
          <t>灯具主材-大堂</t>
        </is>
      </c>
      <c r="I716" s="69" t="inlineStr">
        <is>
          <t>1000021553</t>
        </is>
      </c>
      <c r="J716" s="69" t="inlineStr">
        <is>
          <t>OSRAM L09配套电源变压器（每10米配备一个）</t>
        </is>
      </c>
      <c r="K716" s="70" t="n"/>
      <c r="L716" s="70" t="n"/>
      <c r="M716" s="71" t="inlineStr">
        <is>
          <t>个</t>
        </is>
      </c>
      <c r="N716" s="72" t="n">
        <v>116.55</v>
      </c>
      <c r="O716" s="72">
        <f>ROUND(N716*(1+$F$10),2)</f>
        <v/>
      </c>
      <c r="P716" s="73">
        <f>ROUND(K716*N716,2)</f>
        <v/>
      </c>
      <c r="Q716" s="74">
        <f>ROUND(L716*N716,2)</f>
        <v/>
      </c>
      <c r="R716" s="75" t="n"/>
      <c r="S716" s="76" t="n"/>
      <c r="T716" s="77">
        <f>K716-L716</f>
        <v/>
      </c>
      <c r="U716" s="77">
        <f>P716-Q716</f>
        <v/>
      </c>
      <c r="V716" s="77">
        <f>ABS(U716)</f>
        <v/>
      </c>
      <c r="W716" s="78">
        <f>T716/L716</f>
        <v/>
      </c>
      <c r="X716" s="79">
        <f>ABS(W716)</f>
        <v/>
      </c>
      <c r="AH716" s="80" t="inlineStr">
        <is>
          <t>待定</t>
        </is>
      </c>
    </row>
    <row r="717" ht="11.4" customHeight="1">
      <c r="A717" s="67" t="inlineStr">
        <is>
          <t>70</t>
        </is>
      </c>
      <c r="B717" s="67" t="inlineStr">
        <is>
          <t>1068</t>
        </is>
      </c>
      <c r="C717" s="67" t="inlineStr">
        <is>
          <t>1646</t>
        </is>
      </c>
      <c r="D717" s="68" t="inlineStr">
        <is>
          <t>01</t>
        </is>
      </c>
      <c r="E717" s="68" t="inlineStr">
        <is>
          <t>6 物业施工费</t>
        </is>
      </c>
      <c r="F717" s="68" t="inlineStr">
        <is>
          <t>6.1 总承包工程</t>
        </is>
      </c>
      <c r="G717" s="68" t="inlineStr">
        <is>
          <t>6.1.2A 电气工程-灯具主材</t>
        </is>
      </c>
      <c r="H717" s="68" t="inlineStr">
        <is>
          <t>灯具主材-大堂</t>
        </is>
      </c>
      <c r="I717" s="69" t="inlineStr">
        <is>
          <t>1000021547</t>
        </is>
      </c>
      <c r="J717" s="69" t="inlineStr">
        <is>
          <t>OSRAM L05配套导轨 Track L=2000mm</t>
        </is>
      </c>
      <c r="K717" s="70" t="n"/>
      <c r="L717" s="70" t="n"/>
      <c r="M717" s="71" t="inlineStr">
        <is>
          <t>个</t>
        </is>
      </c>
      <c r="N717" s="72" t="n">
        <v>69.3</v>
      </c>
      <c r="O717" s="72">
        <f>ROUND(N717*(1+$F$10),2)</f>
        <v/>
      </c>
      <c r="P717" s="73">
        <f>ROUND(K717*N717,2)</f>
        <v/>
      </c>
      <c r="Q717" s="74">
        <f>ROUND(L717*N717,2)</f>
        <v/>
      </c>
      <c r="R717" s="75" t="n"/>
      <c r="S717" s="76" t="n"/>
      <c r="T717" s="77">
        <f>K717-L717</f>
        <v/>
      </c>
      <c r="U717" s="77">
        <f>P717-Q717</f>
        <v/>
      </c>
      <c r="V717" s="77">
        <f>ABS(U717)</f>
        <v/>
      </c>
      <c r="W717" s="78">
        <f>T717/L717</f>
        <v/>
      </c>
      <c r="X717" s="79">
        <f>ABS(W717)</f>
        <v/>
      </c>
      <c r="AG717" s="80" t="inlineStr">
        <is>
          <t>公式</t>
        </is>
      </c>
    </row>
    <row r="718" ht="11.4" customHeight="1">
      <c r="A718" s="67" t="inlineStr">
        <is>
          <t>70</t>
        </is>
      </c>
      <c r="B718" s="67" t="inlineStr">
        <is>
          <t>1068</t>
        </is>
      </c>
      <c r="C718" s="67" t="inlineStr">
        <is>
          <t>1646</t>
        </is>
      </c>
      <c r="D718" s="68" t="inlineStr">
        <is>
          <t>01</t>
        </is>
      </c>
      <c r="E718" s="68" t="inlineStr">
        <is>
          <t>6 物业施工费</t>
        </is>
      </c>
      <c r="F718" s="68" t="inlineStr">
        <is>
          <t>6.1 总承包工程</t>
        </is>
      </c>
      <c r="G718" s="68" t="inlineStr">
        <is>
          <t>6.1.2A 电气工程-灯具主材</t>
        </is>
      </c>
      <c r="H718" s="68" t="inlineStr">
        <is>
          <t>灯具主材-大堂</t>
        </is>
      </c>
      <c r="I718" s="69" t="inlineStr">
        <is>
          <t>1000021548</t>
        </is>
      </c>
      <c r="J718" s="69" t="inlineStr">
        <is>
          <t>OSRAM L05配套导轨 Track L=1000mm</t>
        </is>
      </c>
      <c r="K718" s="70" t="n"/>
      <c r="L718" s="70" t="n"/>
      <c r="M718" s="71" t="inlineStr">
        <is>
          <t>个</t>
        </is>
      </c>
      <c r="N718" s="72" t="n">
        <v>34.65</v>
      </c>
      <c r="O718" s="72">
        <f>ROUND(N718*(1+$F$10),2)</f>
        <v/>
      </c>
      <c r="P718" s="73">
        <f>ROUND(K718*N718,2)</f>
        <v/>
      </c>
      <c r="Q718" s="74">
        <f>ROUND(L718*N718,2)</f>
        <v/>
      </c>
      <c r="R718" s="75" t="n"/>
      <c r="S718" s="76" t="n"/>
      <c r="T718" s="77">
        <f>K718-L718</f>
        <v/>
      </c>
      <c r="U718" s="77">
        <f>P718-Q718</f>
        <v/>
      </c>
      <c r="V718" s="77">
        <f>ABS(U718)</f>
        <v/>
      </c>
      <c r="W718" s="78">
        <f>T718/L718</f>
        <v/>
      </c>
      <c r="X718" s="79">
        <f>ABS(W718)</f>
        <v/>
      </c>
      <c r="AG718" s="80" t="inlineStr">
        <is>
          <t>公式</t>
        </is>
      </c>
    </row>
    <row r="719" ht="11.4" customHeight="1">
      <c r="A719" s="67" t="inlineStr">
        <is>
          <t>70</t>
        </is>
      </c>
      <c r="B719" s="67" t="inlineStr">
        <is>
          <t>1068</t>
        </is>
      </c>
      <c r="C719" s="67" t="inlineStr">
        <is>
          <t>1646</t>
        </is>
      </c>
      <c r="D719" s="68" t="inlineStr">
        <is>
          <t>01</t>
        </is>
      </c>
      <c r="E719" s="68" t="inlineStr">
        <is>
          <t>6 物业施工费</t>
        </is>
      </c>
      <c r="F719" s="68" t="inlineStr">
        <is>
          <t>6.1 总承包工程</t>
        </is>
      </c>
      <c r="G719" s="68" t="inlineStr">
        <is>
          <t>6.1.2A 电气工程-灯具主材</t>
        </is>
      </c>
      <c r="H719" s="68" t="inlineStr">
        <is>
          <t>灯具主材-大堂</t>
        </is>
      </c>
      <c r="I719" s="69" t="inlineStr">
        <is>
          <t>1000021549</t>
        </is>
      </c>
      <c r="J719" s="69" t="inlineStr">
        <is>
          <t>OSRAM L05配套导轨连接件 Track connector</t>
        </is>
      </c>
      <c r="K719" s="70" t="n"/>
      <c r="L719" s="70" t="n"/>
      <c r="M719" s="71" t="inlineStr">
        <is>
          <t>个</t>
        </is>
      </c>
      <c r="N719" s="72" t="n">
        <v>10.5</v>
      </c>
      <c r="O719" s="72">
        <f>ROUND(N719*(1+$F$10),2)</f>
        <v/>
      </c>
      <c r="P719" s="73">
        <f>ROUND(K719*N719,2)</f>
        <v/>
      </c>
      <c r="Q719" s="74">
        <f>ROUND(L719*N719,2)</f>
        <v/>
      </c>
      <c r="R719" s="75" t="n"/>
      <c r="S719" s="76" t="n"/>
      <c r="T719" s="77">
        <f>K719-L719</f>
        <v/>
      </c>
      <c r="U719" s="77">
        <f>P719-Q719</f>
        <v/>
      </c>
      <c r="V719" s="77">
        <f>ABS(U719)</f>
        <v/>
      </c>
      <c r="W719" s="78">
        <f>T719/L719</f>
        <v/>
      </c>
      <c r="X719" s="79">
        <f>ABS(W719)</f>
        <v/>
      </c>
      <c r="AG719" s="80" t="inlineStr">
        <is>
          <t>公式</t>
        </is>
      </c>
    </row>
    <row r="720" ht="11.4" customHeight="1">
      <c r="A720" s="67" t="inlineStr">
        <is>
          <t>70</t>
        </is>
      </c>
      <c r="B720" s="67" t="inlineStr">
        <is>
          <t>1068</t>
        </is>
      </c>
      <c r="C720" s="67" t="inlineStr">
        <is>
          <t>1646</t>
        </is>
      </c>
      <c r="D720" s="68" t="inlineStr">
        <is>
          <t>01</t>
        </is>
      </c>
      <c r="E720" s="68" t="inlineStr">
        <is>
          <t>6 物业施工费</t>
        </is>
      </c>
      <c r="F720" s="68" t="inlineStr">
        <is>
          <t>6.1 总承包工程</t>
        </is>
      </c>
      <c r="G720" s="68" t="inlineStr">
        <is>
          <t>6.1.2A 电气工程-灯具主材</t>
        </is>
      </c>
      <c r="H720" s="68" t="inlineStr">
        <is>
          <t>灯具主材-大堂</t>
        </is>
      </c>
      <c r="I720" s="69" t="inlineStr">
        <is>
          <t>1000021568</t>
        </is>
      </c>
      <c r="J720" s="69" t="inlineStr">
        <is>
          <t>OSRAM装饰性灯具（吊灯光源L3-E/L4-E）</t>
        </is>
      </c>
      <c r="K720" s="70" t="n"/>
      <c r="L720" s="70" t="n"/>
      <c r="M720" s="71" t="inlineStr">
        <is>
          <t>个</t>
        </is>
      </c>
      <c r="N720" s="72" t="n">
        <v>54.6</v>
      </c>
      <c r="O720" s="72">
        <f>ROUND(N720*(1+$F$10),2)</f>
        <v/>
      </c>
      <c r="P720" s="73">
        <f>ROUND(K720*N720,2)</f>
        <v/>
      </c>
      <c r="Q720" s="74">
        <f>ROUND(L720*N720,2)</f>
        <v/>
      </c>
      <c r="R720" s="75" t="n"/>
      <c r="S720" s="76" t="n"/>
      <c r="T720" s="77">
        <f>K720-L720</f>
        <v/>
      </c>
      <c r="U720" s="77">
        <f>P720-Q720</f>
        <v/>
      </c>
      <c r="V720" s="77">
        <f>ABS(U720)</f>
        <v/>
      </c>
      <c r="W720" s="78">
        <f>T720/L720</f>
        <v/>
      </c>
      <c r="X720" s="79">
        <f>ABS(W720)</f>
        <v/>
      </c>
      <c r="AG720" s="80" t="inlineStr">
        <is>
          <t>个数</t>
        </is>
      </c>
    </row>
    <row r="721" ht="11.4" customHeight="1">
      <c r="A721" s="67" t="inlineStr">
        <is>
          <t>70</t>
        </is>
      </c>
      <c r="B721" s="67" t="inlineStr">
        <is>
          <t>1068</t>
        </is>
      </c>
      <c r="C721" s="67" t="inlineStr">
        <is>
          <t>1646</t>
        </is>
      </c>
      <c r="D721" s="68" t="inlineStr">
        <is>
          <t>01</t>
        </is>
      </c>
      <c r="E721" s="68" t="inlineStr">
        <is>
          <t>6 物业施工费</t>
        </is>
      </c>
      <c r="F721" s="68" t="inlineStr">
        <is>
          <t>6.1 总承包工程</t>
        </is>
      </c>
      <c r="G721" s="68" t="inlineStr">
        <is>
          <t>6.1.2A 电气工程-灯具主材</t>
        </is>
      </c>
      <c r="H721" s="68" t="inlineStr">
        <is>
          <t>灯具主材-大堂</t>
        </is>
      </c>
      <c r="I721" s="69" t="inlineStr">
        <is>
          <t>1000021569</t>
        </is>
      </c>
      <c r="J721" s="69" t="inlineStr">
        <is>
          <t>OSRAM圆形嵌入式射灯 L1-E</t>
        </is>
      </c>
      <c r="K721" s="70" t="n"/>
      <c r="L721" s="70" t="n"/>
      <c r="M721" s="71" t="inlineStr">
        <is>
          <t>个</t>
        </is>
      </c>
      <c r="N721" s="72" t="n">
        <v>105</v>
      </c>
      <c r="O721" s="72">
        <f>ROUND(N721*(1+$F$10),2)</f>
        <v/>
      </c>
      <c r="P721" s="73">
        <f>ROUND(K721*N721,2)</f>
        <v/>
      </c>
      <c r="Q721" s="74">
        <f>ROUND(L721*N721,2)</f>
        <v/>
      </c>
      <c r="R721" s="75" t="n"/>
      <c r="S721" s="76" t="n"/>
      <c r="T721" s="77">
        <f>K721-L721</f>
        <v/>
      </c>
      <c r="U721" s="77">
        <f>P721-Q721</f>
        <v/>
      </c>
      <c r="V721" s="77">
        <f>ABS(U721)</f>
        <v/>
      </c>
      <c r="W721" s="78">
        <f>T721/L721</f>
        <v/>
      </c>
      <c r="X721" s="79">
        <f>ABS(W721)</f>
        <v/>
      </c>
      <c r="AG721" s="80" t="inlineStr">
        <is>
          <t>个数</t>
        </is>
      </c>
    </row>
    <row r="722" ht="11.4" customHeight="1">
      <c r="A722" s="67" t="inlineStr">
        <is>
          <t>70</t>
        </is>
      </c>
      <c r="B722" s="67" t="inlineStr">
        <is>
          <t>1068</t>
        </is>
      </c>
      <c r="C722" s="67" t="inlineStr">
        <is>
          <t>1646</t>
        </is>
      </c>
      <c r="D722" s="68" t="inlineStr">
        <is>
          <t>01</t>
        </is>
      </c>
      <c r="E722" s="68" t="inlineStr">
        <is>
          <t>6 物业施工费</t>
        </is>
      </c>
      <c r="F722" s="68" t="inlineStr">
        <is>
          <t>6.1 总承包工程</t>
        </is>
      </c>
      <c r="G722" s="68" t="inlineStr">
        <is>
          <t>6.1.2A 电气工程-灯具主材</t>
        </is>
      </c>
      <c r="H722" s="68" t="inlineStr">
        <is>
          <t>灯具主材-大堂</t>
        </is>
      </c>
      <c r="I722" s="69" t="inlineStr">
        <is>
          <t>1000021570</t>
        </is>
      </c>
      <c r="J722" s="69" t="inlineStr">
        <is>
          <t>OSRAM圆形嵌入式射灯 L2-E/L5-E</t>
        </is>
      </c>
      <c r="K722" s="70" t="n"/>
      <c r="L722" s="70" t="n"/>
      <c r="M722" s="71" t="inlineStr">
        <is>
          <t>个</t>
        </is>
      </c>
      <c r="N722" s="72" t="n">
        <v>141.75</v>
      </c>
      <c r="O722" s="72">
        <f>ROUND(N722*(1+$F$10),2)</f>
        <v/>
      </c>
      <c r="P722" s="73">
        <f>ROUND(K722*N722,2)</f>
        <v/>
      </c>
      <c r="Q722" s="74">
        <f>ROUND(L722*N722,2)</f>
        <v/>
      </c>
      <c r="R722" s="75" t="n"/>
      <c r="S722" s="76" t="n"/>
      <c r="T722" s="77">
        <f>K722-L722</f>
        <v/>
      </c>
      <c r="U722" s="77">
        <f>P722-Q722</f>
        <v/>
      </c>
      <c r="V722" s="77">
        <f>ABS(U722)</f>
        <v/>
      </c>
      <c r="W722" s="78">
        <f>T722/L722</f>
        <v/>
      </c>
      <c r="X722" s="79">
        <f>ABS(W722)</f>
        <v/>
      </c>
      <c r="AG722" s="80" t="inlineStr">
        <is>
          <t>个数</t>
        </is>
      </c>
    </row>
    <row r="723" ht="11.4" customHeight="1">
      <c r="A723" s="67" t="inlineStr">
        <is>
          <t>70</t>
        </is>
      </c>
      <c r="B723" s="67" t="inlineStr">
        <is>
          <t>1068</t>
        </is>
      </c>
      <c r="C723" s="67" t="inlineStr">
        <is>
          <t>1646</t>
        </is>
      </c>
      <c r="D723" s="68" t="inlineStr">
        <is>
          <t>01</t>
        </is>
      </c>
      <c r="E723" s="68" t="inlineStr">
        <is>
          <t>6 物业施工费</t>
        </is>
      </c>
      <c r="F723" s="68" t="inlineStr">
        <is>
          <t>6.1 总承包工程</t>
        </is>
      </c>
      <c r="G723" s="68" t="inlineStr">
        <is>
          <t>6.1.2A 电气工程-灯具主材</t>
        </is>
      </c>
      <c r="H723" s="68" t="inlineStr">
        <is>
          <t>灯具主材-大堂</t>
        </is>
      </c>
      <c r="I723" s="69" t="inlineStr">
        <is>
          <t>1000041829</t>
        </is>
      </c>
      <c r="J723" s="69" t="inlineStr">
        <is>
          <t>OSRAM圆形嵌入式灯 L1-L</t>
        </is>
      </c>
      <c r="K723" s="70" t="n"/>
      <c r="L723" s="70" t="n"/>
      <c r="M723" s="71" t="inlineStr">
        <is>
          <t>个</t>
        </is>
      </c>
      <c r="N723" s="72" t="n">
        <v>141.75</v>
      </c>
      <c r="O723" s="72">
        <f>ROUND(N723*(1+$F$10),2)</f>
        <v/>
      </c>
      <c r="P723" s="73">
        <f>ROUND(K723*N723,2)</f>
        <v/>
      </c>
      <c r="Q723" s="74">
        <f>ROUND(L723*N723,2)</f>
        <v/>
      </c>
      <c r="R723" s="75" t="n"/>
      <c r="S723" s="76" t="n"/>
      <c r="T723" s="77">
        <f>K723-L723</f>
        <v/>
      </c>
      <c r="U723" s="77">
        <f>P723-Q723</f>
        <v/>
      </c>
      <c r="V723" s="77">
        <f>ABS(U723)</f>
        <v/>
      </c>
      <c r="W723" s="78">
        <f>T723/L723</f>
        <v/>
      </c>
      <c r="X723" s="79">
        <f>ABS(W723)</f>
        <v/>
      </c>
      <c r="AG723" s="80" t="inlineStr">
        <is>
          <t>个数</t>
        </is>
      </c>
    </row>
    <row r="724" ht="11.4" customHeight="1">
      <c r="A724" s="67" t="inlineStr">
        <is>
          <t>70</t>
        </is>
      </c>
      <c r="B724" s="67" t="inlineStr">
        <is>
          <t>1068</t>
        </is>
      </c>
      <c r="C724" s="67" t="inlineStr">
        <is>
          <t>1646</t>
        </is>
      </c>
      <c r="D724" s="68" t="inlineStr">
        <is>
          <t>01</t>
        </is>
      </c>
      <c r="E724" s="68" t="inlineStr">
        <is>
          <t>6 物业施工费</t>
        </is>
      </c>
      <c r="F724" s="68" t="inlineStr">
        <is>
          <t>6.1 总承包工程</t>
        </is>
      </c>
      <c r="G724" s="68" t="inlineStr">
        <is>
          <t>6.1.2A 电气工程-灯具主材</t>
        </is>
      </c>
      <c r="H724" s="68" t="inlineStr">
        <is>
          <t>灯具主材-大堂</t>
        </is>
      </c>
      <c r="I724" s="69" t="inlineStr">
        <is>
          <t>1000041831</t>
        </is>
      </c>
      <c r="J724" s="69" t="inlineStr">
        <is>
          <t>OSRAM圆形嵌入式灯 L2-L</t>
        </is>
      </c>
      <c r="K724" s="70" t="n"/>
      <c r="L724" s="70" t="n"/>
      <c r="M724" s="71" t="inlineStr">
        <is>
          <t>个</t>
        </is>
      </c>
      <c r="N724" s="72" t="n">
        <v>97.65000000000001</v>
      </c>
      <c r="O724" s="72">
        <f>ROUND(N724*(1+$F$10),2)</f>
        <v/>
      </c>
      <c r="P724" s="73">
        <f>ROUND(K724*N724,2)</f>
        <v/>
      </c>
      <c r="Q724" s="74">
        <f>ROUND(L724*N724,2)</f>
        <v/>
      </c>
      <c r="R724" s="75" t="n"/>
      <c r="S724" s="76" t="n"/>
      <c r="T724" s="77">
        <f>K724-L724</f>
        <v/>
      </c>
      <c r="U724" s="77">
        <f>P724-Q724</f>
        <v/>
      </c>
      <c r="V724" s="77">
        <f>ABS(U724)</f>
        <v/>
      </c>
      <c r="W724" s="78">
        <f>T724/L724</f>
        <v/>
      </c>
      <c r="X724" s="79">
        <f>ABS(W724)</f>
        <v/>
      </c>
      <c r="AG724" s="80" t="inlineStr">
        <is>
          <t>个数</t>
        </is>
      </c>
    </row>
    <row r="725" ht="11.4" customHeight="1">
      <c r="A725" s="67" t="inlineStr">
        <is>
          <t>70</t>
        </is>
      </c>
      <c r="B725" s="67" t="inlineStr">
        <is>
          <t>1068</t>
        </is>
      </c>
      <c r="C725" s="67" t="inlineStr">
        <is>
          <t>1646</t>
        </is>
      </c>
      <c r="D725" s="68" t="inlineStr">
        <is>
          <t>01</t>
        </is>
      </c>
      <c r="E725" s="68" t="inlineStr">
        <is>
          <t>6 物业施工费</t>
        </is>
      </c>
      <c r="F725" s="68" t="inlineStr">
        <is>
          <t>6.1 总承包工程</t>
        </is>
      </c>
      <c r="G725" s="68" t="inlineStr">
        <is>
          <t>6.1.2A 电气工程-灯具主材</t>
        </is>
      </c>
      <c r="H725" s="68" t="inlineStr">
        <is>
          <t>灯具主材-大堂</t>
        </is>
      </c>
      <c r="I725" s="69" t="inlineStr">
        <is>
          <t>1000041830</t>
        </is>
      </c>
      <c r="J725" s="69" t="inlineStr">
        <is>
          <t>OSRAM LED灯带含变压器 L3-L</t>
        </is>
      </c>
      <c r="K725" s="70" t="n"/>
      <c r="L725" s="70" t="n"/>
      <c r="M725" s="71" t="inlineStr">
        <is>
          <t>米</t>
        </is>
      </c>
      <c r="N725" s="72" t="n">
        <v>59.85</v>
      </c>
      <c r="O725" s="72">
        <f>ROUND(N725*(1+$F$10),2)</f>
        <v/>
      </c>
      <c r="P725" s="73">
        <f>ROUND(K725*N725,2)</f>
        <v/>
      </c>
      <c r="Q725" s="74">
        <f>ROUND(L725*N725,2)</f>
        <v/>
      </c>
      <c r="R725" s="75" t="n"/>
      <c r="S725" s="76" t="n"/>
      <c r="T725" s="77">
        <f>K725-L725</f>
        <v/>
      </c>
      <c r="U725" s="77">
        <f>P725-Q725</f>
        <v/>
      </c>
      <c r="V725" s="77">
        <f>ABS(U725)</f>
        <v/>
      </c>
      <c r="W725" s="78">
        <f>T725/L725</f>
        <v/>
      </c>
      <c r="X725" s="79">
        <f>ABS(W725)</f>
        <v/>
      </c>
      <c r="AH725" s="80" t="inlineStr">
        <is>
          <t>待定</t>
        </is>
      </c>
    </row>
    <row r="726" ht="11.4" customHeight="1">
      <c r="A726" s="67" t="inlineStr">
        <is>
          <t>70</t>
        </is>
      </c>
      <c r="B726" s="67" t="inlineStr">
        <is>
          <t>1068</t>
        </is>
      </c>
      <c r="C726" s="67" t="inlineStr">
        <is>
          <t>1646</t>
        </is>
      </c>
      <c r="D726" s="68" t="inlineStr">
        <is>
          <t>01</t>
        </is>
      </c>
      <c r="E726" s="68" t="inlineStr">
        <is>
          <t>6 物业施工费</t>
        </is>
      </c>
      <c r="F726" s="68" t="inlineStr">
        <is>
          <t>6.1 总承包工程</t>
        </is>
      </c>
      <c r="G726" s="68" t="inlineStr">
        <is>
          <t>6.1.1A 电气工程-灯具主材</t>
        </is>
      </c>
      <c r="H726" s="68" t="inlineStr">
        <is>
          <t>灯具主材-大堂</t>
        </is>
      </c>
      <c r="I726" s="69" t="inlineStr">
        <is>
          <t>1000041847</t>
        </is>
      </c>
      <c r="J726" s="69" t="inlineStr">
        <is>
          <t>OPPLE吊灯用LED光源P1</t>
        </is>
      </c>
      <c r="K726" s="70" t="n"/>
      <c r="L726" s="70" t="n"/>
      <c r="M726" s="71" t="inlineStr">
        <is>
          <t>个</t>
        </is>
      </c>
      <c r="N726" s="72" t="n">
        <v>52.5</v>
      </c>
      <c r="O726" s="72">
        <f>ROUND(N726*(1+$F$10),2)</f>
        <v/>
      </c>
      <c r="P726" s="73">
        <f>ROUND(K726*N726,2)</f>
        <v/>
      </c>
      <c r="Q726" s="74">
        <f>ROUND(L726*N726,2)</f>
        <v/>
      </c>
      <c r="R726" s="75" t="n"/>
      <c r="S726" s="76" t="n"/>
      <c r="T726" s="77">
        <f>K726-L726</f>
        <v/>
      </c>
      <c r="U726" s="77">
        <f>P726-Q726</f>
        <v/>
      </c>
      <c r="V726" s="77">
        <f>ABS(U726)</f>
        <v/>
      </c>
      <c r="W726" s="78">
        <f>T726/L726</f>
        <v/>
      </c>
      <c r="X726" s="79">
        <f>ABS(W726)</f>
        <v/>
      </c>
      <c r="AG726" s="80" t="inlineStr">
        <is>
          <t>个数</t>
        </is>
      </c>
    </row>
    <row r="727" ht="11.4" customHeight="1">
      <c r="A727" s="67" t="inlineStr">
        <is>
          <t>70</t>
        </is>
      </c>
      <c r="B727" s="67" t="inlineStr">
        <is>
          <t>1068</t>
        </is>
      </c>
      <c r="C727" s="67" t="inlineStr">
        <is>
          <t>1646</t>
        </is>
      </c>
      <c r="D727" s="68" t="inlineStr">
        <is>
          <t>01</t>
        </is>
      </c>
      <c r="E727" s="68" t="inlineStr">
        <is>
          <t>6 物业施工费</t>
        </is>
      </c>
      <c r="F727" s="68" t="inlineStr">
        <is>
          <t>6.1 总承包工程</t>
        </is>
      </c>
      <c r="G727" s="68" t="inlineStr">
        <is>
          <t>6.1.2A 电气工程-灯具主材</t>
        </is>
      </c>
      <c r="H727" s="68" t="inlineStr">
        <is>
          <t>灯具主材-大堂</t>
        </is>
      </c>
      <c r="I727" s="69" t="inlineStr">
        <is>
          <t>1000041841</t>
        </is>
      </c>
      <c r="J727" s="69" t="inlineStr">
        <is>
          <t>OPPLE LED 5W应急灯具90分钟E</t>
        </is>
      </c>
      <c r="K727" s="70" t="n"/>
      <c r="L727" s="70" t="n"/>
      <c r="M727" s="71" t="inlineStr">
        <is>
          <t>个</t>
        </is>
      </c>
      <c r="N727" s="72" t="n">
        <v>68.25</v>
      </c>
      <c r="O727" s="72">
        <f>ROUND(N727*(1+$F$10),2)</f>
        <v/>
      </c>
      <c r="P727" s="73">
        <f>ROUND(K727*N727,2)</f>
        <v/>
      </c>
      <c r="Q727" s="74">
        <f>ROUND(L727*N727,2)</f>
        <v/>
      </c>
      <c r="R727" s="75" t="n"/>
      <c r="S727" s="76" t="n"/>
      <c r="T727" s="77">
        <f>K727-L727</f>
        <v/>
      </c>
      <c r="U727" s="77">
        <f>P727-Q727</f>
        <v/>
      </c>
      <c r="V727" s="77">
        <f>ABS(U727)</f>
        <v/>
      </c>
      <c r="W727" s="78">
        <f>T727/L727</f>
        <v/>
      </c>
      <c r="X727" s="79">
        <f>ABS(W727)</f>
        <v/>
      </c>
      <c r="AG727" s="80" t="inlineStr">
        <is>
          <t>个数</t>
        </is>
      </c>
    </row>
    <row r="728" ht="11.4" customHeight="1">
      <c r="A728" s="67" t="inlineStr">
        <is>
          <t>70</t>
        </is>
      </c>
      <c r="B728" s="67" t="inlineStr">
        <is>
          <t>1068</t>
        </is>
      </c>
      <c r="C728" s="67" t="inlineStr">
        <is>
          <t>1646</t>
        </is>
      </c>
      <c r="D728" s="68" t="inlineStr">
        <is>
          <t>01</t>
        </is>
      </c>
      <c r="E728" s="68" t="inlineStr">
        <is>
          <t>6 物业施工费</t>
        </is>
      </c>
      <c r="F728" s="68" t="inlineStr">
        <is>
          <t>6.1 总承包工程</t>
        </is>
      </c>
      <c r="G728" s="68" t="inlineStr">
        <is>
          <t>6.1.2A 电气工程-灯具主材</t>
        </is>
      </c>
      <c r="H728" s="68" t="inlineStr">
        <is>
          <t>灯具主材-大堂</t>
        </is>
      </c>
      <c r="I728" s="69" t="inlineStr">
        <is>
          <t>1000041839</t>
        </is>
      </c>
      <c r="J728" s="69" t="inlineStr">
        <is>
          <t>OPPLE方形LED灯筒灯灯具  L1</t>
        </is>
      </c>
      <c r="K728" s="70" t="n"/>
      <c r="L728" s="70" t="n"/>
      <c r="M728" s="71" t="inlineStr">
        <is>
          <t>个</t>
        </is>
      </c>
      <c r="N728" s="72" t="n">
        <v>110.25</v>
      </c>
      <c r="O728" s="72">
        <f>ROUND(N728*(1+$F$10),2)</f>
        <v/>
      </c>
      <c r="P728" s="73">
        <f>ROUND(K728*N728,2)</f>
        <v/>
      </c>
      <c r="Q728" s="74">
        <f>ROUND(L728*N728,2)</f>
        <v/>
      </c>
      <c r="R728" s="75" t="n"/>
      <c r="S728" s="76" t="n"/>
      <c r="T728" s="77">
        <f>K728-L728</f>
        <v/>
      </c>
      <c r="U728" s="77">
        <f>P728-Q728</f>
        <v/>
      </c>
      <c r="V728" s="77">
        <f>ABS(U728)</f>
        <v/>
      </c>
      <c r="W728" s="78">
        <f>T728/L728</f>
        <v/>
      </c>
      <c r="X728" s="79">
        <f>ABS(W728)</f>
        <v/>
      </c>
      <c r="AG728" s="80" t="inlineStr">
        <is>
          <t>个数</t>
        </is>
      </c>
    </row>
    <row r="729" ht="11.4" customHeight="1">
      <c r="A729" s="67" t="inlineStr">
        <is>
          <t>70</t>
        </is>
      </c>
      <c r="B729" s="67" t="inlineStr">
        <is>
          <t>1068</t>
        </is>
      </c>
      <c r="C729" s="67" t="inlineStr">
        <is>
          <t>1646</t>
        </is>
      </c>
      <c r="D729" s="68" t="inlineStr">
        <is>
          <t>01</t>
        </is>
      </c>
      <c r="E729" s="68" t="inlineStr">
        <is>
          <t>6 物业施工费</t>
        </is>
      </c>
      <c r="F729" s="68" t="inlineStr">
        <is>
          <t>6.1 总承包工程</t>
        </is>
      </c>
      <c r="G729" s="68" t="inlineStr">
        <is>
          <t>6.1.2A 电气工程-灯具主材</t>
        </is>
      </c>
      <c r="H729" s="68" t="inlineStr">
        <is>
          <t>灯具主材-大堂</t>
        </is>
      </c>
      <c r="I729" s="69" t="inlineStr">
        <is>
          <t>1000041850</t>
        </is>
      </c>
      <c r="J729" s="69" t="inlineStr">
        <is>
          <t>OPPLE双头方形LED灯筒灯灯具  L2</t>
        </is>
      </c>
      <c r="K729" s="70" t="n"/>
      <c r="L729" s="70" t="n"/>
      <c r="M729" s="71" t="inlineStr">
        <is>
          <t>个</t>
        </is>
      </c>
      <c r="N729" s="72" t="n">
        <v>178.5</v>
      </c>
      <c r="O729" s="72">
        <f>ROUND(N729*(1+$F$10),2)</f>
        <v/>
      </c>
      <c r="P729" s="73">
        <f>ROUND(K729*N729,2)</f>
        <v/>
      </c>
      <c r="Q729" s="74">
        <f>ROUND(L729*N729,2)</f>
        <v/>
      </c>
      <c r="R729" s="75" t="n"/>
      <c r="S729" s="76" t="n"/>
      <c r="T729" s="77">
        <f>K729-L729</f>
        <v/>
      </c>
      <c r="U729" s="77">
        <f>P729-Q729</f>
        <v/>
      </c>
      <c r="V729" s="77">
        <f>ABS(U729)</f>
        <v/>
      </c>
      <c r="W729" s="78">
        <f>T729/L729</f>
        <v/>
      </c>
      <c r="X729" s="79">
        <f>ABS(W729)</f>
        <v/>
      </c>
      <c r="AG729" s="80" t="inlineStr">
        <is>
          <t>个数</t>
        </is>
      </c>
    </row>
    <row r="730" ht="11.4" customHeight="1">
      <c r="A730" s="67" t="inlineStr">
        <is>
          <t>70</t>
        </is>
      </c>
      <c r="B730" s="67" t="inlineStr">
        <is>
          <t>1068</t>
        </is>
      </c>
      <c r="C730" s="67" t="inlineStr">
        <is>
          <t>1646</t>
        </is>
      </c>
      <c r="D730" s="68" t="inlineStr">
        <is>
          <t>01</t>
        </is>
      </c>
      <c r="E730" s="68" t="inlineStr">
        <is>
          <t>6 物业施工费</t>
        </is>
      </c>
      <c r="F730" s="68" t="inlineStr">
        <is>
          <t>6.1 总承包工程</t>
        </is>
      </c>
      <c r="G730" s="68" t="inlineStr">
        <is>
          <t>6.1.2A 电气工程-灯具主材</t>
        </is>
      </c>
      <c r="H730" s="68" t="inlineStr">
        <is>
          <t>灯具主材-大堂</t>
        </is>
      </c>
      <c r="I730" s="69" t="inlineStr">
        <is>
          <t>1000041851</t>
        </is>
      </c>
      <c r="J730" s="69" t="inlineStr">
        <is>
          <t>OPPLE方形嵌入式LED射灯28W  L3</t>
        </is>
      </c>
      <c r="K730" s="70" t="n"/>
      <c r="L730" s="70" t="n"/>
      <c r="M730" s="71" t="inlineStr">
        <is>
          <t>个</t>
        </is>
      </c>
      <c r="N730" s="72" t="n">
        <v>147</v>
      </c>
      <c r="O730" s="72">
        <f>ROUND(N730*(1+$F$10),2)</f>
        <v/>
      </c>
      <c r="P730" s="73">
        <f>ROUND(K730*N730,2)</f>
        <v/>
      </c>
      <c r="Q730" s="74">
        <f>ROUND(L730*N730,2)</f>
        <v/>
      </c>
      <c r="R730" s="75" t="n"/>
      <c r="S730" s="76" t="n"/>
      <c r="T730" s="77">
        <f>K730-L730</f>
        <v/>
      </c>
      <c r="U730" s="77">
        <f>P730-Q730</f>
        <v/>
      </c>
      <c r="V730" s="77">
        <f>ABS(U730)</f>
        <v/>
      </c>
      <c r="W730" s="78">
        <f>T730/L730</f>
        <v/>
      </c>
      <c r="X730" s="79">
        <f>ABS(W730)</f>
        <v/>
      </c>
      <c r="AG730" s="80" t="inlineStr">
        <is>
          <t>个数</t>
        </is>
      </c>
    </row>
    <row r="731" ht="11.4" customHeight="1">
      <c r="A731" s="67" t="inlineStr">
        <is>
          <t>70</t>
        </is>
      </c>
      <c r="B731" s="67" t="inlineStr">
        <is>
          <t>1068</t>
        </is>
      </c>
      <c r="C731" s="67" t="inlineStr">
        <is>
          <t>1646</t>
        </is>
      </c>
      <c r="D731" s="68" t="inlineStr">
        <is>
          <t>01</t>
        </is>
      </c>
      <c r="E731" s="68" t="inlineStr">
        <is>
          <t>6 物业施工费</t>
        </is>
      </c>
      <c r="F731" s="68" t="inlineStr">
        <is>
          <t>6.1 总承包工程</t>
        </is>
      </c>
      <c r="G731" s="68" t="inlineStr">
        <is>
          <t>6.1.2A 电气工程-灯具主材</t>
        </is>
      </c>
      <c r="H731" s="68" t="inlineStr">
        <is>
          <t>灯具主材-大堂</t>
        </is>
      </c>
      <c r="I731" s="69" t="inlineStr">
        <is>
          <t>1000041852</t>
        </is>
      </c>
      <c r="J731" s="69" t="inlineStr">
        <is>
          <t>OPPLE深照型圆形LED灯筒灯灯具  L4</t>
        </is>
      </c>
      <c r="K731" s="70" t="n"/>
      <c r="L731" s="70" t="n"/>
      <c r="M731" s="71" t="inlineStr">
        <is>
          <t>个</t>
        </is>
      </c>
      <c r="N731" s="72" t="n">
        <v>105</v>
      </c>
      <c r="O731" s="72">
        <f>ROUND(N731*(1+$F$10),2)</f>
        <v/>
      </c>
      <c r="P731" s="73">
        <f>ROUND(K731*N731,2)</f>
        <v/>
      </c>
      <c r="Q731" s="74">
        <f>ROUND(L731*N731,2)</f>
        <v/>
      </c>
      <c r="R731" s="75" t="n"/>
      <c r="S731" s="76" t="n"/>
      <c r="T731" s="77">
        <f>K731-L731</f>
        <v/>
      </c>
      <c r="U731" s="77">
        <f>P731-Q731</f>
        <v/>
      </c>
      <c r="V731" s="77">
        <f>ABS(U731)</f>
        <v/>
      </c>
      <c r="W731" s="78">
        <f>T731/L731</f>
        <v/>
      </c>
      <c r="X731" s="79">
        <f>ABS(W731)</f>
        <v/>
      </c>
      <c r="AG731" s="80" t="inlineStr">
        <is>
          <t>个数</t>
        </is>
      </c>
    </row>
    <row r="732" ht="11.4" customHeight="1">
      <c r="A732" s="67" t="inlineStr">
        <is>
          <t>70</t>
        </is>
      </c>
      <c r="B732" s="67" t="inlineStr">
        <is>
          <t>1068</t>
        </is>
      </c>
      <c r="C732" s="67" t="inlineStr">
        <is>
          <t>1646</t>
        </is>
      </c>
      <c r="D732" s="68" t="inlineStr">
        <is>
          <t>01</t>
        </is>
      </c>
      <c r="E732" s="68" t="inlineStr">
        <is>
          <t>6 物业施工费</t>
        </is>
      </c>
      <c r="F732" s="68" t="inlineStr">
        <is>
          <t>6.1 总承包工程</t>
        </is>
      </c>
      <c r="G732" s="68" t="inlineStr">
        <is>
          <t>6.1.2A 电气工程-灯具主材</t>
        </is>
      </c>
      <c r="H732" s="68" t="inlineStr">
        <is>
          <t>灯具主材-大堂</t>
        </is>
      </c>
      <c r="I732" s="69" t="inlineStr">
        <is>
          <t>1000041853</t>
        </is>
      </c>
      <c r="J732" s="69" t="inlineStr">
        <is>
          <t>OPPLE方形嵌入式 LED 筒灯  L5</t>
        </is>
      </c>
      <c r="K732" s="70" t="n"/>
      <c r="L732" s="70" t="n"/>
      <c r="M732" s="71" t="inlineStr">
        <is>
          <t>个</t>
        </is>
      </c>
      <c r="N732" s="72" t="n">
        <v>126</v>
      </c>
      <c r="O732" s="72">
        <f>ROUND(N732*(1+$F$10),2)</f>
        <v/>
      </c>
      <c r="P732" s="73">
        <f>ROUND(K732*N732,2)</f>
        <v/>
      </c>
      <c r="Q732" s="74">
        <f>ROUND(L732*N732,2)</f>
        <v/>
      </c>
      <c r="R732" s="75" t="n"/>
      <c r="S732" s="76" t="n"/>
      <c r="T732" s="77">
        <f>K732-L732</f>
        <v/>
      </c>
      <c r="U732" s="77">
        <f>P732-Q732</f>
        <v/>
      </c>
      <c r="V732" s="77">
        <f>ABS(U732)</f>
        <v/>
      </c>
      <c r="W732" s="78">
        <f>T732/L732</f>
        <v/>
      </c>
      <c r="X732" s="79">
        <f>ABS(W732)</f>
        <v/>
      </c>
      <c r="AG732" s="80" t="inlineStr">
        <is>
          <t>个数</t>
        </is>
      </c>
    </row>
    <row r="733" ht="11.4" customHeight="1">
      <c r="A733" s="67" t="inlineStr">
        <is>
          <t>70</t>
        </is>
      </c>
      <c r="B733" s="67" t="inlineStr">
        <is>
          <t>1068</t>
        </is>
      </c>
      <c r="C733" s="67" t="inlineStr">
        <is>
          <t>1646</t>
        </is>
      </c>
      <c r="D733" s="68" t="inlineStr">
        <is>
          <t>01</t>
        </is>
      </c>
      <c r="E733" s="68" t="inlineStr">
        <is>
          <t>6 物业施工费</t>
        </is>
      </c>
      <c r="F733" s="68" t="inlineStr">
        <is>
          <t>6.1 总承包工程</t>
        </is>
      </c>
      <c r="G733" s="68" t="inlineStr">
        <is>
          <t>6.1.2A 电气工程-灯具主材</t>
        </is>
      </c>
      <c r="H733" s="68" t="inlineStr">
        <is>
          <t>灯具主材-大堂</t>
        </is>
      </c>
      <c r="I733" s="69" t="inlineStr">
        <is>
          <t>1000041846</t>
        </is>
      </c>
      <c r="J733" s="69" t="inlineStr">
        <is>
          <t>OPPLE圆形嵌入式 LED 防尘防水筒灯 L6</t>
        </is>
      </c>
      <c r="K733" s="70" t="n"/>
      <c r="L733" s="70" t="n"/>
      <c r="M733" s="71" t="inlineStr">
        <is>
          <t>个</t>
        </is>
      </c>
      <c r="N733" s="72" t="n">
        <v>204.75</v>
      </c>
      <c r="O733" s="72">
        <f>ROUND(N733*(1+$F$10),2)</f>
        <v/>
      </c>
      <c r="P733" s="73">
        <f>ROUND(K733*N733,2)</f>
        <v/>
      </c>
      <c r="Q733" s="74">
        <f>ROUND(L733*N733,2)</f>
        <v/>
      </c>
      <c r="R733" s="75" t="n"/>
      <c r="S733" s="76" t="n"/>
      <c r="T733" s="77">
        <f>K733-L733</f>
        <v/>
      </c>
      <c r="U733" s="77">
        <f>P733-Q733</f>
        <v/>
      </c>
      <c r="V733" s="77">
        <f>ABS(U733)</f>
        <v/>
      </c>
      <c r="W733" s="78">
        <f>T733/L733</f>
        <v/>
      </c>
      <c r="X733" s="79">
        <f>ABS(W733)</f>
        <v/>
      </c>
      <c r="AG733" s="80" t="inlineStr">
        <is>
          <t>个数</t>
        </is>
      </c>
    </row>
    <row r="734" ht="11.4" customHeight="1">
      <c r="A734" s="67" t="inlineStr">
        <is>
          <t>70</t>
        </is>
      </c>
      <c r="B734" s="67" t="inlineStr">
        <is>
          <t>1068</t>
        </is>
      </c>
      <c r="C734" s="67" t="inlineStr">
        <is>
          <t>1646</t>
        </is>
      </c>
      <c r="D734" s="68" t="inlineStr">
        <is>
          <t>01</t>
        </is>
      </c>
      <c r="E734" s="68" t="inlineStr">
        <is>
          <t>6 物业施工费</t>
        </is>
      </c>
      <c r="F734" s="68" t="inlineStr">
        <is>
          <t>6.1 总承包工程</t>
        </is>
      </c>
      <c r="G734" s="68" t="inlineStr">
        <is>
          <t>6.1.2A 电气工程-灯具主材</t>
        </is>
      </c>
      <c r="H734" s="68" t="inlineStr">
        <is>
          <t>灯具主材-大堂</t>
        </is>
      </c>
      <c r="I734" s="69" t="inlineStr">
        <is>
          <t>1000041845</t>
        </is>
      </c>
      <c r="J734" s="69" t="inlineStr">
        <is>
          <t>OPPLE圆形吊灯 LO1</t>
        </is>
      </c>
      <c r="K734" s="70" t="n"/>
      <c r="L734" s="70" t="n"/>
      <c r="M734" s="71" t="inlineStr">
        <is>
          <t>个</t>
        </is>
      </c>
      <c r="N734" s="72" t="n">
        <v>420</v>
      </c>
      <c r="O734" s="72">
        <f>ROUND(N734*(1+$F$10),2)</f>
        <v/>
      </c>
      <c r="P734" s="73">
        <f>ROUND(K734*N734,2)</f>
        <v/>
      </c>
      <c r="Q734" s="74">
        <f>ROUND(L734*N734,2)</f>
        <v/>
      </c>
      <c r="R734" s="75" t="n"/>
      <c r="S734" s="76" t="n"/>
      <c r="T734" s="77">
        <f>K734-L734</f>
        <v/>
      </c>
      <c r="U734" s="77">
        <f>P734-Q734</f>
        <v/>
      </c>
      <c r="V734" s="77">
        <f>ABS(U734)</f>
        <v/>
      </c>
      <c r="W734" s="78">
        <f>T734/L734</f>
        <v/>
      </c>
      <c r="X734" s="79">
        <f>ABS(W734)</f>
        <v/>
      </c>
      <c r="AG734" s="80" t="inlineStr">
        <is>
          <t>个数</t>
        </is>
      </c>
    </row>
    <row r="735" ht="11.4" customHeight="1">
      <c r="A735" s="67" t="inlineStr">
        <is>
          <t>70</t>
        </is>
      </c>
      <c r="B735" s="67" t="inlineStr">
        <is>
          <t>1068</t>
        </is>
      </c>
      <c r="C735" s="67" t="inlineStr">
        <is>
          <t>1646</t>
        </is>
      </c>
      <c r="D735" s="68" t="inlineStr">
        <is>
          <t>01</t>
        </is>
      </c>
      <c r="E735" s="68" t="inlineStr">
        <is>
          <t>6 物业施工费</t>
        </is>
      </c>
      <c r="F735" s="68" t="inlineStr">
        <is>
          <t>6.1 总承包工程</t>
        </is>
      </c>
      <c r="G735" s="68" t="inlineStr">
        <is>
          <t>6.1.2A 电气工程-灯具主材</t>
        </is>
      </c>
      <c r="H735" s="68" t="inlineStr">
        <is>
          <t>灯具主材-大堂</t>
        </is>
      </c>
      <c r="I735" s="69" t="inlineStr">
        <is>
          <t>1000041848</t>
        </is>
      </c>
      <c r="J735" s="69" t="inlineStr">
        <is>
          <t>OPPLE双头嵌入式射灯 L02</t>
        </is>
      </c>
      <c r="K735" s="70" t="n"/>
      <c r="L735" s="70" t="n"/>
      <c r="M735" s="71" t="inlineStr">
        <is>
          <t>个</t>
        </is>
      </c>
      <c r="N735" s="72" t="n">
        <v>178.5</v>
      </c>
      <c r="O735" s="72">
        <f>ROUND(N735*(1+$F$10),2)</f>
        <v/>
      </c>
      <c r="P735" s="73">
        <f>ROUND(K735*N735,2)</f>
        <v/>
      </c>
      <c r="Q735" s="74">
        <f>ROUND(L735*N735,2)</f>
        <v/>
      </c>
      <c r="R735" s="75" t="n"/>
      <c r="S735" s="76" t="n"/>
      <c r="T735" s="77">
        <f>K735-L735</f>
        <v/>
      </c>
      <c r="U735" s="77">
        <f>P735-Q735</f>
        <v/>
      </c>
      <c r="V735" s="77">
        <f>ABS(U735)</f>
        <v/>
      </c>
      <c r="W735" s="78">
        <f>T735/L735</f>
        <v/>
      </c>
      <c r="X735" s="79">
        <f>ABS(W735)</f>
        <v/>
      </c>
      <c r="AG735" s="80" t="inlineStr">
        <is>
          <t>个数</t>
        </is>
      </c>
    </row>
    <row r="736" ht="11.4" customHeight="1">
      <c r="A736" s="67" t="inlineStr">
        <is>
          <t>70</t>
        </is>
      </c>
      <c r="B736" s="67" t="inlineStr">
        <is>
          <t>1068</t>
        </is>
      </c>
      <c r="C736" s="67" t="inlineStr">
        <is>
          <t>1646</t>
        </is>
      </c>
      <c r="D736" s="68" t="inlineStr">
        <is>
          <t>01</t>
        </is>
      </c>
      <c r="E736" s="68" t="inlineStr">
        <is>
          <t>6 物业施工费</t>
        </is>
      </c>
      <c r="F736" s="68" t="inlineStr">
        <is>
          <t>6.1 总承包工程</t>
        </is>
      </c>
      <c r="G736" s="68" t="inlineStr">
        <is>
          <t>6.1.2A 电气工程-灯具主材</t>
        </is>
      </c>
      <c r="H736" s="68" t="inlineStr">
        <is>
          <t>灯具主材-大堂</t>
        </is>
      </c>
      <c r="I736" s="69" t="inlineStr">
        <is>
          <t>1000041844</t>
        </is>
      </c>
      <c r="J736" s="69" t="inlineStr">
        <is>
          <t>OPPLE暗藏轨道射灯 LO3</t>
        </is>
      </c>
      <c r="K736" s="70" t="n"/>
      <c r="L736" s="70" t="n"/>
      <c r="M736" s="71" t="inlineStr">
        <is>
          <t>个</t>
        </is>
      </c>
      <c r="N736" s="72" t="n">
        <v>126</v>
      </c>
      <c r="O736" s="72">
        <f>ROUND(N736*(1+$F$10),2)</f>
        <v/>
      </c>
      <c r="P736" s="73">
        <f>ROUND(K736*N736,2)</f>
        <v/>
      </c>
      <c r="Q736" s="74">
        <f>ROUND(L736*N736,2)</f>
        <v/>
      </c>
      <c r="R736" s="75" t="n"/>
      <c r="S736" s="76" t="n"/>
      <c r="T736" s="77">
        <f>K736-L736</f>
        <v/>
      </c>
      <c r="U736" s="77">
        <f>P736-Q736</f>
        <v/>
      </c>
      <c r="V736" s="77">
        <f>ABS(U736)</f>
        <v/>
      </c>
      <c r="W736" s="78">
        <f>T736/L736</f>
        <v/>
      </c>
      <c r="X736" s="79">
        <f>ABS(W736)</f>
        <v/>
      </c>
      <c r="AG736" s="80" t="inlineStr">
        <is>
          <t>个数</t>
        </is>
      </c>
    </row>
    <row r="737" ht="11.4" customHeight="1">
      <c r="A737" s="67" t="inlineStr">
        <is>
          <t>70</t>
        </is>
      </c>
      <c r="B737" s="67" t="inlineStr">
        <is>
          <t>1068</t>
        </is>
      </c>
      <c r="C737" s="67" t="inlineStr">
        <is>
          <t>1646</t>
        </is>
      </c>
      <c r="D737" s="68" t="inlineStr">
        <is>
          <t>01</t>
        </is>
      </c>
      <c r="E737" s="68" t="inlineStr">
        <is>
          <t>6 物业施工费</t>
        </is>
      </c>
      <c r="F737" s="68" t="inlineStr">
        <is>
          <t>6.1 总承包工程</t>
        </is>
      </c>
      <c r="G737" s="68" t="inlineStr">
        <is>
          <t>6.1.2A 电气工程-灯具主材</t>
        </is>
      </c>
      <c r="H737" s="68" t="inlineStr">
        <is>
          <t>灯具主材-大堂</t>
        </is>
      </c>
      <c r="I737" s="69" t="inlineStr">
        <is>
          <t>1000041849</t>
        </is>
      </c>
      <c r="J737" s="69" t="inlineStr">
        <is>
          <t>OPPLE圆形嵌入式射灯 L04</t>
        </is>
      </c>
      <c r="K737" s="70" t="n"/>
      <c r="L737" s="70" t="n"/>
      <c r="M737" s="71" t="inlineStr">
        <is>
          <t>个</t>
        </is>
      </c>
      <c r="N737" s="72" t="n">
        <v>105</v>
      </c>
      <c r="O737" s="72">
        <f>ROUND(N737*(1+$F$10),2)</f>
        <v/>
      </c>
      <c r="P737" s="73">
        <f>ROUND(K737*N737,2)</f>
        <v/>
      </c>
      <c r="Q737" s="74">
        <f>ROUND(L737*N737,2)</f>
        <v/>
      </c>
      <c r="R737" s="75" t="n"/>
      <c r="S737" s="76" t="n"/>
      <c r="T737" s="77">
        <f>K737-L737</f>
        <v/>
      </c>
      <c r="U737" s="77">
        <f>P737-Q737</f>
        <v/>
      </c>
      <c r="V737" s="77">
        <f>ABS(U737)</f>
        <v/>
      </c>
      <c r="W737" s="78">
        <f>T737/L737</f>
        <v/>
      </c>
      <c r="X737" s="79">
        <f>ABS(W737)</f>
        <v/>
      </c>
      <c r="AG737" s="80" t="inlineStr">
        <is>
          <t>个数</t>
        </is>
      </c>
    </row>
    <row r="738" ht="11.4" customHeight="1">
      <c r="A738" s="67" t="inlineStr">
        <is>
          <t>70</t>
        </is>
      </c>
      <c r="B738" s="67" t="inlineStr">
        <is>
          <t>1068</t>
        </is>
      </c>
      <c r="C738" s="67" t="inlineStr">
        <is>
          <t>1646</t>
        </is>
      </c>
      <c r="D738" s="68" t="inlineStr">
        <is>
          <t>01</t>
        </is>
      </c>
      <c r="E738" s="68" t="inlineStr">
        <is>
          <t>6 物业施工费</t>
        </is>
      </c>
      <c r="F738" s="68" t="inlineStr">
        <is>
          <t>6.1 总承包工程</t>
        </is>
      </c>
      <c r="G738" s="68" t="inlineStr">
        <is>
          <t>6.1.2A 电气工程-灯具主材</t>
        </is>
      </c>
      <c r="H738" s="68" t="inlineStr">
        <is>
          <t>灯具主材-大堂</t>
        </is>
      </c>
      <c r="I738" s="69" t="inlineStr">
        <is>
          <t>1000041860</t>
        </is>
      </c>
      <c r="J738" s="69" t="inlineStr">
        <is>
          <t>OPPLE长条壁灯 L07</t>
        </is>
      </c>
      <c r="K738" s="70" t="n"/>
      <c r="L738" s="70" t="n"/>
      <c r="M738" s="71" t="inlineStr">
        <is>
          <t>个</t>
        </is>
      </c>
      <c r="N738" s="72" t="n">
        <v>661.5</v>
      </c>
      <c r="O738" s="72">
        <f>ROUND(N738*(1+$F$10),2)</f>
        <v/>
      </c>
      <c r="P738" s="73">
        <f>ROUND(K738*N738,2)</f>
        <v/>
      </c>
      <c r="Q738" s="74">
        <f>ROUND(L738*N738,2)</f>
        <v/>
      </c>
      <c r="R738" s="75" t="n"/>
      <c r="S738" s="76" t="n"/>
      <c r="T738" s="77">
        <f>K738-L738</f>
        <v/>
      </c>
      <c r="U738" s="77">
        <f>P738-Q738</f>
        <v/>
      </c>
      <c r="V738" s="77">
        <f>ABS(U738)</f>
        <v/>
      </c>
      <c r="W738" s="78">
        <f>T738/L738</f>
        <v/>
      </c>
      <c r="X738" s="79">
        <f>ABS(W738)</f>
        <v/>
      </c>
      <c r="AG738" s="80" t="inlineStr">
        <is>
          <t>个数</t>
        </is>
      </c>
    </row>
    <row r="739" ht="11.4" customHeight="1">
      <c r="A739" s="67" t="inlineStr">
        <is>
          <t>70</t>
        </is>
      </c>
      <c r="B739" s="67" t="inlineStr">
        <is>
          <t>1068</t>
        </is>
      </c>
      <c r="C739" s="67" t="inlineStr">
        <is>
          <t>1646</t>
        </is>
      </c>
      <c r="D739" s="68" t="inlineStr">
        <is>
          <t>01</t>
        </is>
      </c>
      <c r="E739" s="68" t="inlineStr">
        <is>
          <t>6 物业施工费</t>
        </is>
      </c>
      <c r="F739" s="68" t="inlineStr">
        <is>
          <t>6.1 总承包工程</t>
        </is>
      </c>
      <c r="G739" s="68" t="inlineStr">
        <is>
          <t>6.1.2A 电气工程-灯具主材</t>
        </is>
      </c>
      <c r="H739" s="68" t="inlineStr">
        <is>
          <t>灯具主材-大堂</t>
        </is>
      </c>
      <c r="I739" s="69" t="inlineStr">
        <is>
          <t>1000041856</t>
        </is>
      </c>
      <c r="J739" s="69" t="inlineStr">
        <is>
          <t>OPPLE Wall Light L08</t>
        </is>
      </c>
      <c r="K739" s="70" t="n"/>
      <c r="L739" s="70" t="n"/>
      <c r="M739" s="71" t="inlineStr">
        <is>
          <t>个</t>
        </is>
      </c>
      <c r="N739" s="72" t="n">
        <v>488.25</v>
      </c>
      <c r="O739" s="72">
        <f>ROUND(N739*(1+$F$10),2)</f>
        <v/>
      </c>
      <c r="P739" s="73">
        <f>ROUND(K739*N739,2)</f>
        <v/>
      </c>
      <c r="Q739" s="74">
        <f>ROUND(L739*N739,2)</f>
        <v/>
      </c>
      <c r="R739" s="75" t="n"/>
      <c r="S739" s="76" t="n"/>
      <c r="T739" s="77">
        <f>K739-L739</f>
        <v/>
      </c>
      <c r="U739" s="77">
        <f>P739-Q739</f>
        <v/>
      </c>
      <c r="V739" s="77">
        <f>ABS(U739)</f>
        <v/>
      </c>
      <c r="W739" s="78">
        <f>T739/L739</f>
        <v/>
      </c>
      <c r="X739" s="79">
        <f>ABS(W739)</f>
        <v/>
      </c>
      <c r="AG739" s="80" t="inlineStr">
        <is>
          <t>个数</t>
        </is>
      </c>
    </row>
    <row r="740" ht="11.4" customHeight="1">
      <c r="A740" s="67" t="inlineStr">
        <is>
          <t>70</t>
        </is>
      </c>
      <c r="B740" s="67" t="inlineStr">
        <is>
          <t>1068</t>
        </is>
      </c>
      <c r="C740" s="67" t="inlineStr">
        <is>
          <t>1646</t>
        </is>
      </c>
      <c r="D740" s="68" t="inlineStr">
        <is>
          <t>01</t>
        </is>
      </c>
      <c r="E740" s="68" t="inlineStr">
        <is>
          <t>6 物业施工费</t>
        </is>
      </c>
      <c r="F740" s="68" t="inlineStr">
        <is>
          <t>6.1 总承包工程</t>
        </is>
      </c>
      <c r="G740" s="68" t="inlineStr">
        <is>
          <t>6.1.2A 电气工程-灯具主材</t>
        </is>
      </c>
      <c r="H740" s="68" t="inlineStr">
        <is>
          <t>灯具主材-大堂</t>
        </is>
      </c>
      <c r="I740" s="69" t="inlineStr">
        <is>
          <t>1000041857</t>
        </is>
      </c>
      <c r="J740" s="69" t="inlineStr">
        <is>
          <t>OPPLE LED灯带 L09</t>
        </is>
      </c>
      <c r="K740" s="70" t="n"/>
      <c r="L740" s="70" t="n"/>
      <c r="M740" s="71" t="inlineStr">
        <is>
          <t>米</t>
        </is>
      </c>
      <c r="N740" s="72" t="n">
        <v>36.75</v>
      </c>
      <c r="O740" s="72">
        <f>ROUND(N740*(1+$F$10),2)</f>
        <v/>
      </c>
      <c r="P740" s="73">
        <f>ROUND(K740*N740,2)</f>
        <v/>
      </c>
      <c r="Q740" s="74">
        <f>ROUND(L740*N740,2)</f>
        <v/>
      </c>
      <c r="R740" s="75" t="n"/>
      <c r="S740" s="76" t="n"/>
      <c r="T740" s="77">
        <f>K740-L740</f>
        <v/>
      </c>
      <c r="U740" s="77">
        <f>P740-Q740</f>
        <v/>
      </c>
      <c r="V740" s="77">
        <f>ABS(U740)</f>
        <v/>
      </c>
      <c r="W740" s="78">
        <f>T740/L740</f>
        <v/>
      </c>
      <c r="X740" s="79">
        <f>ABS(W740)</f>
        <v/>
      </c>
      <c r="AH740" s="80" t="inlineStr">
        <is>
          <t>待定</t>
        </is>
      </c>
    </row>
    <row r="741" ht="11.4" customHeight="1">
      <c r="A741" s="67" t="inlineStr">
        <is>
          <t>70</t>
        </is>
      </c>
      <c r="B741" s="67" t="inlineStr">
        <is>
          <t>1068</t>
        </is>
      </c>
      <c r="C741" s="67" t="inlineStr">
        <is>
          <t>1646</t>
        </is>
      </c>
      <c r="D741" s="68" t="inlineStr">
        <is>
          <t>01</t>
        </is>
      </c>
      <c r="E741" s="68" t="inlineStr">
        <is>
          <t>6 物业施工费</t>
        </is>
      </c>
      <c r="F741" s="68" t="inlineStr">
        <is>
          <t>6.1 总承包工程</t>
        </is>
      </c>
      <c r="G741" s="68" t="inlineStr">
        <is>
          <t>6.1.2A 电气工程-灯具主材</t>
        </is>
      </c>
      <c r="H741" s="68" t="inlineStr">
        <is>
          <t>灯具主材-大堂</t>
        </is>
      </c>
      <c r="I741" s="69" t="inlineStr">
        <is>
          <t>1000041858</t>
        </is>
      </c>
      <c r="J741" s="69" t="inlineStr">
        <is>
          <t>OPPLE L09配套电源变压器（每10米配备一个）</t>
        </is>
      </c>
      <c r="K741" s="70" t="n"/>
      <c r="L741" s="70" t="n"/>
      <c r="M741" s="71" t="inlineStr">
        <is>
          <t>个</t>
        </is>
      </c>
      <c r="N741" s="72" t="n">
        <v>105</v>
      </c>
      <c r="O741" s="72">
        <f>ROUND(N741*(1+$F$10),2)</f>
        <v/>
      </c>
      <c r="P741" s="73">
        <f>ROUND(K741*N741,2)</f>
        <v/>
      </c>
      <c r="Q741" s="74">
        <f>ROUND(L741*N741,2)</f>
        <v/>
      </c>
      <c r="R741" s="75" t="n"/>
      <c r="S741" s="76" t="n"/>
      <c r="T741" s="77">
        <f>K741-L741</f>
        <v/>
      </c>
      <c r="U741" s="77">
        <f>P741-Q741</f>
        <v/>
      </c>
      <c r="V741" s="77">
        <f>ABS(U741)</f>
        <v/>
      </c>
      <c r="W741" s="78">
        <f>T741/L741</f>
        <v/>
      </c>
      <c r="X741" s="79">
        <f>ABS(W741)</f>
        <v/>
      </c>
      <c r="AG741" s="80" t="n"/>
      <c r="AH741" s="80" t="inlineStr">
        <is>
          <t>待定</t>
        </is>
      </c>
    </row>
    <row r="742" ht="11.4" customHeight="1">
      <c r="A742" s="67" t="inlineStr">
        <is>
          <t>70</t>
        </is>
      </c>
      <c r="B742" s="67" t="inlineStr">
        <is>
          <t>1068</t>
        </is>
      </c>
      <c r="C742" s="67" t="inlineStr">
        <is>
          <t>1646</t>
        </is>
      </c>
      <c r="D742" s="68" t="inlineStr">
        <is>
          <t>01</t>
        </is>
      </c>
      <c r="E742" s="68" t="inlineStr">
        <is>
          <t>6 物业施工费</t>
        </is>
      </c>
      <c r="F742" s="68" t="inlineStr">
        <is>
          <t>6.1 总承包工程</t>
        </is>
      </c>
      <c r="G742" s="68" t="inlineStr">
        <is>
          <t>6.1.2A 电气工程-灯具主材</t>
        </is>
      </c>
      <c r="H742" s="68" t="inlineStr">
        <is>
          <t>灯具主材-大堂</t>
        </is>
      </c>
      <c r="I742" s="69" t="inlineStr">
        <is>
          <t>1000041859</t>
        </is>
      </c>
      <c r="J742" s="69" t="inlineStr">
        <is>
          <t>OPPLE L05配套导轨 Track L=2000mm</t>
        </is>
      </c>
      <c r="K742" s="70" t="n"/>
      <c r="L742" s="70" t="n"/>
      <c r="M742" s="71" t="inlineStr">
        <is>
          <t>个</t>
        </is>
      </c>
      <c r="N742" s="72" t="n">
        <v>77.7</v>
      </c>
      <c r="O742" s="72">
        <f>ROUND(N742*(1+$F$10),2)</f>
        <v/>
      </c>
      <c r="P742" s="73">
        <f>ROUND(K742*N742,2)</f>
        <v/>
      </c>
      <c r="Q742" s="74">
        <f>ROUND(L742*N742,2)</f>
        <v/>
      </c>
      <c r="R742" s="75" t="n"/>
      <c r="S742" s="76" t="n"/>
      <c r="T742" s="77">
        <f>K742-L742</f>
        <v/>
      </c>
      <c r="U742" s="77">
        <f>P742-Q742</f>
        <v/>
      </c>
      <c r="V742" s="77">
        <f>ABS(U742)</f>
        <v/>
      </c>
      <c r="W742" s="78">
        <f>T742/L742</f>
        <v/>
      </c>
      <c r="X742" s="79">
        <f>ABS(W742)</f>
        <v/>
      </c>
      <c r="AG742" s="80" t="inlineStr">
        <is>
          <t>公式</t>
        </is>
      </c>
    </row>
    <row r="743" ht="11.4" customHeight="1">
      <c r="A743" s="67" t="inlineStr">
        <is>
          <t>70</t>
        </is>
      </c>
      <c r="B743" s="67" t="inlineStr">
        <is>
          <t>1068</t>
        </is>
      </c>
      <c r="C743" s="67" t="inlineStr">
        <is>
          <t>1646</t>
        </is>
      </c>
      <c r="D743" s="68" t="inlineStr">
        <is>
          <t>01</t>
        </is>
      </c>
      <c r="E743" s="68" t="inlineStr">
        <is>
          <t>6 物业施工费</t>
        </is>
      </c>
      <c r="F743" s="68" t="inlineStr">
        <is>
          <t>6.1 总承包工程</t>
        </is>
      </c>
      <c r="G743" s="68" t="inlineStr">
        <is>
          <t>6.1.2A 电气工程-灯具主材</t>
        </is>
      </c>
      <c r="H743" s="68" t="inlineStr">
        <is>
          <t>灯具主材-大堂</t>
        </is>
      </c>
      <c r="I743" s="69" t="inlineStr">
        <is>
          <t>1000041854</t>
        </is>
      </c>
      <c r="J743" s="69" t="inlineStr">
        <is>
          <t>OPPLE L05配套导轨 Track L=1000mm</t>
        </is>
      </c>
      <c r="K743" s="70" t="n"/>
      <c r="L743" s="70" t="n"/>
      <c r="M743" s="71" t="inlineStr">
        <is>
          <t>个</t>
        </is>
      </c>
      <c r="N743" s="72" t="n">
        <v>38.85</v>
      </c>
      <c r="O743" s="72">
        <f>ROUND(N743*(1+$F$10),2)</f>
        <v/>
      </c>
      <c r="P743" s="73">
        <f>ROUND(K743*N743,2)</f>
        <v/>
      </c>
      <c r="Q743" s="74">
        <f>ROUND(L743*N743,2)</f>
        <v/>
      </c>
      <c r="R743" s="75" t="n"/>
      <c r="S743" s="76" t="n"/>
      <c r="T743" s="77">
        <f>K743-L743</f>
        <v/>
      </c>
      <c r="U743" s="77">
        <f>P743-Q743</f>
        <v/>
      </c>
      <c r="V743" s="77">
        <f>ABS(U743)</f>
        <v/>
      </c>
      <c r="W743" s="78">
        <f>T743/L743</f>
        <v/>
      </c>
      <c r="X743" s="79">
        <f>ABS(W743)</f>
        <v/>
      </c>
      <c r="AG743" s="6" t="inlineStr">
        <is>
          <t>公式</t>
        </is>
      </c>
    </row>
    <row r="744" ht="11.4" customHeight="1">
      <c r="A744" s="67" t="inlineStr">
        <is>
          <t>70</t>
        </is>
      </c>
      <c r="B744" s="67" t="inlineStr">
        <is>
          <t>1068</t>
        </is>
      </c>
      <c r="C744" s="67" t="inlineStr">
        <is>
          <t>1646</t>
        </is>
      </c>
      <c r="D744" s="68" t="inlineStr">
        <is>
          <t>01</t>
        </is>
      </c>
      <c r="E744" s="68" t="inlineStr">
        <is>
          <t>6 物业施工费</t>
        </is>
      </c>
      <c r="F744" s="68" t="inlineStr">
        <is>
          <t>6.1 总承包工程</t>
        </is>
      </c>
      <c r="G744" s="68" t="inlineStr">
        <is>
          <t>6.1.2A 电气工程-灯具主材</t>
        </is>
      </c>
      <c r="H744" s="68" t="inlineStr">
        <is>
          <t>灯具主材-大堂</t>
        </is>
      </c>
      <c r="I744" s="69" t="inlineStr">
        <is>
          <t>1000041855</t>
        </is>
      </c>
      <c r="J744" s="69" t="inlineStr">
        <is>
          <t>OPPLE L05配套导轨连接件 Track connector</t>
        </is>
      </c>
      <c r="K744" s="70" t="n"/>
      <c r="L744" s="70" t="n"/>
      <c r="M744" s="71" t="inlineStr">
        <is>
          <t>个</t>
        </is>
      </c>
      <c r="N744" s="72" t="n">
        <v>8.4</v>
      </c>
      <c r="O744" s="72">
        <f>ROUND(N744*(1+$F$10),2)</f>
        <v/>
      </c>
      <c r="P744" s="73">
        <f>ROUND(K744*N744,2)</f>
        <v/>
      </c>
      <c r="Q744" s="74">
        <f>ROUND(L744*N744,2)</f>
        <v/>
      </c>
      <c r="R744" s="75" t="n"/>
      <c r="S744" s="76" t="n"/>
      <c r="T744" s="77">
        <f>K744-L744</f>
        <v/>
      </c>
      <c r="U744" s="77">
        <f>P744-Q744</f>
        <v/>
      </c>
      <c r="V744" s="77">
        <f>ABS(U744)</f>
        <v/>
      </c>
      <c r="W744" s="78">
        <f>T744/L744</f>
        <v/>
      </c>
      <c r="X744" s="79">
        <f>ABS(W744)</f>
        <v/>
      </c>
      <c r="AG744" s="80" t="inlineStr">
        <is>
          <t>公式</t>
        </is>
      </c>
    </row>
    <row r="745" ht="11.4" customHeight="1">
      <c r="A745" s="67" t="inlineStr">
        <is>
          <t>70</t>
        </is>
      </c>
      <c r="B745" s="67" t="inlineStr">
        <is>
          <t>1068</t>
        </is>
      </c>
      <c r="C745" s="67" t="inlineStr">
        <is>
          <t>1646</t>
        </is>
      </c>
      <c r="D745" s="68" t="inlineStr">
        <is>
          <t>01</t>
        </is>
      </c>
      <c r="E745" s="68" t="inlineStr">
        <is>
          <t>6 物业施工费</t>
        </is>
      </c>
      <c r="F745" s="68" t="inlineStr">
        <is>
          <t>6.1 总承包工程</t>
        </is>
      </c>
      <c r="G745" s="68" t="inlineStr">
        <is>
          <t>6.1.2A 电气工程-灯具主材</t>
        </is>
      </c>
      <c r="H745" s="68" t="inlineStr">
        <is>
          <t>灯具主材-大堂</t>
        </is>
      </c>
      <c r="I745" s="69" t="inlineStr">
        <is>
          <t>1000041840</t>
        </is>
      </c>
      <c r="J745" s="69" t="inlineStr">
        <is>
          <t>OPPLE装饰性灯具（吊灯光源L3-E/L4-E）</t>
        </is>
      </c>
      <c r="K745" s="70" t="n"/>
      <c r="L745" s="70" t="n"/>
      <c r="M745" s="71" t="inlineStr">
        <is>
          <t>个</t>
        </is>
      </c>
      <c r="N745" s="72" t="n">
        <v>57.75</v>
      </c>
      <c r="O745" s="72">
        <f>ROUND(N745*(1+$F$10),2)</f>
        <v/>
      </c>
      <c r="P745" s="73">
        <f>ROUND(K745*N745,2)</f>
        <v/>
      </c>
      <c r="Q745" s="74">
        <f>ROUND(L745*N745,2)</f>
        <v/>
      </c>
      <c r="R745" s="75" t="n"/>
      <c r="S745" s="76" t="n"/>
      <c r="T745" s="77">
        <f>K745-L745</f>
        <v/>
      </c>
      <c r="U745" s="77">
        <f>P745-Q745</f>
        <v/>
      </c>
      <c r="V745" s="77">
        <f>ABS(U745)</f>
        <v/>
      </c>
      <c r="W745" s="78">
        <f>T745/L745</f>
        <v/>
      </c>
      <c r="X745" s="79">
        <f>ABS(W745)</f>
        <v/>
      </c>
      <c r="AG745" s="80" t="inlineStr">
        <is>
          <t>个数</t>
        </is>
      </c>
    </row>
    <row r="746" ht="11.4" customHeight="1">
      <c r="A746" s="67" t="inlineStr">
        <is>
          <t>70</t>
        </is>
      </c>
      <c r="B746" s="67" t="inlineStr">
        <is>
          <t>1068</t>
        </is>
      </c>
      <c r="C746" s="67" t="inlineStr">
        <is>
          <t>1646</t>
        </is>
      </c>
      <c r="D746" s="68" t="inlineStr">
        <is>
          <t>01</t>
        </is>
      </c>
      <c r="E746" s="68" t="inlineStr">
        <is>
          <t>6 物业施工费</t>
        </is>
      </c>
      <c r="F746" s="68" t="inlineStr">
        <is>
          <t>6.1 总承包工程</t>
        </is>
      </c>
      <c r="G746" s="68" t="inlineStr">
        <is>
          <t>6.1.2A 电气工程-灯具主材</t>
        </is>
      </c>
      <c r="H746" s="68" t="inlineStr">
        <is>
          <t>灯具主材-大堂</t>
        </is>
      </c>
      <c r="I746" s="69" t="inlineStr">
        <is>
          <t>1000041842</t>
        </is>
      </c>
      <c r="J746" s="69" t="inlineStr">
        <is>
          <t>OPPLE圆形嵌入式射灯 L1-E</t>
        </is>
      </c>
      <c r="K746" s="70" t="n"/>
      <c r="L746" s="70" t="n"/>
      <c r="M746" s="71" t="inlineStr">
        <is>
          <t>个</t>
        </is>
      </c>
      <c r="N746" s="72" t="n">
        <v>131.25</v>
      </c>
      <c r="O746" s="72">
        <f>ROUND(N746*(1+$F$10),2)</f>
        <v/>
      </c>
      <c r="P746" s="73">
        <f>ROUND(K746*N746,2)</f>
        <v/>
      </c>
      <c r="Q746" s="74">
        <f>ROUND(L746*N746,2)</f>
        <v/>
      </c>
      <c r="R746" s="75" t="n"/>
      <c r="S746" s="76" t="n"/>
      <c r="T746" s="77">
        <f>K746-L746</f>
        <v/>
      </c>
      <c r="U746" s="77">
        <f>P746-Q746</f>
        <v/>
      </c>
      <c r="V746" s="77">
        <f>ABS(U746)</f>
        <v/>
      </c>
      <c r="W746" s="78">
        <f>T746/L746</f>
        <v/>
      </c>
      <c r="X746" s="79">
        <f>ABS(W746)</f>
        <v/>
      </c>
      <c r="AG746" s="80" t="inlineStr">
        <is>
          <t>个数</t>
        </is>
      </c>
    </row>
    <row r="747" ht="11.4" customHeight="1">
      <c r="A747" s="67" t="inlineStr">
        <is>
          <t>70</t>
        </is>
      </c>
      <c r="B747" s="67" t="inlineStr">
        <is>
          <t>1068</t>
        </is>
      </c>
      <c r="C747" s="67" t="inlineStr">
        <is>
          <t>1646</t>
        </is>
      </c>
      <c r="D747" s="68" t="inlineStr">
        <is>
          <t>01</t>
        </is>
      </c>
      <c r="E747" s="68" t="inlineStr">
        <is>
          <t>6 物业施工费</t>
        </is>
      </c>
      <c r="F747" s="68" t="inlineStr">
        <is>
          <t>6.1 总承包工程</t>
        </is>
      </c>
      <c r="G747" s="68" t="inlineStr">
        <is>
          <t>6.1.2A 电气工程-灯具主材</t>
        </is>
      </c>
      <c r="H747" s="68" t="inlineStr">
        <is>
          <t>灯具主材-大堂</t>
        </is>
      </c>
      <c r="I747" s="69" t="inlineStr">
        <is>
          <t>1000041843</t>
        </is>
      </c>
      <c r="J747" s="69" t="inlineStr">
        <is>
          <t>OPPLE圆形嵌入式射灯 L2-E/L5-E</t>
        </is>
      </c>
      <c r="K747" s="70" t="n"/>
      <c r="L747" s="70" t="n"/>
      <c r="M747" s="71" t="inlineStr">
        <is>
          <t>个</t>
        </is>
      </c>
      <c r="N747" s="72" t="n">
        <v>120.75</v>
      </c>
      <c r="O747" s="72">
        <f>ROUND(N747*(1+$F$10),2)</f>
        <v/>
      </c>
      <c r="P747" s="73">
        <f>ROUND(K747*N747,2)</f>
        <v/>
      </c>
      <c r="Q747" s="74">
        <f>ROUND(L747*N747,2)</f>
        <v/>
      </c>
      <c r="R747" s="75" t="n"/>
      <c r="S747" s="76" t="n"/>
      <c r="T747" s="77">
        <f>K747-L747</f>
        <v/>
      </c>
      <c r="U747" s="77">
        <f>P747-Q747</f>
        <v/>
      </c>
      <c r="V747" s="77">
        <f>ABS(U747)</f>
        <v/>
      </c>
      <c r="W747" s="78">
        <f>T747/L747</f>
        <v/>
      </c>
      <c r="X747" s="79">
        <f>ABS(W747)</f>
        <v/>
      </c>
      <c r="AG747" s="80" t="inlineStr">
        <is>
          <t>个数</t>
        </is>
      </c>
    </row>
    <row r="748" ht="11.4" customHeight="1">
      <c r="A748" s="67" t="inlineStr">
        <is>
          <t>70</t>
        </is>
      </c>
      <c r="B748" s="67" t="inlineStr">
        <is>
          <t>1068</t>
        </is>
      </c>
      <c r="C748" s="67" t="inlineStr">
        <is>
          <t>1646</t>
        </is>
      </c>
      <c r="D748" s="68" t="inlineStr">
        <is>
          <t>01</t>
        </is>
      </c>
      <c r="E748" s="68" t="inlineStr">
        <is>
          <t>6 物业施工费</t>
        </is>
      </c>
      <c r="F748" s="68" t="inlineStr">
        <is>
          <t>6.1 总承包工程</t>
        </is>
      </c>
      <c r="G748" s="68" t="inlineStr">
        <is>
          <t>6.1.2A 电气工程-灯具主材</t>
        </is>
      </c>
      <c r="H748" s="68" t="inlineStr">
        <is>
          <t>灯具主材-大堂</t>
        </is>
      </c>
      <c r="I748" s="69" t="inlineStr">
        <is>
          <t>1000041836</t>
        </is>
      </c>
      <c r="J748" s="69" t="inlineStr">
        <is>
          <t>OPPLE圆形嵌入式灯 L1-L</t>
        </is>
      </c>
      <c r="K748" s="70" t="n"/>
      <c r="L748" s="70" t="n"/>
      <c r="M748" s="71" t="inlineStr">
        <is>
          <t>个</t>
        </is>
      </c>
      <c r="N748" s="72" t="n">
        <v>120.75</v>
      </c>
      <c r="O748" s="72">
        <f>ROUND(N748*(1+$F$10),2)</f>
        <v/>
      </c>
      <c r="P748" s="73">
        <f>ROUND(K748*N748,2)</f>
        <v/>
      </c>
      <c r="Q748" s="74">
        <f>ROUND(L748*N748,2)</f>
        <v/>
      </c>
      <c r="R748" s="75" t="n"/>
      <c r="S748" s="76" t="n"/>
      <c r="T748" s="77">
        <f>K748-L748</f>
        <v/>
      </c>
      <c r="U748" s="77">
        <f>P748-Q748</f>
        <v/>
      </c>
      <c r="V748" s="77">
        <f>ABS(U748)</f>
        <v/>
      </c>
      <c r="W748" s="78">
        <f>T748/L748</f>
        <v/>
      </c>
      <c r="X748" s="79">
        <f>ABS(W748)</f>
        <v/>
      </c>
      <c r="AG748" s="80" t="inlineStr">
        <is>
          <t>个数</t>
        </is>
      </c>
    </row>
    <row r="749" ht="11.4" customHeight="1">
      <c r="A749" s="67" t="inlineStr">
        <is>
          <t>70</t>
        </is>
      </c>
      <c r="B749" s="67" t="inlineStr">
        <is>
          <t>1068</t>
        </is>
      </c>
      <c r="C749" s="67" t="inlineStr">
        <is>
          <t>1646</t>
        </is>
      </c>
      <c r="D749" s="68" t="inlineStr">
        <is>
          <t>01</t>
        </is>
      </c>
      <c r="E749" s="68" t="inlineStr">
        <is>
          <t>6 物业施工费</t>
        </is>
      </c>
      <c r="F749" s="68" t="inlineStr">
        <is>
          <t>6.1 总承包工程</t>
        </is>
      </c>
      <c r="G749" s="68" t="inlineStr">
        <is>
          <t>6.1.2A 电气工程-灯具主材</t>
        </is>
      </c>
      <c r="H749" s="68" t="inlineStr">
        <is>
          <t>灯具主材-大堂</t>
        </is>
      </c>
      <c r="I749" s="69" t="inlineStr">
        <is>
          <t>1000041835</t>
        </is>
      </c>
      <c r="J749" s="69" t="inlineStr">
        <is>
          <t>OPPLE圆形嵌入式灯 L2-L</t>
        </is>
      </c>
      <c r="K749" s="70" t="n"/>
      <c r="L749" s="70" t="n"/>
      <c r="M749" s="71" t="inlineStr">
        <is>
          <t>个</t>
        </is>
      </c>
      <c r="N749" s="72" t="n">
        <v>131.25</v>
      </c>
      <c r="O749" s="72">
        <f>ROUND(N749*(1+$F$10),2)</f>
        <v/>
      </c>
      <c r="P749" s="73">
        <f>ROUND(K749*N749,2)</f>
        <v/>
      </c>
      <c r="Q749" s="74">
        <f>ROUND(L749*N749,2)</f>
        <v/>
      </c>
      <c r="R749" s="75" t="n"/>
      <c r="S749" s="76" t="n"/>
      <c r="T749" s="77">
        <f>K749-L749</f>
        <v/>
      </c>
      <c r="U749" s="77">
        <f>P749-Q749</f>
        <v/>
      </c>
      <c r="V749" s="77">
        <f>ABS(U749)</f>
        <v/>
      </c>
      <c r="W749" s="78">
        <f>T749/L749</f>
        <v/>
      </c>
      <c r="X749" s="79">
        <f>ABS(W749)</f>
        <v/>
      </c>
      <c r="AG749" s="80" t="inlineStr">
        <is>
          <t>个数</t>
        </is>
      </c>
    </row>
    <row r="750" ht="11.4" customHeight="1">
      <c r="A750" s="67" t="inlineStr">
        <is>
          <t>70</t>
        </is>
      </c>
      <c r="B750" s="67" t="inlineStr">
        <is>
          <t>1068</t>
        </is>
      </c>
      <c r="C750" s="67" t="inlineStr">
        <is>
          <t>1646</t>
        </is>
      </c>
      <c r="D750" s="68" t="inlineStr">
        <is>
          <t>01</t>
        </is>
      </c>
      <c r="E750" s="68" t="inlineStr">
        <is>
          <t>6 物业施工费</t>
        </is>
      </c>
      <c r="F750" s="68" t="inlineStr">
        <is>
          <t>6.1 总承包工程</t>
        </is>
      </c>
      <c r="G750" s="68" t="inlineStr">
        <is>
          <t>6.1.2A 电气工程-灯具主材</t>
        </is>
      </c>
      <c r="H750" s="68" t="inlineStr">
        <is>
          <t>灯具主材-大堂</t>
        </is>
      </c>
      <c r="I750" s="69" t="inlineStr">
        <is>
          <t>1000041834</t>
        </is>
      </c>
      <c r="J750" s="69" t="inlineStr">
        <is>
          <t>OPPLE LED灯带含变压器 L3-L</t>
        </is>
      </c>
      <c r="K750" s="70" t="n"/>
      <c r="L750" s="70" t="n"/>
      <c r="M750" s="71" t="inlineStr">
        <is>
          <t>米</t>
        </is>
      </c>
      <c r="N750" s="72" t="n">
        <v>42</v>
      </c>
      <c r="O750" s="72">
        <f>ROUND(N750*(1+$F$10),2)</f>
        <v/>
      </c>
      <c r="P750" s="73">
        <f>ROUND(K750*N750,2)</f>
        <v/>
      </c>
      <c r="Q750" s="74">
        <f>ROUND(L750*N750,2)</f>
        <v/>
      </c>
      <c r="R750" s="75" t="n"/>
      <c r="S750" s="76" t="n"/>
      <c r="T750" s="77">
        <f>K750-L750</f>
        <v/>
      </c>
      <c r="U750" s="77">
        <f>P750-Q750</f>
        <v/>
      </c>
      <c r="V750" s="77">
        <f>ABS(U750)</f>
        <v/>
      </c>
      <c r="W750" s="78">
        <f>T750/L750</f>
        <v/>
      </c>
      <c r="X750" s="79">
        <f>ABS(W750)</f>
        <v/>
      </c>
      <c r="AH750" s="80" t="inlineStr">
        <is>
          <t>待定</t>
        </is>
      </c>
    </row>
    <row r="751" ht="11.4" customHeight="1">
      <c r="A751" s="67" t="inlineStr">
        <is>
          <t>71</t>
        </is>
      </c>
      <c r="B751" s="67" t="inlineStr">
        <is>
          <t>1069</t>
        </is>
      </c>
      <c r="C751" s="67" t="inlineStr">
        <is>
          <t>1646</t>
        </is>
      </c>
      <c r="D751" s="68" t="inlineStr">
        <is>
          <t>01</t>
        </is>
      </c>
      <c r="E751" s="68" t="inlineStr">
        <is>
          <t>6 物业施工费</t>
        </is>
      </c>
      <c r="F751" s="68" t="inlineStr">
        <is>
          <t>6.1 总承包工程</t>
        </is>
      </c>
      <c r="G751" s="68" t="inlineStr">
        <is>
          <t>6.1.2A 电气工程-灯具主材</t>
        </is>
      </c>
      <c r="H751" s="68" t="inlineStr">
        <is>
          <t>灯具主材-厨房</t>
        </is>
      </c>
      <c r="I751" s="69" t="inlineStr">
        <is>
          <t>1000021525</t>
        </is>
      </c>
      <c r="J751" s="69" t="inlineStr">
        <is>
          <t>PHILIPS LED 5W应急灯具90分钟E</t>
        </is>
      </c>
      <c r="K751" s="70" t="n"/>
      <c r="L751" s="70" t="n"/>
      <c r="M751" s="71" t="inlineStr">
        <is>
          <t>个</t>
        </is>
      </c>
      <c r="N751" s="72" t="n">
        <v>94.5</v>
      </c>
      <c r="O751" s="72">
        <f>ROUND(N751*(1+$F$10),2)</f>
        <v/>
      </c>
      <c r="P751" s="73">
        <f>ROUND(K751*N751,2)</f>
        <v/>
      </c>
      <c r="Q751" s="74">
        <f>ROUND(L751*N751,2)</f>
        <v/>
      </c>
      <c r="R751" s="75" t="n"/>
      <c r="S751" s="76" t="n"/>
      <c r="T751" s="77">
        <f>K751-L751</f>
        <v/>
      </c>
      <c r="U751" s="77">
        <f>P751-Q751</f>
        <v/>
      </c>
      <c r="V751" s="77">
        <f>ABS(U751)</f>
        <v/>
      </c>
      <c r="W751" s="78">
        <f>T751/L751</f>
        <v/>
      </c>
      <c r="X751" s="79">
        <f>ABS(W751)</f>
        <v/>
      </c>
      <c r="AG751" s="80" t="inlineStr">
        <is>
          <t>个数</t>
        </is>
      </c>
    </row>
    <row r="752" ht="11.4" customHeight="1">
      <c r="A752" s="67" t="inlineStr">
        <is>
          <t>71</t>
        </is>
      </c>
      <c r="B752" s="67" t="inlineStr">
        <is>
          <t>1069</t>
        </is>
      </c>
      <c r="C752" s="67" t="inlineStr">
        <is>
          <t>1646</t>
        </is>
      </c>
      <c r="D752" s="68" t="inlineStr">
        <is>
          <t>01</t>
        </is>
      </c>
      <c r="E752" s="68" t="inlineStr">
        <is>
          <t>6 物业施工费</t>
        </is>
      </c>
      <c r="F752" s="68" t="inlineStr">
        <is>
          <t>6.1 总承包工程</t>
        </is>
      </c>
      <c r="G752" s="68" t="inlineStr">
        <is>
          <t>6.1.2A 电气工程-灯具主材</t>
        </is>
      </c>
      <c r="H752" s="68" t="inlineStr">
        <is>
          <t>灯具主材-厨房</t>
        </is>
      </c>
      <c r="I752" s="69" t="inlineStr">
        <is>
          <t>1000021930</t>
        </is>
      </c>
      <c r="J752" s="69" t="inlineStr">
        <is>
          <t>灯槽内单管日光灯L13</t>
        </is>
      </c>
      <c r="K752" s="70" t="n">
        <v>3</v>
      </c>
      <c r="L752" s="70" t="n">
        <v>3</v>
      </c>
      <c r="M752" s="71" t="inlineStr">
        <is>
          <t>个</t>
        </is>
      </c>
      <c r="N752" s="72" t="n">
        <v>107.69</v>
      </c>
      <c r="O752" s="72">
        <f>ROUND(N752*(1+$F$10),2)</f>
        <v/>
      </c>
      <c r="P752" s="73">
        <f>ROUND(K752*N752,2)</f>
        <v/>
      </c>
      <c r="Q752" s="74">
        <f>ROUND(L752*N752,2)</f>
        <v/>
      </c>
      <c r="R752" s="75" t="n"/>
      <c r="S752" s="76" t="n"/>
      <c r="T752" s="77">
        <f>K752-L752</f>
        <v/>
      </c>
      <c r="U752" s="77">
        <f>P752-Q752</f>
        <v/>
      </c>
      <c r="V752" s="77">
        <f>ABS(U752)</f>
        <v/>
      </c>
      <c r="W752" s="78">
        <f>T752/L752</f>
        <v/>
      </c>
      <c r="X752" s="79">
        <f>ABS(W752)</f>
        <v/>
      </c>
      <c r="AG752" s="80" t="inlineStr">
        <is>
          <t>个数</t>
        </is>
      </c>
    </row>
    <row r="753" ht="11.4" customHeight="1">
      <c r="A753" s="67" t="inlineStr">
        <is>
          <t>71</t>
        </is>
      </c>
      <c r="B753" s="67" t="inlineStr">
        <is>
          <t>1069</t>
        </is>
      </c>
      <c r="C753" s="67" t="inlineStr">
        <is>
          <t>1646</t>
        </is>
      </c>
      <c r="D753" s="68" t="inlineStr">
        <is>
          <t>01</t>
        </is>
      </c>
      <c r="E753" s="68" t="inlineStr">
        <is>
          <t>6 物业施工费</t>
        </is>
      </c>
      <c r="F753" s="68" t="inlineStr">
        <is>
          <t>6.1 总承包工程</t>
        </is>
      </c>
      <c r="G753" s="68" t="inlineStr">
        <is>
          <t>6.1.2A 电气工程-灯具主材</t>
        </is>
      </c>
      <c r="H753" s="68" t="inlineStr">
        <is>
          <t>灯具主材-厨房</t>
        </is>
      </c>
      <c r="I753" s="69" t="inlineStr">
        <is>
          <t>1000051748</t>
        </is>
      </c>
      <c r="J753" s="69" t="inlineStr">
        <is>
          <t>A型应急灯</t>
        </is>
      </c>
      <c r="K753" s="83" t="n">
        <v>9</v>
      </c>
      <c r="L753" s="70" t="n">
        <v>10</v>
      </c>
      <c r="M753" s="71" t="inlineStr">
        <is>
          <t>个</t>
        </is>
      </c>
      <c r="N753" s="72" t="n">
        <v>40.95</v>
      </c>
      <c r="O753" s="72">
        <f>ROUND(N753*(1+$F$10),2)</f>
        <v/>
      </c>
      <c r="P753" s="73">
        <f>ROUND(K753*N753,2)</f>
        <v/>
      </c>
      <c r="Q753" s="74">
        <f>ROUND(L753*N753,2)</f>
        <v/>
      </c>
      <c r="R753" s="75" t="n"/>
      <c r="S753" s="76" t="n"/>
      <c r="T753" s="77">
        <f>K753-L753</f>
        <v/>
      </c>
      <c r="U753" s="77">
        <f>P753-Q753</f>
        <v/>
      </c>
      <c r="V753" s="77">
        <f>ABS(U753)</f>
        <v/>
      </c>
      <c r="W753" s="78">
        <f>T753/L753</f>
        <v/>
      </c>
      <c r="X753" s="79">
        <f>ABS(W753)</f>
        <v/>
      </c>
      <c r="AG753" s="80" t="inlineStr">
        <is>
          <t>个数</t>
        </is>
      </c>
    </row>
    <row r="754" ht="11.4" customHeight="1">
      <c r="A754" s="67" t="inlineStr">
        <is>
          <t>71</t>
        </is>
      </c>
      <c r="B754" s="67" t="inlineStr">
        <is>
          <t>1069</t>
        </is>
      </c>
      <c r="C754" s="67" t="inlineStr">
        <is>
          <t>1646</t>
        </is>
      </c>
      <c r="D754" s="68" t="inlineStr">
        <is>
          <t>01</t>
        </is>
      </c>
      <c r="E754" s="68" t="inlineStr">
        <is>
          <t>6 物业施工费</t>
        </is>
      </c>
      <c r="F754" s="68" t="inlineStr">
        <is>
          <t>6.1 总承包工程</t>
        </is>
      </c>
      <c r="G754" s="68" t="inlineStr">
        <is>
          <t>6.1.2A 电气工程-灯具主材</t>
        </is>
      </c>
      <c r="H754" s="68" t="inlineStr">
        <is>
          <t>灯具主材-厨房</t>
        </is>
      </c>
      <c r="I754" s="69" t="inlineStr">
        <is>
          <t>1000021526</t>
        </is>
      </c>
      <c r="J754" s="69" t="inlineStr">
        <is>
          <t>PHILIPS方形LED灯筒灯灯具  L1</t>
        </is>
      </c>
      <c r="K754" s="70" t="n"/>
      <c r="L754" s="70" t="n"/>
      <c r="M754" s="71" t="inlineStr">
        <is>
          <t>个</t>
        </is>
      </c>
      <c r="N754" s="72" t="n">
        <v>131.25</v>
      </c>
      <c r="O754" s="72">
        <f>ROUND(N754*(1+$F$10),2)</f>
        <v/>
      </c>
      <c r="P754" s="73">
        <f>ROUND(K754*N754,2)</f>
        <v/>
      </c>
      <c r="Q754" s="74">
        <f>ROUND(L754*N754,2)</f>
        <v/>
      </c>
      <c r="R754" s="75" t="n"/>
      <c r="S754" s="76" t="n"/>
      <c r="T754" s="77">
        <f>K754-L754</f>
        <v/>
      </c>
      <c r="U754" s="77">
        <f>P754-Q754</f>
        <v/>
      </c>
      <c r="V754" s="77">
        <f>ABS(U754)</f>
        <v/>
      </c>
      <c r="W754" s="78">
        <f>T754/L754</f>
        <v/>
      </c>
      <c r="X754" s="79">
        <f>ABS(W754)</f>
        <v/>
      </c>
      <c r="AG754" s="80" t="inlineStr">
        <is>
          <t>个数</t>
        </is>
      </c>
    </row>
    <row r="755" ht="11.4" customHeight="1">
      <c r="A755" s="67" t="inlineStr">
        <is>
          <t>71</t>
        </is>
      </c>
      <c r="B755" s="67" t="inlineStr">
        <is>
          <t>1069</t>
        </is>
      </c>
      <c r="C755" s="67" t="inlineStr">
        <is>
          <t>1646</t>
        </is>
      </c>
      <c r="D755" s="68" t="inlineStr">
        <is>
          <t>01</t>
        </is>
      </c>
      <c r="E755" s="68" t="inlineStr">
        <is>
          <t>6 物业施工费</t>
        </is>
      </c>
      <c r="F755" s="68" t="inlineStr">
        <is>
          <t>6.1 总承包工程</t>
        </is>
      </c>
      <c r="G755" s="68" t="inlineStr">
        <is>
          <t>6.1.2A 电气工程-灯具主材</t>
        </is>
      </c>
      <c r="H755" s="68" t="inlineStr">
        <is>
          <t>灯具主材-厨房</t>
        </is>
      </c>
      <c r="I755" s="69" t="inlineStr">
        <is>
          <t>1000021527</t>
        </is>
      </c>
      <c r="J755" s="69" t="inlineStr">
        <is>
          <t>PHILIPS双头方形LED灯筒灯灯具  L2</t>
        </is>
      </c>
      <c r="K755" s="70" t="n"/>
      <c r="L755" s="70" t="n"/>
      <c r="M755" s="71" t="inlineStr">
        <is>
          <t>个</t>
        </is>
      </c>
      <c r="N755" s="72" t="n">
        <v>222.6</v>
      </c>
      <c r="O755" s="72">
        <f>ROUND(N755*(1+$F$10),2)</f>
        <v/>
      </c>
      <c r="P755" s="73">
        <f>ROUND(K755*N755,2)</f>
        <v/>
      </c>
      <c r="Q755" s="74">
        <f>ROUND(L755*N755,2)</f>
        <v/>
      </c>
      <c r="R755" s="75" t="n"/>
      <c r="S755" s="76" t="n"/>
      <c r="T755" s="77">
        <f>K755-L755</f>
        <v/>
      </c>
      <c r="U755" s="77">
        <f>P755-Q755</f>
        <v/>
      </c>
      <c r="V755" s="77">
        <f>ABS(U755)</f>
        <v/>
      </c>
      <c r="W755" s="78">
        <f>T755/L755</f>
        <v/>
      </c>
      <c r="X755" s="79">
        <f>ABS(W755)</f>
        <v/>
      </c>
      <c r="AG755" s="80" t="inlineStr">
        <is>
          <t>个数</t>
        </is>
      </c>
    </row>
    <row r="756" ht="11.4" customHeight="1">
      <c r="A756" s="67" t="inlineStr">
        <is>
          <t>71</t>
        </is>
      </c>
      <c r="B756" s="67" t="inlineStr">
        <is>
          <t>1069</t>
        </is>
      </c>
      <c r="C756" s="67" t="inlineStr">
        <is>
          <t>1646</t>
        </is>
      </c>
      <c r="D756" s="68" t="inlineStr">
        <is>
          <t>01</t>
        </is>
      </c>
      <c r="E756" s="68" t="inlineStr">
        <is>
          <t>6 物业施工费</t>
        </is>
      </c>
      <c r="F756" s="68" t="inlineStr">
        <is>
          <t>6.1 总承包工程</t>
        </is>
      </c>
      <c r="G756" s="68" t="inlineStr">
        <is>
          <t>6.1.2A 电气工程-灯具主材</t>
        </is>
      </c>
      <c r="H756" s="68" t="inlineStr">
        <is>
          <t>灯具主材-厨房</t>
        </is>
      </c>
      <c r="I756" s="69" t="inlineStr">
        <is>
          <t>1000021528</t>
        </is>
      </c>
      <c r="J756" s="69" t="inlineStr">
        <is>
          <t>PHILIPS方形嵌入式LED射灯28W  L3</t>
        </is>
      </c>
      <c r="K756" s="70" t="n"/>
      <c r="L756" s="70" t="n"/>
      <c r="M756" s="71" t="inlineStr">
        <is>
          <t>个</t>
        </is>
      </c>
      <c r="N756" s="72" t="n">
        <v>176.4</v>
      </c>
      <c r="O756" s="72">
        <f>ROUND(N756*(1+$F$10),2)</f>
        <v/>
      </c>
      <c r="P756" s="73">
        <f>ROUND(K756*N756,2)</f>
        <v/>
      </c>
      <c r="Q756" s="74">
        <f>ROUND(L756*N756,2)</f>
        <v/>
      </c>
      <c r="R756" s="75" t="n"/>
      <c r="S756" s="76" t="n"/>
      <c r="T756" s="77">
        <f>K756-L756</f>
        <v/>
      </c>
      <c r="U756" s="77">
        <f>P756-Q756</f>
        <v/>
      </c>
      <c r="V756" s="77">
        <f>ABS(U756)</f>
        <v/>
      </c>
      <c r="W756" s="78">
        <f>T756/L756</f>
        <v/>
      </c>
      <c r="X756" s="79">
        <f>ABS(W756)</f>
        <v/>
      </c>
      <c r="AG756" s="80" t="inlineStr">
        <is>
          <t>个数</t>
        </is>
      </c>
    </row>
    <row r="757" ht="11.4" customHeight="1">
      <c r="A757" s="67" t="inlineStr">
        <is>
          <t>71</t>
        </is>
      </c>
      <c r="B757" s="67" t="inlineStr">
        <is>
          <t>1069</t>
        </is>
      </c>
      <c r="C757" s="67" t="inlineStr">
        <is>
          <t>1646</t>
        </is>
      </c>
      <c r="D757" s="68" t="inlineStr">
        <is>
          <t>01</t>
        </is>
      </c>
      <c r="E757" s="68" t="inlineStr">
        <is>
          <t>6 物业施工费</t>
        </is>
      </c>
      <c r="F757" s="68" t="inlineStr">
        <is>
          <t>6.1 总承包工程</t>
        </is>
      </c>
      <c r="G757" s="68" t="inlineStr">
        <is>
          <t>6.1.2A 电气工程-灯具主材</t>
        </is>
      </c>
      <c r="H757" s="68" t="inlineStr">
        <is>
          <t>灯具主材-厨房</t>
        </is>
      </c>
      <c r="I757" s="69" t="inlineStr">
        <is>
          <t>1000021529</t>
        </is>
      </c>
      <c r="J757" s="69" t="inlineStr">
        <is>
          <t>PHILIPS深照型圆形LED灯筒灯灯具  L4</t>
        </is>
      </c>
      <c r="K757" s="70" t="n"/>
      <c r="L757" s="70" t="n"/>
      <c r="M757" s="71" t="inlineStr">
        <is>
          <t>个</t>
        </is>
      </c>
      <c r="N757" s="72" t="n">
        <v>134.4</v>
      </c>
      <c r="O757" s="72">
        <f>ROUND(N757*(1+$F$10),2)</f>
        <v/>
      </c>
      <c r="P757" s="73">
        <f>ROUND(K757*N757,2)</f>
        <v/>
      </c>
      <c r="Q757" s="74">
        <f>ROUND(L757*N757,2)</f>
        <v/>
      </c>
      <c r="R757" s="75" t="n"/>
      <c r="S757" s="76" t="n"/>
      <c r="T757" s="77">
        <f>K757-L757</f>
        <v/>
      </c>
      <c r="U757" s="77">
        <f>P757-Q757</f>
        <v/>
      </c>
      <c r="V757" s="77">
        <f>ABS(U757)</f>
        <v/>
      </c>
      <c r="W757" s="78">
        <f>T757/L757</f>
        <v/>
      </c>
      <c r="X757" s="79">
        <f>ABS(W757)</f>
        <v/>
      </c>
      <c r="AG757" s="80" t="inlineStr">
        <is>
          <t>个数</t>
        </is>
      </c>
    </row>
    <row r="758" ht="11.4" customHeight="1">
      <c r="A758" s="67" t="inlineStr">
        <is>
          <t>71</t>
        </is>
      </c>
      <c r="B758" s="67" t="inlineStr">
        <is>
          <t>1069</t>
        </is>
      </c>
      <c r="C758" s="67" t="inlineStr">
        <is>
          <t>1646</t>
        </is>
      </c>
      <c r="D758" s="68" t="inlineStr">
        <is>
          <t>01</t>
        </is>
      </c>
      <c r="E758" s="68" t="inlineStr">
        <is>
          <t>6 物业施工费</t>
        </is>
      </c>
      <c r="F758" s="68" t="inlineStr">
        <is>
          <t>6.1 总承包工程</t>
        </is>
      </c>
      <c r="G758" s="68" t="inlineStr">
        <is>
          <t>6.1.2A 电气工程-灯具主材</t>
        </is>
      </c>
      <c r="H758" s="68" t="inlineStr">
        <is>
          <t>灯具主材-厨房</t>
        </is>
      </c>
      <c r="I758" s="69" t="inlineStr">
        <is>
          <t>1000021531</t>
        </is>
      </c>
      <c r="J758" s="69" t="inlineStr">
        <is>
          <t>PHILIPS圆形嵌入式 LED 筒灯  L5</t>
        </is>
      </c>
      <c r="K758" s="70" t="n"/>
      <c r="L758" s="70" t="n"/>
      <c r="M758" s="71" t="inlineStr">
        <is>
          <t>个</t>
        </is>
      </c>
      <c r="N758" s="72" t="n">
        <v>152.56</v>
      </c>
      <c r="O758" s="72">
        <f>ROUND(N758*(1+$F$10),2)</f>
        <v/>
      </c>
      <c r="P758" s="73">
        <f>ROUND(K758*N758,2)</f>
        <v/>
      </c>
      <c r="Q758" s="74">
        <f>ROUND(L758*N758,2)</f>
        <v/>
      </c>
      <c r="R758" s="75" t="n"/>
      <c r="S758" s="76" t="n"/>
      <c r="T758" s="77">
        <f>K758-L758</f>
        <v/>
      </c>
      <c r="U758" s="77">
        <f>P758-Q758</f>
        <v/>
      </c>
      <c r="V758" s="77">
        <f>ABS(U758)</f>
        <v/>
      </c>
      <c r="W758" s="78">
        <f>T758/L758</f>
        <v/>
      </c>
      <c r="X758" s="79">
        <f>ABS(W758)</f>
        <v/>
      </c>
      <c r="AG758" s="80" t="inlineStr">
        <is>
          <t>个数</t>
        </is>
      </c>
    </row>
    <row r="759" ht="11.4" customHeight="1">
      <c r="A759" s="67" t="inlineStr">
        <is>
          <t>71</t>
        </is>
      </c>
      <c r="B759" s="67" t="inlineStr">
        <is>
          <t>1069</t>
        </is>
      </c>
      <c r="C759" s="67" t="inlineStr">
        <is>
          <t>1646</t>
        </is>
      </c>
      <c r="D759" s="68" t="inlineStr">
        <is>
          <t>01</t>
        </is>
      </c>
      <c r="E759" s="68" t="inlineStr">
        <is>
          <t>6 物业施工费</t>
        </is>
      </c>
      <c r="F759" s="68" t="inlineStr">
        <is>
          <t>6.1 总承包工程</t>
        </is>
      </c>
      <c r="G759" s="68" t="inlineStr">
        <is>
          <t>6.1.2A 电气工程-灯具主材</t>
        </is>
      </c>
      <c r="H759" s="68" t="inlineStr">
        <is>
          <t>灯具主材-厨房</t>
        </is>
      </c>
      <c r="I759" s="69" t="inlineStr">
        <is>
          <t>1000021532</t>
        </is>
      </c>
      <c r="J759" s="69" t="inlineStr">
        <is>
          <t>PHILIPS方形嵌入式 LED 筒灯  L5</t>
        </is>
      </c>
      <c r="K759" s="70" t="n">
        <v>2</v>
      </c>
      <c r="L759" s="70" t="n">
        <v>2</v>
      </c>
      <c r="M759" s="71" t="inlineStr">
        <is>
          <t>个</t>
        </is>
      </c>
      <c r="N759" s="72" t="n">
        <v>222.6</v>
      </c>
      <c r="O759" s="72">
        <f>ROUND(N759*(1+$F$10),2)</f>
        <v/>
      </c>
      <c r="P759" s="73">
        <f>ROUND(K759*N759,2)</f>
        <v/>
      </c>
      <c r="Q759" s="74">
        <f>ROUND(L759*N759,2)</f>
        <v/>
      </c>
      <c r="R759" s="75" t="n"/>
      <c r="S759" s="76" t="n"/>
      <c r="T759" s="77">
        <f>K759-L759</f>
        <v/>
      </c>
      <c r="U759" s="77">
        <f>P759-Q759</f>
        <v/>
      </c>
      <c r="V759" s="77">
        <f>ABS(U759)</f>
        <v/>
      </c>
      <c r="W759" s="78">
        <f>T759/L759</f>
        <v/>
      </c>
      <c r="X759" s="79">
        <f>ABS(W759)</f>
        <v/>
      </c>
      <c r="AG759" s="80" t="inlineStr">
        <is>
          <t>个数</t>
        </is>
      </c>
    </row>
    <row r="760" ht="11.4" customHeight="1">
      <c r="A760" s="67" t="inlineStr">
        <is>
          <t>71</t>
        </is>
      </c>
      <c r="B760" s="67" t="inlineStr">
        <is>
          <t>1069</t>
        </is>
      </c>
      <c r="C760" s="67" t="inlineStr">
        <is>
          <t>1646</t>
        </is>
      </c>
      <c r="D760" s="68" t="inlineStr">
        <is>
          <t>01</t>
        </is>
      </c>
      <c r="E760" s="68" t="inlineStr">
        <is>
          <t>6 物业施工费</t>
        </is>
      </c>
      <c r="F760" s="68" t="inlineStr">
        <is>
          <t>6.1 总承包工程</t>
        </is>
      </c>
      <c r="G760" s="68" t="inlineStr">
        <is>
          <t>6.1.2A 电气工程-灯具主材</t>
        </is>
      </c>
      <c r="H760" s="68" t="inlineStr">
        <is>
          <t>灯具主材-厨房</t>
        </is>
      </c>
      <c r="I760" s="69" t="inlineStr">
        <is>
          <t>1000021530</t>
        </is>
      </c>
      <c r="J760" s="69" t="inlineStr">
        <is>
          <t>PHILIPS圆形嵌入式 LED 防尘防水筒灯  L6</t>
        </is>
      </c>
      <c r="K760" s="70" t="n"/>
      <c r="L760" s="70" t="n"/>
      <c r="M760" s="71" t="inlineStr">
        <is>
          <t>个</t>
        </is>
      </c>
      <c r="N760" s="72" t="n">
        <v>86.09999999999999</v>
      </c>
      <c r="O760" s="72">
        <f>ROUND(N760*(1+$F$10),2)</f>
        <v/>
      </c>
      <c r="P760" s="73">
        <f>ROUND(K760*N760,2)</f>
        <v/>
      </c>
      <c r="Q760" s="74">
        <f>ROUND(L760*N760,2)</f>
        <v/>
      </c>
      <c r="R760" s="75" t="n"/>
      <c r="S760" s="76" t="n"/>
      <c r="T760" s="77">
        <f>K760-L760</f>
        <v/>
      </c>
      <c r="U760" s="77">
        <f>P760-Q760</f>
        <v/>
      </c>
      <c r="V760" s="77">
        <f>ABS(U760)</f>
        <v/>
      </c>
      <c r="W760" s="78">
        <f>T760/L760</f>
        <v/>
      </c>
      <c r="X760" s="79">
        <f>ABS(W760)</f>
        <v/>
      </c>
      <c r="AG760" s="80" t="inlineStr">
        <is>
          <t>个数</t>
        </is>
      </c>
    </row>
    <row r="761" ht="11.4" customHeight="1">
      <c r="A761" s="67" t="inlineStr">
        <is>
          <t>71</t>
        </is>
      </c>
      <c r="B761" s="67" t="inlineStr">
        <is>
          <t>1069</t>
        </is>
      </c>
      <c r="C761" s="67" t="inlineStr">
        <is>
          <t>1646</t>
        </is>
      </c>
      <c r="D761" s="68" t="inlineStr">
        <is>
          <t>01</t>
        </is>
      </c>
      <c r="E761" s="68" t="inlineStr">
        <is>
          <t>6 物业施工费</t>
        </is>
      </c>
      <c r="F761" s="68" t="inlineStr">
        <is>
          <t>6.1 总承包工程</t>
        </is>
      </c>
      <c r="G761" s="68" t="inlineStr">
        <is>
          <t>6.1.2A 电气工程-灯具主材</t>
        </is>
      </c>
      <c r="H761" s="68" t="inlineStr">
        <is>
          <t>灯具主材-厨房</t>
        </is>
      </c>
      <c r="I761" s="69" t="inlineStr">
        <is>
          <t>1000021533</t>
        </is>
      </c>
      <c r="J761" s="69" t="inlineStr">
        <is>
          <t>PHILIPS600*600mm嵌入式LED灯盘  L7（0-Base）</t>
        </is>
      </c>
      <c r="K761" s="70" t="n">
        <v>11</v>
      </c>
      <c r="L761" s="70" t="n">
        <v>11</v>
      </c>
      <c r="M761" s="71" t="inlineStr">
        <is>
          <t>个</t>
        </is>
      </c>
      <c r="N761" s="72" t="n">
        <v>190.05</v>
      </c>
      <c r="O761" s="72">
        <f>ROUND(N761*(1+$F$10),2)</f>
        <v/>
      </c>
      <c r="P761" s="73">
        <f>ROUND(K761*N761,2)</f>
        <v/>
      </c>
      <c r="Q761" s="74">
        <f>ROUND(L761*N761,2)</f>
        <v/>
      </c>
      <c r="R761" s="75" t="n"/>
      <c r="S761" s="76" t="n"/>
      <c r="T761" s="77">
        <f>K761-L761</f>
        <v/>
      </c>
      <c r="U761" s="77">
        <f>P761-Q761</f>
        <v/>
      </c>
      <c r="V761" s="77">
        <f>ABS(U761)</f>
        <v/>
      </c>
      <c r="W761" s="78">
        <f>T761/L761</f>
        <v/>
      </c>
      <c r="X761" s="79">
        <f>ABS(W761)</f>
        <v/>
      </c>
      <c r="AG761" s="80" t="inlineStr">
        <is>
          <t>个数</t>
        </is>
      </c>
    </row>
    <row r="762" ht="11.4" customHeight="1">
      <c r="A762" s="67" t="inlineStr">
        <is>
          <t>71</t>
        </is>
      </c>
      <c r="B762" s="67" t="inlineStr">
        <is>
          <t>1069</t>
        </is>
      </c>
      <c r="C762" s="67" t="inlineStr">
        <is>
          <t>1646</t>
        </is>
      </c>
      <c r="D762" s="68" t="inlineStr">
        <is>
          <t>01</t>
        </is>
      </c>
      <c r="E762" s="68" t="inlineStr">
        <is>
          <t>6 物业施工费</t>
        </is>
      </c>
      <c r="F762" s="68" t="inlineStr">
        <is>
          <t>6.1 总承包工程</t>
        </is>
      </c>
      <c r="G762" s="68" t="inlineStr">
        <is>
          <t>6.1.2A 电气工程-灯具主材</t>
        </is>
      </c>
      <c r="H762" s="68" t="inlineStr">
        <is>
          <t>灯具主材-厨房</t>
        </is>
      </c>
      <c r="I762" s="69" t="inlineStr">
        <is>
          <t>1000021534</t>
        </is>
      </c>
      <c r="J762" s="69" t="inlineStr">
        <is>
          <t>PHILIPS600*600mm嵌入式LED灯盘  L7（Minimal等）</t>
        </is>
      </c>
      <c r="K762" s="70" t="n"/>
      <c r="L762" s="70" t="n"/>
      <c r="M762" s="71" t="inlineStr">
        <is>
          <t>个</t>
        </is>
      </c>
      <c r="N762" s="72" t="n">
        <v>190.05</v>
      </c>
      <c r="O762" s="72">
        <f>ROUND(N762*(1+$F$10),2)</f>
        <v/>
      </c>
      <c r="P762" s="73">
        <f>ROUND(K762*N762,2)</f>
        <v/>
      </c>
      <c r="Q762" s="74">
        <f>ROUND(L762*N762,2)</f>
        <v/>
      </c>
      <c r="R762" s="75" t="n"/>
      <c r="S762" s="76" t="n"/>
      <c r="T762" s="77">
        <f>K762-L762</f>
        <v/>
      </c>
      <c r="U762" s="77">
        <f>P762-Q762</f>
        <v/>
      </c>
      <c r="V762" s="77">
        <f>ABS(U762)</f>
        <v/>
      </c>
      <c r="W762" s="78">
        <f>T762/L762</f>
        <v/>
      </c>
      <c r="X762" s="79">
        <f>ABS(W762)</f>
        <v/>
      </c>
      <c r="AG762" s="80" t="inlineStr">
        <is>
          <t>个数</t>
        </is>
      </c>
    </row>
    <row r="763" ht="11.4" customHeight="1">
      <c r="A763" s="67" t="inlineStr">
        <is>
          <t>71</t>
        </is>
      </c>
      <c r="B763" s="67" t="inlineStr">
        <is>
          <t>1069</t>
        </is>
      </c>
      <c r="C763" s="67" t="inlineStr">
        <is>
          <t>1646</t>
        </is>
      </c>
      <c r="D763" s="68" t="inlineStr">
        <is>
          <t>01</t>
        </is>
      </c>
      <c r="E763" s="68" t="inlineStr">
        <is>
          <t>6 物业施工费</t>
        </is>
      </c>
      <c r="F763" s="68" t="inlineStr">
        <is>
          <t>6.1 总承包工程</t>
        </is>
      </c>
      <c r="G763" s="68" t="inlineStr">
        <is>
          <t>6.1.2A 电气工程-灯具主材</t>
        </is>
      </c>
      <c r="H763" s="68" t="inlineStr">
        <is>
          <t>灯具主材-厨房</t>
        </is>
      </c>
      <c r="I763" s="69" t="inlineStr">
        <is>
          <t>1000021535</t>
        </is>
      </c>
      <c r="J763" s="69" t="inlineStr">
        <is>
          <t>PHILIPS1200mm 带罩LED支架灯  L8</t>
        </is>
      </c>
      <c r="K763" s="70" t="n">
        <v>1</v>
      </c>
      <c r="L763" s="70" t="n">
        <v>1</v>
      </c>
      <c r="M763" s="71" t="inlineStr">
        <is>
          <t>个</t>
        </is>
      </c>
      <c r="N763" s="72" t="n">
        <v>194.25</v>
      </c>
      <c r="O763" s="72">
        <f>ROUND(N763*(1+$F$10),2)</f>
        <v/>
      </c>
      <c r="P763" s="73">
        <f>ROUND(K763*N763,2)</f>
        <v/>
      </c>
      <c r="Q763" s="74">
        <f>ROUND(L763*N763,2)</f>
        <v/>
      </c>
      <c r="R763" s="75" t="n"/>
      <c r="S763" s="76" t="n"/>
      <c r="T763" s="77">
        <f>K763-L763</f>
        <v/>
      </c>
      <c r="U763" s="77">
        <f>P763-Q763</f>
        <v/>
      </c>
      <c r="V763" s="77">
        <f>ABS(U763)</f>
        <v/>
      </c>
      <c r="W763" s="78">
        <f>T763/L763</f>
        <v/>
      </c>
      <c r="X763" s="79">
        <f>ABS(W763)</f>
        <v/>
      </c>
      <c r="AG763" s="80" t="inlineStr">
        <is>
          <t>个数</t>
        </is>
      </c>
    </row>
    <row r="764" ht="11.4" customHeight="1">
      <c r="A764" s="67" t="inlineStr">
        <is>
          <t>71</t>
        </is>
      </c>
      <c r="B764" s="67" t="inlineStr">
        <is>
          <t>1069</t>
        </is>
      </c>
      <c r="C764" s="67" t="inlineStr">
        <is>
          <t>1646</t>
        </is>
      </c>
      <c r="D764" s="68" t="inlineStr">
        <is>
          <t>01</t>
        </is>
      </c>
      <c r="E764" s="68" t="inlineStr">
        <is>
          <t>6 物业施工费</t>
        </is>
      </c>
      <c r="F764" s="68" t="inlineStr">
        <is>
          <t>6.1 总承包工程</t>
        </is>
      </c>
      <c r="G764" s="68" t="inlineStr">
        <is>
          <t>6.1.2A 电气工程-灯具主材</t>
        </is>
      </c>
      <c r="H764" s="68" t="inlineStr">
        <is>
          <t>灯具主材-厨房</t>
        </is>
      </c>
      <c r="I764" s="69" t="inlineStr">
        <is>
          <t>1000021575</t>
        </is>
      </c>
      <c r="J764" s="69" t="inlineStr">
        <is>
          <t>PHILIPS圆形嵌入式射灯 L2-E/L5-E</t>
        </is>
      </c>
      <c r="K764" s="70" t="n"/>
      <c r="L764" s="70" t="n"/>
      <c r="M764" s="71" t="inlineStr">
        <is>
          <t>个</t>
        </is>
      </c>
      <c r="N764" s="72" t="n">
        <v>176.4</v>
      </c>
      <c r="O764" s="72">
        <f>ROUND(N764*(1+$F$10),2)</f>
        <v/>
      </c>
      <c r="P764" s="73">
        <f>ROUND(K764*N764,2)</f>
        <v/>
      </c>
      <c r="Q764" s="74">
        <f>ROUND(L764*N764,2)</f>
        <v/>
      </c>
      <c r="R764" s="75" t="n"/>
      <c r="S764" s="76" t="n"/>
      <c r="T764" s="77">
        <f>K764-L764</f>
        <v/>
      </c>
      <c r="U764" s="77">
        <f>P764-Q764</f>
        <v/>
      </c>
      <c r="V764" s="77">
        <f>ABS(U764)</f>
        <v/>
      </c>
      <c r="W764" s="78">
        <f>T764/L764</f>
        <v/>
      </c>
      <c r="X764" s="79">
        <f>ABS(W764)</f>
        <v/>
      </c>
      <c r="AG764" s="80" t="inlineStr">
        <is>
          <t>个数</t>
        </is>
      </c>
    </row>
    <row r="765" ht="11.4" customHeight="1">
      <c r="A765" s="67" t="inlineStr">
        <is>
          <t>71</t>
        </is>
      </c>
      <c r="B765" s="67" t="inlineStr">
        <is>
          <t>1069</t>
        </is>
      </c>
      <c r="C765" s="67" t="inlineStr">
        <is>
          <t>1646</t>
        </is>
      </c>
      <c r="D765" s="68" t="inlineStr">
        <is>
          <t>01</t>
        </is>
      </c>
      <c r="E765" s="68" t="inlineStr">
        <is>
          <t>6 物业施工费</t>
        </is>
      </c>
      <c r="F765" s="68" t="inlineStr">
        <is>
          <t>6.1 总承包工程</t>
        </is>
      </c>
      <c r="G765" s="68" t="inlineStr">
        <is>
          <t>6.1.2A 电气工程-灯具主材</t>
        </is>
      </c>
      <c r="H765" s="68" t="inlineStr">
        <is>
          <t>灯具主材-厨房</t>
        </is>
      </c>
      <c r="I765" s="69" t="inlineStr">
        <is>
          <t>1000021571</t>
        </is>
      </c>
      <c r="J765" s="69" t="inlineStr">
        <is>
          <t>OSRAM LED 5W应急灯具90分钟E</t>
        </is>
      </c>
      <c r="K765" s="70" t="n"/>
      <c r="L765" s="70" t="n"/>
      <c r="M765" s="71" t="inlineStr">
        <is>
          <t>个</t>
        </is>
      </c>
      <c r="N765" s="72" t="n">
        <v>92.40000000000001</v>
      </c>
      <c r="O765" s="72">
        <f>ROUND(N765*(1+$F$10),2)</f>
        <v/>
      </c>
      <c r="P765" s="73">
        <f>ROUND(K765*N765,2)</f>
        <v/>
      </c>
      <c r="Q765" s="74">
        <f>ROUND(L765*N765,2)</f>
        <v/>
      </c>
      <c r="R765" s="75" t="n"/>
      <c r="S765" s="76" t="n"/>
      <c r="T765" s="77">
        <f>K765-L765</f>
        <v/>
      </c>
      <c r="U765" s="77">
        <f>P765-Q765</f>
        <v/>
      </c>
      <c r="V765" s="77">
        <f>ABS(U765)</f>
        <v/>
      </c>
      <c r="W765" s="78">
        <f>T765/L765</f>
        <v/>
      </c>
      <c r="X765" s="79">
        <f>ABS(W765)</f>
        <v/>
      </c>
      <c r="AG765" s="80" t="inlineStr">
        <is>
          <t>个数</t>
        </is>
      </c>
    </row>
    <row r="766" ht="11.4" customHeight="1">
      <c r="A766" s="67" t="inlineStr">
        <is>
          <t>71</t>
        </is>
      </c>
      <c r="B766" s="67" t="inlineStr">
        <is>
          <t>1069</t>
        </is>
      </c>
      <c r="C766" s="67" t="inlineStr">
        <is>
          <t>1646</t>
        </is>
      </c>
      <c r="D766" s="68" t="inlineStr">
        <is>
          <t>01</t>
        </is>
      </c>
      <c r="E766" s="68" t="inlineStr">
        <is>
          <t>6 物业施工费</t>
        </is>
      </c>
      <c r="F766" s="68" t="inlineStr">
        <is>
          <t>6.1 总承包工程</t>
        </is>
      </c>
      <c r="G766" s="68" t="inlineStr">
        <is>
          <t>6.1.2A 电气工程-灯具主材</t>
        </is>
      </c>
      <c r="H766" s="68" t="inlineStr">
        <is>
          <t>灯具主材-厨房</t>
        </is>
      </c>
      <c r="I766" s="69" t="inlineStr">
        <is>
          <t>1000021554</t>
        </is>
      </c>
      <c r="J766" s="69" t="inlineStr">
        <is>
          <t>OSRAM方形LED灯筒灯灯具  L1</t>
        </is>
      </c>
      <c r="K766" s="70" t="n"/>
      <c r="L766" s="70" t="n"/>
      <c r="M766" s="71" t="inlineStr">
        <is>
          <t>个</t>
        </is>
      </c>
      <c r="N766" s="72" t="n">
        <v>111.3</v>
      </c>
      <c r="O766" s="72">
        <f>ROUND(N766*(1+$F$10),2)</f>
        <v/>
      </c>
      <c r="P766" s="73">
        <f>ROUND(K766*N766,2)</f>
        <v/>
      </c>
      <c r="Q766" s="74">
        <f>ROUND(L766*N766,2)</f>
        <v/>
      </c>
      <c r="R766" s="75" t="n"/>
      <c r="S766" s="76" t="n"/>
      <c r="T766" s="77">
        <f>K766-L766</f>
        <v/>
      </c>
      <c r="U766" s="77">
        <f>P766-Q766</f>
        <v/>
      </c>
      <c r="V766" s="77">
        <f>ABS(U766)</f>
        <v/>
      </c>
      <c r="W766" s="78">
        <f>T766/L766</f>
        <v/>
      </c>
      <c r="X766" s="79">
        <f>ABS(W766)</f>
        <v/>
      </c>
      <c r="AG766" s="80" t="inlineStr">
        <is>
          <t>个数</t>
        </is>
      </c>
    </row>
    <row r="767" ht="11.4" customHeight="1">
      <c r="A767" s="67" t="inlineStr">
        <is>
          <t>71</t>
        </is>
      </c>
      <c r="B767" s="67" t="inlineStr">
        <is>
          <t>1069</t>
        </is>
      </c>
      <c r="C767" s="67" t="inlineStr">
        <is>
          <t>1646</t>
        </is>
      </c>
      <c r="D767" s="68" t="inlineStr">
        <is>
          <t>01</t>
        </is>
      </c>
      <c r="E767" s="68" t="inlineStr">
        <is>
          <t>6 物业施工费</t>
        </is>
      </c>
      <c r="F767" s="68" t="inlineStr">
        <is>
          <t>6.1 总承包工程</t>
        </is>
      </c>
      <c r="G767" s="68" t="inlineStr">
        <is>
          <t>6.1.2A 电气工程-灯具主材</t>
        </is>
      </c>
      <c r="H767" s="68" t="inlineStr">
        <is>
          <t>灯具主材-厨房</t>
        </is>
      </c>
      <c r="I767" s="69" t="inlineStr">
        <is>
          <t>1000021555</t>
        </is>
      </c>
      <c r="J767" s="69" t="inlineStr">
        <is>
          <t>OSRAM双头方形LED灯筒灯灯具  L2</t>
        </is>
      </c>
      <c r="K767" s="70" t="n"/>
      <c r="L767" s="70" t="n"/>
      <c r="M767" s="71" t="inlineStr">
        <is>
          <t>个</t>
        </is>
      </c>
      <c r="N767" s="72" t="n">
        <v>181.65</v>
      </c>
      <c r="O767" s="72">
        <f>ROUND(N767*(1+$F$10),2)</f>
        <v/>
      </c>
      <c r="P767" s="73">
        <f>ROUND(K767*N767,2)</f>
        <v/>
      </c>
      <c r="Q767" s="74">
        <f>ROUND(L767*N767,2)</f>
        <v/>
      </c>
      <c r="R767" s="75" t="n"/>
      <c r="S767" s="76" t="n"/>
      <c r="T767" s="77">
        <f>K767-L767</f>
        <v/>
      </c>
      <c r="U767" s="77">
        <f>P767-Q767</f>
        <v/>
      </c>
      <c r="V767" s="77">
        <f>ABS(U767)</f>
        <v/>
      </c>
      <c r="W767" s="78">
        <f>T767/L767</f>
        <v/>
      </c>
      <c r="X767" s="79">
        <f>ABS(W767)</f>
        <v/>
      </c>
      <c r="AG767" s="80" t="inlineStr">
        <is>
          <t>个数</t>
        </is>
      </c>
    </row>
    <row r="768" ht="11.4" customHeight="1">
      <c r="A768" s="67" t="inlineStr">
        <is>
          <t>71</t>
        </is>
      </c>
      <c r="B768" s="67" t="inlineStr">
        <is>
          <t>1069</t>
        </is>
      </c>
      <c r="C768" s="67" t="inlineStr">
        <is>
          <t>1646</t>
        </is>
      </c>
      <c r="D768" s="68" t="inlineStr">
        <is>
          <t>01</t>
        </is>
      </c>
      <c r="E768" s="68" t="inlineStr">
        <is>
          <t>6 物业施工费</t>
        </is>
      </c>
      <c r="F768" s="68" t="inlineStr">
        <is>
          <t>6.1 总承包工程</t>
        </is>
      </c>
      <c r="G768" s="68" t="inlineStr">
        <is>
          <t>6.1.2A 电气工程-灯具主材</t>
        </is>
      </c>
      <c r="H768" s="68" t="inlineStr">
        <is>
          <t>灯具主材-厨房</t>
        </is>
      </c>
      <c r="I768" s="69" t="inlineStr">
        <is>
          <t>1000021567</t>
        </is>
      </c>
      <c r="J768" s="69" t="inlineStr">
        <is>
          <t>OSRAM方形嵌入式LED射灯28W  L3</t>
        </is>
      </c>
      <c r="K768" s="70" t="n"/>
      <c r="L768" s="70" t="n"/>
      <c r="M768" s="71" t="inlineStr">
        <is>
          <t>个</t>
        </is>
      </c>
      <c r="N768" s="72" t="n">
        <v>198.45</v>
      </c>
      <c r="O768" s="72">
        <f>ROUND(N768*(1+$F$10),2)</f>
        <v/>
      </c>
      <c r="P768" s="73">
        <f>ROUND(K768*N768,2)</f>
        <v/>
      </c>
      <c r="Q768" s="74">
        <f>ROUND(L768*N768,2)</f>
        <v/>
      </c>
      <c r="R768" s="75" t="n"/>
      <c r="S768" s="76" t="n"/>
      <c r="T768" s="77">
        <f>K768-L768</f>
        <v/>
      </c>
      <c r="U768" s="77">
        <f>P768-Q768</f>
        <v/>
      </c>
      <c r="V768" s="77">
        <f>ABS(U768)</f>
        <v/>
      </c>
      <c r="W768" s="78">
        <f>T768/L768</f>
        <v/>
      </c>
      <c r="X768" s="79">
        <f>ABS(W768)</f>
        <v/>
      </c>
      <c r="AG768" s="80" t="inlineStr">
        <is>
          <t>个数</t>
        </is>
      </c>
    </row>
    <row r="769" ht="11.4" customHeight="1">
      <c r="A769" s="67" t="inlineStr">
        <is>
          <t>71</t>
        </is>
      </c>
      <c r="B769" s="67" t="inlineStr">
        <is>
          <t>1069</t>
        </is>
      </c>
      <c r="C769" s="67" t="inlineStr">
        <is>
          <t>1646</t>
        </is>
      </c>
      <c r="D769" s="68" t="inlineStr">
        <is>
          <t>01</t>
        </is>
      </c>
      <c r="E769" s="68" t="inlineStr">
        <is>
          <t>6 物业施工费</t>
        </is>
      </c>
      <c r="F769" s="68" t="inlineStr">
        <is>
          <t>6.1 总承包工程</t>
        </is>
      </c>
      <c r="G769" s="68" t="inlineStr">
        <is>
          <t>6.1.2A 电气工程-灯具主材</t>
        </is>
      </c>
      <c r="H769" s="68" t="inlineStr">
        <is>
          <t>灯具主材-厨房</t>
        </is>
      </c>
      <c r="I769" s="69" t="inlineStr">
        <is>
          <t>1000021556</t>
        </is>
      </c>
      <c r="J769" s="69" t="inlineStr">
        <is>
          <t>OSRAM深照型圆形LED灯筒灯灯具  L4</t>
        </is>
      </c>
      <c r="K769" s="70" t="n"/>
      <c r="L769" s="70" t="n"/>
      <c r="M769" s="71" t="inlineStr">
        <is>
          <t>个</t>
        </is>
      </c>
      <c r="N769" s="72" t="n">
        <v>113.4</v>
      </c>
      <c r="O769" s="72">
        <f>ROUND(N769*(1+$F$10),2)</f>
        <v/>
      </c>
      <c r="P769" s="73">
        <f>ROUND(K769*N769,2)</f>
        <v/>
      </c>
      <c r="Q769" s="74">
        <f>ROUND(L769*N769,2)</f>
        <v/>
      </c>
      <c r="R769" s="75" t="n"/>
      <c r="S769" s="76" t="n"/>
      <c r="T769" s="77">
        <f>K769-L769</f>
        <v/>
      </c>
      <c r="U769" s="77">
        <f>P769-Q769</f>
        <v/>
      </c>
      <c r="V769" s="77">
        <f>ABS(U769)</f>
        <v/>
      </c>
      <c r="W769" s="78">
        <f>T769/L769</f>
        <v/>
      </c>
      <c r="X769" s="79">
        <f>ABS(W769)</f>
        <v/>
      </c>
      <c r="AG769" s="80" t="inlineStr">
        <is>
          <t>个数</t>
        </is>
      </c>
    </row>
    <row r="770" ht="11.4" customHeight="1">
      <c r="A770" s="67" t="inlineStr">
        <is>
          <t>71</t>
        </is>
      </c>
      <c r="B770" s="67" t="inlineStr">
        <is>
          <t>1069</t>
        </is>
      </c>
      <c r="C770" s="67" t="inlineStr">
        <is>
          <t>1646</t>
        </is>
      </c>
      <c r="D770" s="68" t="inlineStr">
        <is>
          <t>01</t>
        </is>
      </c>
      <c r="E770" s="68" t="inlineStr">
        <is>
          <t>6 物业施工费</t>
        </is>
      </c>
      <c r="F770" s="68" t="inlineStr">
        <is>
          <t>6.1 总承包工程</t>
        </is>
      </c>
      <c r="G770" s="68" t="inlineStr">
        <is>
          <t>6.1.2A 电气工程-灯具主材</t>
        </is>
      </c>
      <c r="H770" s="68" t="inlineStr">
        <is>
          <t>灯具主材-厨房</t>
        </is>
      </c>
      <c r="I770" s="69" t="inlineStr">
        <is>
          <t>1000021557</t>
        </is>
      </c>
      <c r="J770" s="69" t="inlineStr">
        <is>
          <t>OSRAM圆形嵌入式 LED 筒灯  L5</t>
        </is>
      </c>
      <c r="K770" s="70" t="n"/>
      <c r="L770" s="70" t="n"/>
      <c r="M770" s="71" t="inlineStr">
        <is>
          <t>个</t>
        </is>
      </c>
      <c r="N770" s="72" t="n">
        <v>152.56</v>
      </c>
      <c r="O770" s="72">
        <f>ROUND(N770*(1+$F$10),2)</f>
        <v/>
      </c>
      <c r="P770" s="73">
        <f>ROUND(K770*N770,2)</f>
        <v/>
      </c>
      <c r="Q770" s="74">
        <f>ROUND(L770*N770,2)</f>
        <v/>
      </c>
      <c r="R770" s="75" t="n"/>
      <c r="S770" s="76" t="n"/>
      <c r="T770" s="77">
        <f>K770-L770</f>
        <v/>
      </c>
      <c r="U770" s="77">
        <f>P770-Q770</f>
        <v/>
      </c>
      <c r="V770" s="77">
        <f>ABS(U770)</f>
        <v/>
      </c>
      <c r="W770" s="78">
        <f>T770/L770</f>
        <v/>
      </c>
      <c r="X770" s="79">
        <f>ABS(W770)</f>
        <v/>
      </c>
      <c r="AG770" s="80" t="inlineStr">
        <is>
          <t>个数</t>
        </is>
      </c>
    </row>
    <row r="771" ht="11.4" customHeight="1">
      <c r="A771" s="67" t="inlineStr">
        <is>
          <t>71</t>
        </is>
      </c>
      <c r="B771" s="67" t="inlineStr">
        <is>
          <t>1069</t>
        </is>
      </c>
      <c r="C771" s="67" t="inlineStr">
        <is>
          <t>1646</t>
        </is>
      </c>
      <c r="D771" s="68" t="inlineStr">
        <is>
          <t>01</t>
        </is>
      </c>
      <c r="E771" s="68" t="inlineStr">
        <is>
          <t>6 物业施工费</t>
        </is>
      </c>
      <c r="F771" s="68" t="inlineStr">
        <is>
          <t>6.1 总承包工程</t>
        </is>
      </c>
      <c r="G771" s="68" t="inlineStr">
        <is>
          <t>6.1.2A 电气工程-灯具主材</t>
        </is>
      </c>
      <c r="H771" s="68" t="inlineStr">
        <is>
          <t>灯具主材-厨房</t>
        </is>
      </c>
      <c r="I771" s="69" t="inlineStr">
        <is>
          <t>1000021565</t>
        </is>
      </c>
      <c r="J771" s="69" t="inlineStr">
        <is>
          <t>OSRAM方形嵌入式 LED 筒灯  L5</t>
        </is>
      </c>
      <c r="K771" s="70" t="n"/>
      <c r="L771" s="70" t="n"/>
      <c r="M771" s="71" t="inlineStr">
        <is>
          <t>个</t>
        </is>
      </c>
      <c r="N771" s="72" t="n">
        <v>184.8</v>
      </c>
      <c r="O771" s="72">
        <f>ROUND(N771*(1+$F$10),2)</f>
        <v/>
      </c>
      <c r="P771" s="73">
        <f>ROUND(K771*N771,2)</f>
        <v/>
      </c>
      <c r="Q771" s="74">
        <f>ROUND(L771*N771,2)</f>
        <v/>
      </c>
      <c r="R771" s="75" t="n"/>
      <c r="S771" s="76" t="n"/>
      <c r="T771" s="77">
        <f>K771-L771</f>
        <v/>
      </c>
      <c r="U771" s="77">
        <f>P771-Q771</f>
        <v/>
      </c>
      <c r="V771" s="77">
        <f>ABS(U771)</f>
        <v/>
      </c>
      <c r="W771" s="78">
        <f>T771/L771</f>
        <v/>
      </c>
      <c r="X771" s="79">
        <f>ABS(W771)</f>
        <v/>
      </c>
      <c r="AG771" s="80" t="inlineStr">
        <is>
          <t>个数</t>
        </is>
      </c>
    </row>
    <row r="772" ht="11.4" customHeight="1">
      <c r="A772" s="67" t="inlineStr">
        <is>
          <t>71</t>
        </is>
      </c>
      <c r="B772" s="67" t="inlineStr">
        <is>
          <t>1069</t>
        </is>
      </c>
      <c r="C772" s="67" t="inlineStr">
        <is>
          <t>1646</t>
        </is>
      </c>
      <c r="D772" s="68" t="inlineStr">
        <is>
          <t>01</t>
        </is>
      </c>
      <c r="E772" s="68" t="inlineStr">
        <is>
          <t>6 物业施工费</t>
        </is>
      </c>
      <c r="F772" s="68" t="inlineStr">
        <is>
          <t>6.1 总承包工程</t>
        </is>
      </c>
      <c r="G772" s="68" t="inlineStr">
        <is>
          <t>6.1.2A 电气工程-灯具主材</t>
        </is>
      </c>
      <c r="H772" s="68" t="inlineStr">
        <is>
          <t>灯具主材-厨房</t>
        </is>
      </c>
      <c r="I772" s="69" t="inlineStr">
        <is>
          <t>1000021560</t>
        </is>
      </c>
      <c r="J772" s="69" t="inlineStr">
        <is>
          <t>OSRAM圆形嵌入式 LED 防尘防水筒灯  L6</t>
        </is>
      </c>
      <c r="K772" s="70" t="n"/>
      <c r="L772" s="70" t="n"/>
      <c r="M772" s="71" t="inlineStr">
        <is>
          <t>个</t>
        </is>
      </c>
      <c r="N772" s="72" t="n">
        <v>89.25</v>
      </c>
      <c r="O772" s="72">
        <f>ROUND(N772*(1+$F$10),2)</f>
        <v/>
      </c>
      <c r="P772" s="73">
        <f>ROUND(K772*N772,2)</f>
        <v/>
      </c>
      <c r="Q772" s="74">
        <f>ROUND(L772*N772,2)</f>
        <v/>
      </c>
      <c r="R772" s="75" t="n"/>
      <c r="S772" s="76" t="n"/>
      <c r="T772" s="77">
        <f>K772-L772</f>
        <v/>
      </c>
      <c r="U772" s="77">
        <f>P772-Q772</f>
        <v/>
      </c>
      <c r="V772" s="77">
        <f>ABS(U772)</f>
        <v/>
      </c>
      <c r="W772" s="78">
        <f>T772/L772</f>
        <v/>
      </c>
      <c r="X772" s="79">
        <f>ABS(W772)</f>
        <v/>
      </c>
      <c r="AG772" s="80" t="inlineStr">
        <is>
          <t>个数</t>
        </is>
      </c>
    </row>
    <row r="773" ht="11.4" customHeight="1">
      <c r="A773" s="67" t="inlineStr">
        <is>
          <t>71</t>
        </is>
      </c>
      <c r="B773" s="67" t="inlineStr">
        <is>
          <t>1069</t>
        </is>
      </c>
      <c r="C773" s="67" t="inlineStr">
        <is>
          <t>1646</t>
        </is>
      </c>
      <c r="D773" s="68" t="inlineStr">
        <is>
          <t>01</t>
        </is>
      </c>
      <c r="E773" s="68" t="inlineStr">
        <is>
          <t>6 物业施工费</t>
        </is>
      </c>
      <c r="F773" s="68" t="inlineStr">
        <is>
          <t>6.1 总承包工程</t>
        </is>
      </c>
      <c r="G773" s="68" t="inlineStr">
        <is>
          <t>6.1.2A 电气工程-灯具主材</t>
        </is>
      </c>
      <c r="H773" s="68" t="inlineStr">
        <is>
          <t>灯具主材-厨房</t>
        </is>
      </c>
      <c r="I773" s="69" t="inlineStr">
        <is>
          <t>1000021558</t>
        </is>
      </c>
      <c r="J773" s="69" t="inlineStr">
        <is>
          <t>OSRAM600*600mm嵌入式LED灯盘  L7</t>
        </is>
      </c>
      <c r="K773" s="70" t="n"/>
      <c r="L773" s="70" t="n"/>
      <c r="M773" s="71" t="inlineStr">
        <is>
          <t>个</t>
        </is>
      </c>
      <c r="N773" s="72" t="n">
        <v>170.1</v>
      </c>
      <c r="O773" s="72">
        <f>ROUND(N773*(1+$F$10),2)</f>
        <v/>
      </c>
      <c r="P773" s="73">
        <f>ROUND(K773*N773,2)</f>
        <v/>
      </c>
      <c r="Q773" s="74">
        <f>ROUND(L773*N773,2)</f>
        <v/>
      </c>
      <c r="R773" s="75" t="n"/>
      <c r="S773" s="76" t="n"/>
      <c r="T773" s="77">
        <f>K773-L773</f>
        <v/>
      </c>
      <c r="U773" s="77">
        <f>P773-Q773</f>
        <v/>
      </c>
      <c r="V773" s="77">
        <f>ABS(U773)</f>
        <v/>
      </c>
      <c r="W773" s="78">
        <f>T773/L773</f>
        <v/>
      </c>
      <c r="X773" s="79">
        <f>ABS(W773)</f>
        <v/>
      </c>
      <c r="AG773" s="80" t="inlineStr">
        <is>
          <t>个数</t>
        </is>
      </c>
    </row>
    <row r="774" ht="11.4" customHeight="1">
      <c r="A774" s="67" t="inlineStr">
        <is>
          <t>71</t>
        </is>
      </c>
      <c r="B774" s="67" t="inlineStr">
        <is>
          <t>1069</t>
        </is>
      </c>
      <c r="C774" s="67" t="inlineStr">
        <is>
          <t>1646</t>
        </is>
      </c>
      <c r="D774" s="68" t="inlineStr">
        <is>
          <t>01</t>
        </is>
      </c>
      <c r="E774" s="68" t="inlineStr">
        <is>
          <t>6 物业施工费</t>
        </is>
      </c>
      <c r="F774" s="68" t="inlineStr">
        <is>
          <t>6.1 总承包工程</t>
        </is>
      </c>
      <c r="G774" s="68" t="inlineStr">
        <is>
          <t>6.1.2A 电气工程-灯具主材</t>
        </is>
      </c>
      <c r="H774" s="68" t="inlineStr">
        <is>
          <t>灯具主材-厨房</t>
        </is>
      </c>
      <c r="I774" s="69" t="inlineStr">
        <is>
          <t>1000021559</t>
        </is>
      </c>
      <c r="J774" s="69" t="inlineStr">
        <is>
          <t>OSRAM1200mm 带罩LED支架灯  L8</t>
        </is>
      </c>
      <c r="K774" s="70" t="n"/>
      <c r="L774" s="70" t="n"/>
      <c r="M774" s="71" t="inlineStr">
        <is>
          <t>个</t>
        </is>
      </c>
      <c r="N774" s="72" t="n">
        <v>172.2</v>
      </c>
      <c r="O774" s="72">
        <f>ROUND(N774*(1+$F$10),2)</f>
        <v/>
      </c>
      <c r="P774" s="73">
        <f>ROUND(K774*N774,2)</f>
        <v/>
      </c>
      <c r="Q774" s="74">
        <f>ROUND(L774*N774,2)</f>
        <v/>
      </c>
      <c r="R774" s="75" t="n"/>
      <c r="S774" s="76" t="n"/>
      <c r="T774" s="77">
        <f>K774-L774</f>
        <v/>
      </c>
      <c r="U774" s="77">
        <f>P774-Q774</f>
        <v/>
      </c>
      <c r="V774" s="77">
        <f>ABS(U774)</f>
        <v/>
      </c>
      <c r="W774" s="78">
        <f>T774/L774</f>
        <v/>
      </c>
      <c r="X774" s="79">
        <f>ABS(W774)</f>
        <v/>
      </c>
      <c r="AG774" s="80" t="inlineStr">
        <is>
          <t>个数</t>
        </is>
      </c>
    </row>
    <row r="775" ht="11.4" customHeight="1">
      <c r="A775" s="67" t="inlineStr">
        <is>
          <t>71</t>
        </is>
      </c>
      <c r="B775" s="67" t="inlineStr">
        <is>
          <t>1069</t>
        </is>
      </c>
      <c r="C775" s="67" t="inlineStr">
        <is>
          <t>1646</t>
        </is>
      </c>
      <c r="D775" s="68" t="inlineStr">
        <is>
          <t>01</t>
        </is>
      </c>
      <c r="E775" s="68" t="inlineStr">
        <is>
          <t>6 物业施工费</t>
        </is>
      </c>
      <c r="F775" s="68" t="inlineStr">
        <is>
          <t>6.1 总承包工程</t>
        </is>
      </c>
      <c r="G775" s="68" t="inlineStr">
        <is>
          <t>6.1.2A 电气工程-灯具主材</t>
        </is>
      </c>
      <c r="H775" s="68" t="inlineStr">
        <is>
          <t>灯具主材-厨房</t>
        </is>
      </c>
      <c r="I775" s="69" t="inlineStr">
        <is>
          <t>1000021570</t>
        </is>
      </c>
      <c r="J775" s="69" t="inlineStr">
        <is>
          <t>OSRAM圆形嵌入式射灯 L2-E/L5-E</t>
        </is>
      </c>
      <c r="K775" s="70" t="n"/>
      <c r="L775" s="70" t="n"/>
      <c r="M775" s="71" t="inlineStr">
        <is>
          <t>个</t>
        </is>
      </c>
      <c r="N775" s="72" t="n">
        <v>141.75</v>
      </c>
      <c r="O775" s="72">
        <f>ROUND(N775*(1+$F$10),2)</f>
        <v/>
      </c>
      <c r="P775" s="73">
        <f>ROUND(K775*N775,2)</f>
        <v/>
      </c>
      <c r="Q775" s="74">
        <f>ROUND(L775*N775,2)</f>
        <v/>
      </c>
      <c r="R775" s="75" t="n"/>
      <c r="S775" s="76" t="n"/>
      <c r="T775" s="77">
        <f>K775-L775</f>
        <v/>
      </c>
      <c r="U775" s="77">
        <f>P775-Q775</f>
        <v/>
      </c>
      <c r="V775" s="77">
        <f>ABS(U775)</f>
        <v/>
      </c>
      <c r="W775" s="78">
        <f>T775/L775</f>
        <v/>
      </c>
      <c r="X775" s="79">
        <f>ABS(W775)</f>
        <v/>
      </c>
      <c r="AG775" s="80" t="inlineStr">
        <is>
          <t>个数</t>
        </is>
      </c>
    </row>
    <row r="776" ht="11.4" customHeight="1">
      <c r="A776" s="67" t="inlineStr">
        <is>
          <t>71</t>
        </is>
      </c>
      <c r="B776" s="67" t="inlineStr">
        <is>
          <t>1069</t>
        </is>
      </c>
      <c r="C776" s="67" t="inlineStr">
        <is>
          <t>1646</t>
        </is>
      </c>
      <c r="D776" s="68" t="inlineStr">
        <is>
          <t>01</t>
        </is>
      </c>
      <c r="E776" s="68" t="inlineStr">
        <is>
          <t>6 物业施工费</t>
        </is>
      </c>
      <c r="F776" s="68" t="inlineStr">
        <is>
          <t>6.1 总承包工程</t>
        </is>
      </c>
      <c r="G776" s="68" t="inlineStr">
        <is>
          <t>6.1.2A 电气工程-灯具主材</t>
        </is>
      </c>
      <c r="H776" s="68" t="inlineStr">
        <is>
          <t>灯具主材-厨房</t>
        </is>
      </c>
      <c r="I776" s="69" t="inlineStr">
        <is>
          <t>1000041841</t>
        </is>
      </c>
      <c r="J776" s="69" t="inlineStr">
        <is>
          <t>OPPLE LED 5W应急灯具90分钟E</t>
        </is>
      </c>
      <c r="K776" s="70" t="n"/>
      <c r="L776" s="70" t="n"/>
      <c r="M776" s="71" t="inlineStr">
        <is>
          <t>个</t>
        </is>
      </c>
      <c r="N776" s="72" t="n">
        <v>68.25</v>
      </c>
      <c r="O776" s="72">
        <f>ROUND(N776*(1+$F$10),2)</f>
        <v/>
      </c>
      <c r="P776" s="73">
        <f>ROUND(K776*N776,2)</f>
        <v/>
      </c>
      <c r="Q776" s="74">
        <f>ROUND(L776*N776,2)</f>
        <v/>
      </c>
      <c r="R776" s="75" t="n"/>
      <c r="S776" s="76" t="n"/>
      <c r="T776" s="77">
        <f>K776-L776</f>
        <v/>
      </c>
      <c r="U776" s="77">
        <f>P776-Q776</f>
        <v/>
      </c>
      <c r="V776" s="77">
        <f>ABS(U776)</f>
        <v/>
      </c>
      <c r="W776" s="78">
        <f>T776/L776</f>
        <v/>
      </c>
      <c r="X776" s="79">
        <f>ABS(W776)</f>
        <v/>
      </c>
      <c r="AG776" s="80" t="inlineStr">
        <is>
          <t>个数</t>
        </is>
      </c>
    </row>
    <row r="777" ht="11.4" customHeight="1">
      <c r="A777" s="67" t="inlineStr">
        <is>
          <t>71</t>
        </is>
      </c>
      <c r="B777" s="67" t="inlineStr">
        <is>
          <t>1069</t>
        </is>
      </c>
      <c r="C777" s="67" t="inlineStr">
        <is>
          <t>1646</t>
        </is>
      </c>
      <c r="D777" s="68" t="inlineStr">
        <is>
          <t>01</t>
        </is>
      </c>
      <c r="E777" s="68" t="inlineStr">
        <is>
          <t>6 物业施工费</t>
        </is>
      </c>
      <c r="F777" s="68" t="inlineStr">
        <is>
          <t>6.1 总承包工程</t>
        </is>
      </c>
      <c r="G777" s="68" t="inlineStr">
        <is>
          <t>6.1.2A 电气工程-灯具主材</t>
        </is>
      </c>
      <c r="H777" s="68" t="inlineStr">
        <is>
          <t>灯具主材-厨房</t>
        </is>
      </c>
      <c r="I777" s="69" t="inlineStr">
        <is>
          <t>1000041839</t>
        </is>
      </c>
      <c r="J777" s="69" t="inlineStr">
        <is>
          <t>OPPLE方形LED灯筒灯灯具  L1</t>
        </is>
      </c>
      <c r="K777" s="70" t="n"/>
      <c r="L777" s="70" t="n"/>
      <c r="M777" s="71" t="inlineStr">
        <is>
          <t>个</t>
        </is>
      </c>
      <c r="N777" s="72" t="n">
        <v>110.25</v>
      </c>
      <c r="O777" s="72">
        <f>ROUND(N777*(1+$F$10),2)</f>
        <v/>
      </c>
      <c r="P777" s="73">
        <f>ROUND(K777*N777,2)</f>
        <v/>
      </c>
      <c r="Q777" s="74">
        <f>ROUND(L777*N777,2)</f>
        <v/>
      </c>
      <c r="R777" s="75" t="n"/>
      <c r="S777" s="76" t="n"/>
      <c r="T777" s="77">
        <f>K777-L777</f>
        <v/>
      </c>
      <c r="U777" s="77">
        <f>P777-Q777</f>
        <v/>
      </c>
      <c r="V777" s="77">
        <f>ABS(U777)</f>
        <v/>
      </c>
      <c r="W777" s="78">
        <f>T777/L777</f>
        <v/>
      </c>
      <c r="X777" s="79">
        <f>ABS(W777)</f>
        <v/>
      </c>
      <c r="AG777" s="80" t="inlineStr">
        <is>
          <t>个数</t>
        </is>
      </c>
    </row>
    <row r="778" ht="11.4" customHeight="1">
      <c r="A778" s="67" t="inlineStr">
        <is>
          <t>71</t>
        </is>
      </c>
      <c r="B778" s="67" t="inlineStr">
        <is>
          <t>1069</t>
        </is>
      </c>
      <c r="C778" s="67" t="inlineStr">
        <is>
          <t>1646</t>
        </is>
      </c>
      <c r="D778" s="68" t="inlineStr">
        <is>
          <t>01</t>
        </is>
      </c>
      <c r="E778" s="68" t="inlineStr">
        <is>
          <t>6 物业施工费</t>
        </is>
      </c>
      <c r="F778" s="68" t="inlineStr">
        <is>
          <t>6.1 总承包工程</t>
        </is>
      </c>
      <c r="G778" s="68" t="inlineStr">
        <is>
          <t>6.1.2A 电气工程-灯具主材</t>
        </is>
      </c>
      <c r="H778" s="68" t="inlineStr">
        <is>
          <t>灯具主材-厨房</t>
        </is>
      </c>
      <c r="I778" s="69" t="inlineStr">
        <is>
          <t>1000041850</t>
        </is>
      </c>
      <c r="J778" s="69" t="inlineStr">
        <is>
          <t>OPPLE双头方形LED灯筒灯灯具  L2</t>
        </is>
      </c>
      <c r="K778" s="70" t="n"/>
      <c r="L778" s="70" t="n"/>
      <c r="M778" s="71" t="inlineStr">
        <is>
          <t>个</t>
        </is>
      </c>
      <c r="N778" s="72" t="n">
        <v>178.5</v>
      </c>
      <c r="O778" s="72">
        <f>ROUND(N778*(1+$F$10),2)</f>
        <v/>
      </c>
      <c r="P778" s="73">
        <f>ROUND(K778*N778,2)</f>
        <v/>
      </c>
      <c r="Q778" s="74">
        <f>ROUND(L778*N778,2)</f>
        <v/>
      </c>
      <c r="R778" s="75" t="n"/>
      <c r="S778" s="76" t="n"/>
      <c r="T778" s="77">
        <f>K778-L778</f>
        <v/>
      </c>
      <c r="U778" s="77">
        <f>P778-Q778</f>
        <v/>
      </c>
      <c r="V778" s="77">
        <f>ABS(U778)</f>
        <v/>
      </c>
      <c r="W778" s="78">
        <f>T778/L778</f>
        <v/>
      </c>
      <c r="X778" s="79">
        <f>ABS(W778)</f>
        <v/>
      </c>
      <c r="AG778" s="80" t="inlineStr">
        <is>
          <t>个数</t>
        </is>
      </c>
    </row>
    <row r="779" ht="11.4" customHeight="1">
      <c r="A779" s="67" t="inlineStr">
        <is>
          <t>71</t>
        </is>
      </c>
      <c r="B779" s="67" t="inlineStr">
        <is>
          <t>1069</t>
        </is>
      </c>
      <c r="C779" s="67" t="inlineStr">
        <is>
          <t>1646</t>
        </is>
      </c>
      <c r="D779" s="68" t="inlineStr">
        <is>
          <t>01</t>
        </is>
      </c>
      <c r="E779" s="68" t="inlineStr">
        <is>
          <t>6 物业施工费</t>
        </is>
      </c>
      <c r="F779" s="68" t="inlineStr">
        <is>
          <t>6.1 总承包工程</t>
        </is>
      </c>
      <c r="G779" s="68" t="inlineStr">
        <is>
          <t>6.1.2A 电气工程-灯具主材</t>
        </is>
      </c>
      <c r="H779" s="68" t="inlineStr">
        <is>
          <t>灯具主材-厨房</t>
        </is>
      </c>
      <c r="I779" s="69" t="inlineStr">
        <is>
          <t>1000041851</t>
        </is>
      </c>
      <c r="J779" s="69" t="inlineStr">
        <is>
          <t>OPPLE方形嵌入式LED射灯28W  L3</t>
        </is>
      </c>
      <c r="K779" s="70" t="n"/>
      <c r="L779" s="70" t="n"/>
      <c r="M779" s="71" t="inlineStr">
        <is>
          <t>个</t>
        </is>
      </c>
      <c r="N779" s="72" t="n">
        <v>147</v>
      </c>
      <c r="O779" s="72">
        <f>ROUND(N779*(1+$F$10),2)</f>
        <v/>
      </c>
      <c r="P779" s="73">
        <f>ROUND(K779*N779,2)</f>
        <v/>
      </c>
      <c r="Q779" s="74">
        <f>ROUND(L779*N779,2)</f>
        <v/>
      </c>
      <c r="R779" s="75" t="n"/>
      <c r="S779" s="76" t="n"/>
      <c r="T779" s="77">
        <f>K779-L779</f>
        <v/>
      </c>
      <c r="U779" s="77">
        <f>P779-Q779</f>
        <v/>
      </c>
      <c r="V779" s="77">
        <f>ABS(U779)</f>
        <v/>
      </c>
      <c r="W779" s="78">
        <f>T779/L779</f>
        <v/>
      </c>
      <c r="X779" s="79">
        <f>ABS(W779)</f>
        <v/>
      </c>
      <c r="AG779" s="80" t="inlineStr">
        <is>
          <t>个数</t>
        </is>
      </c>
    </row>
    <row r="780" ht="11.4" customHeight="1">
      <c r="A780" s="67" t="inlineStr">
        <is>
          <t>71</t>
        </is>
      </c>
      <c r="B780" s="67" t="inlineStr">
        <is>
          <t>1069</t>
        </is>
      </c>
      <c r="C780" s="67" t="inlineStr">
        <is>
          <t>1646</t>
        </is>
      </c>
      <c r="D780" s="68" t="inlineStr">
        <is>
          <t>01</t>
        </is>
      </c>
      <c r="E780" s="68" t="inlineStr">
        <is>
          <t>6 物业施工费</t>
        </is>
      </c>
      <c r="F780" s="68" t="inlineStr">
        <is>
          <t>6.1 总承包工程</t>
        </is>
      </c>
      <c r="G780" s="68" t="inlineStr">
        <is>
          <t>6.1.2A 电气工程-灯具主材</t>
        </is>
      </c>
      <c r="H780" s="68" t="inlineStr">
        <is>
          <t>灯具主材-厨房</t>
        </is>
      </c>
      <c r="I780" s="69" t="inlineStr">
        <is>
          <t>1000041852</t>
        </is>
      </c>
      <c r="J780" s="69" t="inlineStr">
        <is>
          <t>OPPLE深照型圆形LED灯筒灯灯具  L4</t>
        </is>
      </c>
      <c r="K780" s="70" t="n"/>
      <c r="L780" s="70" t="n"/>
      <c r="M780" s="71" t="inlineStr">
        <is>
          <t>个</t>
        </is>
      </c>
      <c r="N780" s="72" t="n">
        <v>105</v>
      </c>
      <c r="O780" s="72">
        <f>ROUND(N780*(1+$F$10),2)</f>
        <v/>
      </c>
      <c r="P780" s="73">
        <f>ROUND(K780*N780,2)</f>
        <v/>
      </c>
      <c r="Q780" s="74">
        <f>ROUND(L780*N780,2)</f>
        <v/>
      </c>
      <c r="R780" s="75" t="n"/>
      <c r="S780" s="76" t="n"/>
      <c r="T780" s="77">
        <f>K780-L780</f>
        <v/>
      </c>
      <c r="U780" s="77">
        <f>P780-Q780</f>
        <v/>
      </c>
      <c r="V780" s="77">
        <f>ABS(U780)</f>
        <v/>
      </c>
      <c r="W780" s="78">
        <f>T780/L780</f>
        <v/>
      </c>
      <c r="X780" s="79">
        <f>ABS(W780)</f>
        <v/>
      </c>
      <c r="AG780" s="80" t="inlineStr">
        <is>
          <t>个数</t>
        </is>
      </c>
    </row>
    <row r="781" ht="11.4" customHeight="1">
      <c r="A781" s="67" t="inlineStr">
        <is>
          <t>71</t>
        </is>
      </c>
      <c r="B781" s="67" t="inlineStr">
        <is>
          <t>1069</t>
        </is>
      </c>
      <c r="C781" s="67" t="inlineStr">
        <is>
          <t>1646</t>
        </is>
      </c>
      <c r="D781" s="68" t="inlineStr">
        <is>
          <t>01</t>
        </is>
      </c>
      <c r="E781" s="68" t="inlineStr">
        <is>
          <t>6 物业施工费</t>
        </is>
      </c>
      <c r="F781" s="68" t="inlineStr">
        <is>
          <t>6.1 总承包工程</t>
        </is>
      </c>
      <c r="G781" s="68" t="inlineStr">
        <is>
          <t>6.1.2A 电气工程-灯具主材</t>
        </is>
      </c>
      <c r="H781" s="68" t="inlineStr">
        <is>
          <t>灯具主材-厨房</t>
        </is>
      </c>
      <c r="I781" s="69" t="inlineStr">
        <is>
          <t>1000041853</t>
        </is>
      </c>
      <c r="J781" s="69" t="inlineStr">
        <is>
          <t>OPPLE方形嵌入式 LED 筒灯  L5</t>
        </is>
      </c>
      <c r="K781" s="70" t="n"/>
      <c r="L781" s="70" t="n"/>
      <c r="M781" s="71" t="inlineStr">
        <is>
          <t>个</t>
        </is>
      </c>
      <c r="N781" s="72" t="n">
        <v>126</v>
      </c>
      <c r="O781" s="72">
        <f>ROUND(N781*(1+$F$10),2)</f>
        <v/>
      </c>
      <c r="P781" s="73">
        <f>ROUND(K781*N781,2)</f>
        <v/>
      </c>
      <c r="Q781" s="74">
        <f>ROUND(L781*N781,2)</f>
        <v/>
      </c>
      <c r="R781" s="75" t="n"/>
      <c r="S781" s="76" t="n"/>
      <c r="T781" s="77">
        <f>K781-L781</f>
        <v/>
      </c>
      <c r="U781" s="77">
        <f>P781-Q781</f>
        <v/>
      </c>
      <c r="V781" s="77">
        <f>ABS(U781)</f>
        <v/>
      </c>
      <c r="W781" s="78">
        <f>T781/L781</f>
        <v/>
      </c>
      <c r="X781" s="79">
        <f>ABS(W781)</f>
        <v/>
      </c>
      <c r="AG781" s="80" t="inlineStr">
        <is>
          <t>个数</t>
        </is>
      </c>
    </row>
    <row r="782" ht="11.4" customHeight="1">
      <c r="A782" s="67" t="inlineStr">
        <is>
          <t>71</t>
        </is>
      </c>
      <c r="B782" s="67" t="inlineStr">
        <is>
          <t>1069</t>
        </is>
      </c>
      <c r="C782" s="67" t="inlineStr">
        <is>
          <t>1646</t>
        </is>
      </c>
      <c r="D782" s="68" t="inlineStr">
        <is>
          <t>01</t>
        </is>
      </c>
      <c r="E782" s="68" t="inlineStr">
        <is>
          <t>6 物业施工费</t>
        </is>
      </c>
      <c r="F782" s="68" t="inlineStr">
        <is>
          <t>6.1 总承包工程</t>
        </is>
      </c>
      <c r="G782" s="68" t="inlineStr">
        <is>
          <t>6.1.2A 电气工程-灯具主材</t>
        </is>
      </c>
      <c r="H782" s="68" t="inlineStr">
        <is>
          <t>灯具主材-厨房</t>
        </is>
      </c>
      <c r="I782" s="69" t="inlineStr">
        <is>
          <t>1000041846</t>
        </is>
      </c>
      <c r="J782" s="69" t="inlineStr">
        <is>
          <t>OPPLE圆形嵌入式 LED 防尘防水筒灯 L6</t>
        </is>
      </c>
      <c r="K782" s="70" t="n"/>
      <c r="L782" s="70" t="n"/>
      <c r="M782" s="71" t="inlineStr">
        <is>
          <t>个</t>
        </is>
      </c>
      <c r="N782" s="72" t="n">
        <v>204.75</v>
      </c>
      <c r="O782" s="72">
        <f>ROUND(N782*(1+$F$10),2)</f>
        <v/>
      </c>
      <c r="P782" s="73">
        <f>ROUND(K782*N782,2)</f>
        <v/>
      </c>
      <c r="Q782" s="74">
        <f>ROUND(L782*N782,2)</f>
        <v/>
      </c>
      <c r="R782" s="75" t="n"/>
      <c r="S782" s="76" t="n"/>
      <c r="T782" s="77">
        <f>K782-L782</f>
        <v/>
      </c>
      <c r="U782" s="77">
        <f>P782-Q782</f>
        <v/>
      </c>
      <c r="V782" s="77">
        <f>ABS(U782)</f>
        <v/>
      </c>
      <c r="W782" s="78">
        <f>T782/L782</f>
        <v/>
      </c>
      <c r="X782" s="79">
        <f>ABS(W782)</f>
        <v/>
      </c>
      <c r="AG782" s="80" t="inlineStr">
        <is>
          <t>个数</t>
        </is>
      </c>
    </row>
    <row r="783" ht="11.4" customHeight="1">
      <c r="A783" s="67" t="inlineStr">
        <is>
          <t>71</t>
        </is>
      </c>
      <c r="B783" s="67" t="inlineStr">
        <is>
          <t>1069</t>
        </is>
      </c>
      <c r="C783" s="67" t="inlineStr">
        <is>
          <t>1646</t>
        </is>
      </c>
      <c r="D783" s="68" t="inlineStr">
        <is>
          <t>01</t>
        </is>
      </c>
      <c r="E783" s="68" t="inlineStr">
        <is>
          <t>6 物业施工费</t>
        </is>
      </c>
      <c r="F783" s="68" t="inlineStr">
        <is>
          <t>6.1 总承包工程</t>
        </is>
      </c>
      <c r="G783" s="68" t="inlineStr">
        <is>
          <t>6.1.2A 电气工程-灯具主材</t>
        </is>
      </c>
      <c r="H783" s="68" t="inlineStr">
        <is>
          <t>灯具主材-厨房</t>
        </is>
      </c>
      <c r="I783" s="69" t="inlineStr">
        <is>
          <t>1000041837</t>
        </is>
      </c>
      <c r="J783" s="69" t="inlineStr">
        <is>
          <t>OPPLE600*600mm嵌入式LED灯盘 L7</t>
        </is>
      </c>
      <c r="K783" s="70" t="n"/>
      <c r="L783" s="70" t="n"/>
      <c r="M783" s="71" t="inlineStr">
        <is>
          <t>个</t>
        </is>
      </c>
      <c r="N783" s="72" t="n">
        <v>252</v>
      </c>
      <c r="O783" s="72">
        <f>ROUND(N783*(1+$F$10),2)</f>
        <v/>
      </c>
      <c r="P783" s="73">
        <f>ROUND(K783*N783,2)</f>
        <v/>
      </c>
      <c r="Q783" s="74">
        <f>ROUND(L783*N783,2)</f>
        <v/>
      </c>
      <c r="R783" s="75" t="n"/>
      <c r="S783" s="76" t="n"/>
      <c r="T783" s="77">
        <f>K783-L783</f>
        <v/>
      </c>
      <c r="U783" s="77">
        <f>P783-Q783</f>
        <v/>
      </c>
      <c r="V783" s="77">
        <f>ABS(U783)</f>
        <v/>
      </c>
      <c r="W783" s="78">
        <f>T783/L783</f>
        <v/>
      </c>
      <c r="X783" s="79">
        <f>ABS(W783)</f>
        <v/>
      </c>
      <c r="AG783" s="80" t="inlineStr">
        <is>
          <t>个数</t>
        </is>
      </c>
    </row>
    <row r="784" ht="11.4" customHeight="1">
      <c r="A784" s="67" t="inlineStr">
        <is>
          <t>71</t>
        </is>
      </c>
      <c r="B784" s="67" t="inlineStr">
        <is>
          <t>1069</t>
        </is>
      </c>
      <c r="C784" s="67" t="inlineStr">
        <is>
          <t>1646</t>
        </is>
      </c>
      <c r="D784" s="68" t="inlineStr">
        <is>
          <t>01</t>
        </is>
      </c>
      <c r="E784" s="68" t="inlineStr">
        <is>
          <t>6 物业施工费</t>
        </is>
      </c>
      <c r="F784" s="68" t="inlineStr">
        <is>
          <t>6.1 总承包工程</t>
        </is>
      </c>
      <c r="G784" s="68" t="inlineStr">
        <is>
          <t>6.1.2A 电气工程-灯具主材</t>
        </is>
      </c>
      <c r="H784" s="68" t="inlineStr">
        <is>
          <t>灯具主材-厨房</t>
        </is>
      </c>
      <c r="I784" s="69" t="inlineStr">
        <is>
          <t>1000041838</t>
        </is>
      </c>
      <c r="J784" s="69" t="inlineStr">
        <is>
          <t>OPPLE1200mm 带罩LED支架灯  L8</t>
        </is>
      </c>
      <c r="K784" s="70" t="n"/>
      <c r="L784" s="70" t="n"/>
      <c r="M784" s="71" t="inlineStr">
        <is>
          <t>个</t>
        </is>
      </c>
      <c r="N784" s="72" t="n">
        <v>136.5</v>
      </c>
      <c r="O784" s="72">
        <f>ROUND(N784*(1+$F$10),2)</f>
        <v/>
      </c>
      <c r="P784" s="73">
        <f>ROUND(K784*N784,2)</f>
        <v/>
      </c>
      <c r="Q784" s="74">
        <f>ROUND(L784*N784,2)</f>
        <v/>
      </c>
      <c r="R784" s="75" t="n"/>
      <c r="S784" s="76" t="n"/>
      <c r="T784" s="77">
        <f>K784-L784</f>
        <v/>
      </c>
      <c r="U784" s="77">
        <f>P784-Q784</f>
        <v/>
      </c>
      <c r="V784" s="77">
        <f>ABS(U784)</f>
        <v/>
      </c>
      <c r="W784" s="78">
        <f>T784/L784</f>
        <v/>
      </c>
      <c r="X784" s="79">
        <f>ABS(W784)</f>
        <v/>
      </c>
      <c r="AG784" s="80" t="inlineStr">
        <is>
          <t>个数</t>
        </is>
      </c>
    </row>
    <row r="785" ht="11.4" customHeight="1">
      <c r="A785" s="67" t="inlineStr">
        <is>
          <t>71</t>
        </is>
      </c>
      <c r="B785" s="67" t="inlineStr">
        <is>
          <t>1069</t>
        </is>
      </c>
      <c r="C785" s="67" t="inlineStr">
        <is>
          <t>1646</t>
        </is>
      </c>
      <c r="D785" s="68" t="inlineStr">
        <is>
          <t>01</t>
        </is>
      </c>
      <c r="E785" s="68" t="inlineStr">
        <is>
          <t>6 物业施工费</t>
        </is>
      </c>
      <c r="F785" s="68" t="inlineStr">
        <is>
          <t>6.1 总承包工程</t>
        </is>
      </c>
      <c r="G785" s="68" t="inlineStr">
        <is>
          <t>6.1.2A 电气工程-灯具主材</t>
        </is>
      </c>
      <c r="H785" s="68" t="inlineStr">
        <is>
          <t>灯具主材-厨房</t>
        </is>
      </c>
      <c r="I785" s="69" t="inlineStr">
        <is>
          <t>1000041843</t>
        </is>
      </c>
      <c r="J785" s="69" t="inlineStr">
        <is>
          <t>OPPLE圆形嵌入式射灯 L2-E/L5-E</t>
        </is>
      </c>
      <c r="K785" s="70" t="n"/>
      <c r="L785" s="70" t="n"/>
      <c r="M785" s="71" t="inlineStr">
        <is>
          <t>个</t>
        </is>
      </c>
      <c r="N785" s="72" t="n">
        <v>120.75</v>
      </c>
      <c r="O785" s="72">
        <f>ROUND(N785*(1+$F$10),2)</f>
        <v/>
      </c>
      <c r="P785" s="73">
        <f>ROUND(K785*N785,2)</f>
        <v/>
      </c>
      <c r="Q785" s="74">
        <f>ROUND(L785*N785,2)</f>
        <v/>
      </c>
      <c r="R785" s="75" t="n"/>
      <c r="S785" s="76" t="n"/>
      <c r="T785" s="77">
        <f>K785-L785</f>
        <v/>
      </c>
      <c r="U785" s="77">
        <f>P785-Q785</f>
        <v/>
      </c>
      <c r="V785" s="77">
        <f>ABS(U785)</f>
        <v/>
      </c>
      <c r="W785" s="78">
        <f>T785/L785</f>
        <v/>
      </c>
      <c r="X785" s="79">
        <f>ABS(W785)</f>
        <v/>
      </c>
      <c r="AG785" s="80" t="inlineStr">
        <is>
          <t>个数</t>
        </is>
      </c>
    </row>
    <row r="786" ht="11.4" customHeight="1">
      <c r="A786" s="67" t="inlineStr">
        <is>
          <t>72</t>
        </is>
      </c>
      <c r="B786" s="67" t="inlineStr">
        <is>
          <t>1070</t>
        </is>
      </c>
      <c r="C786" s="67" t="inlineStr">
        <is>
          <t>1613</t>
        </is>
      </c>
      <c r="D786" s="68" t="inlineStr">
        <is>
          <t>01</t>
        </is>
      </c>
      <c r="E786" s="68" t="inlineStr">
        <is>
          <t>6 物业施工费</t>
        </is>
      </c>
      <c r="F786" s="68" t="inlineStr">
        <is>
          <t>6.1 总承包工程</t>
        </is>
      </c>
      <c r="G786" s="68" t="inlineStr">
        <is>
          <t>6.1.3 给排水工程（含独立甜品站以外的所有给排水）</t>
        </is>
      </c>
      <c r="H786" s="68" t="inlineStr">
        <is>
          <t>给水(下列各项包含吊杆及全部配件)</t>
        </is>
      </c>
      <c r="I786" s="69" t="inlineStr">
        <is>
          <t>1000021931</t>
        </is>
      </c>
      <c r="J786" s="69" t="inlineStr">
        <is>
          <t>Φ50mm镀锌钢管</t>
        </is>
      </c>
      <c r="K786" s="70" t="n"/>
      <c r="L786" s="70" t="n"/>
      <c r="M786" s="71" t="inlineStr">
        <is>
          <t>米</t>
        </is>
      </c>
      <c r="N786" s="72" t="n">
        <v>89.61</v>
      </c>
      <c r="O786" s="72">
        <f>ROUND(N786*(1+$F$10),2)</f>
        <v/>
      </c>
      <c r="P786" s="73">
        <f>ROUND(K786*N786,2)</f>
        <v/>
      </c>
      <c r="Q786" s="74">
        <f>ROUND(L786*N786,2)</f>
        <v/>
      </c>
      <c r="R786" s="75" t="n"/>
      <c r="S786" s="76" t="n"/>
      <c r="T786" s="77">
        <f>K786-L786</f>
        <v/>
      </c>
      <c r="U786" s="77">
        <f>P786-Q786</f>
        <v/>
      </c>
      <c r="V786" s="77">
        <f>ABS(U786)</f>
        <v/>
      </c>
      <c r="W786" s="78">
        <f>T786/L786</f>
        <v/>
      </c>
      <c r="X786" s="79">
        <f>ABS(W786)</f>
        <v/>
      </c>
      <c r="AG786" s="6" t="inlineStr">
        <is>
          <t>总长度（插件计算）水管</t>
        </is>
      </c>
    </row>
    <row r="787" ht="11.4" customHeight="1">
      <c r="A787" s="67" t="inlineStr">
        <is>
          <t>72</t>
        </is>
      </c>
      <c r="B787" s="67" t="inlineStr">
        <is>
          <t>1070</t>
        </is>
      </c>
      <c r="C787" s="67" t="inlineStr">
        <is>
          <t>1613</t>
        </is>
      </c>
      <c r="D787" s="68" t="inlineStr">
        <is>
          <t>01</t>
        </is>
      </c>
      <c r="E787" s="68" t="inlineStr">
        <is>
          <t>6 物业施工费</t>
        </is>
      </c>
      <c r="F787" s="68" t="inlineStr">
        <is>
          <t>6.1 总承包工程</t>
        </is>
      </c>
      <c r="G787" s="68" t="inlineStr">
        <is>
          <t>6.1.3 给排水工程（含独立甜品站以外的所有给排水）</t>
        </is>
      </c>
      <c r="H787" s="68" t="inlineStr">
        <is>
          <t>给水(下列各项包含吊杆及全部配件)</t>
        </is>
      </c>
      <c r="I787" s="69" t="inlineStr">
        <is>
          <t>1000021932</t>
        </is>
      </c>
      <c r="J787" s="69" t="inlineStr">
        <is>
          <t>Φ50mmPPR管</t>
        </is>
      </c>
      <c r="K787" s="70" t="n">
        <v>5.76</v>
      </c>
      <c r="L787" s="70" t="n">
        <v>5.76</v>
      </c>
      <c r="M787" s="71" t="inlineStr">
        <is>
          <t>米</t>
        </is>
      </c>
      <c r="N787" s="72" t="n">
        <v>96.69</v>
      </c>
      <c r="O787" s="72">
        <f>ROUND(N787*(1+$F$10),2)</f>
        <v/>
      </c>
      <c r="P787" s="73">
        <f>ROUND(K787*N787,2)</f>
        <v/>
      </c>
      <c r="Q787" s="74">
        <f>ROUND(L787*N787,2)</f>
        <v/>
      </c>
      <c r="R787" s="75" t="n"/>
      <c r="S787" s="76" t="n"/>
      <c r="T787" s="77">
        <f>K787-L787</f>
        <v/>
      </c>
      <c r="U787" s="77">
        <f>P787-Q787</f>
        <v/>
      </c>
      <c r="V787" s="77">
        <f>ABS(U787)</f>
        <v/>
      </c>
      <c r="W787" s="78">
        <f>T787/L787</f>
        <v/>
      </c>
      <c r="X787" s="79">
        <f>ABS(W787)</f>
        <v/>
      </c>
      <c r="AG787" s="6" t="inlineStr">
        <is>
          <t>总长度（插件计算）水管</t>
        </is>
      </c>
    </row>
    <row r="788" ht="11.4" customHeight="1">
      <c r="A788" s="67" t="inlineStr">
        <is>
          <t>72</t>
        </is>
      </c>
      <c r="B788" s="67" t="inlineStr">
        <is>
          <t>1070</t>
        </is>
      </c>
      <c r="C788" s="67" t="inlineStr">
        <is>
          <t>1613</t>
        </is>
      </c>
      <c r="D788" s="68" t="inlineStr">
        <is>
          <t>01</t>
        </is>
      </c>
      <c r="E788" s="68" t="inlineStr">
        <is>
          <t>6 物业施工费</t>
        </is>
      </c>
      <c r="F788" s="68" t="inlineStr">
        <is>
          <t>6.1 总承包工程</t>
        </is>
      </c>
      <c r="G788" s="68" t="inlineStr">
        <is>
          <t>6.1.3 给排水工程（含独立甜品站以外的所有给排水）</t>
        </is>
      </c>
      <c r="H788" s="68" t="inlineStr">
        <is>
          <t>给水(下列各项包含吊杆及全部配件)</t>
        </is>
      </c>
      <c r="I788" s="69" t="inlineStr">
        <is>
          <t>1000021933</t>
        </is>
      </c>
      <c r="J788" s="69" t="inlineStr">
        <is>
          <t>Φ40mmPPR管</t>
        </is>
      </c>
      <c r="K788" s="83" t="n">
        <v>11.47</v>
      </c>
      <c r="L788" s="70" t="n">
        <v>8.6</v>
      </c>
      <c r="M788" s="71" t="inlineStr">
        <is>
          <t>米</t>
        </is>
      </c>
      <c r="N788" s="72" t="n">
        <v>74.14</v>
      </c>
      <c r="O788" s="72">
        <f>ROUND(N788*(1+$F$10),2)</f>
        <v/>
      </c>
      <c r="P788" s="73">
        <f>ROUND(K788*N788,2)</f>
        <v/>
      </c>
      <c r="Q788" s="74">
        <f>ROUND(L788*N788,2)</f>
        <v/>
      </c>
      <c r="R788" s="75" t="n"/>
      <c r="S788" s="76" t="n"/>
      <c r="T788" s="77">
        <f>K788-L788</f>
        <v/>
      </c>
      <c r="U788" s="77">
        <f>P788-Q788</f>
        <v/>
      </c>
      <c r="V788" s="77">
        <f>ABS(U788)</f>
        <v/>
      </c>
      <c r="W788" s="78">
        <f>T788/L788</f>
        <v/>
      </c>
      <c r="X788" s="79">
        <f>ABS(W788)</f>
        <v/>
      </c>
      <c r="AG788" s="6" t="inlineStr">
        <is>
          <t>总长度（插件计算）水管</t>
        </is>
      </c>
    </row>
    <row r="789" ht="11.4" customHeight="1">
      <c r="A789" s="67" t="inlineStr">
        <is>
          <t>72</t>
        </is>
      </c>
      <c r="B789" s="67" t="inlineStr">
        <is>
          <t>1070</t>
        </is>
      </c>
      <c r="C789" s="67" t="inlineStr">
        <is>
          <t>1613</t>
        </is>
      </c>
      <c r="D789" s="68" t="inlineStr">
        <is>
          <t>01</t>
        </is>
      </c>
      <c r="E789" s="68" t="inlineStr">
        <is>
          <t>6 物业施工费</t>
        </is>
      </c>
      <c r="F789" s="68" t="inlineStr">
        <is>
          <t>6.1 总承包工程</t>
        </is>
      </c>
      <c r="G789" s="68" t="inlineStr">
        <is>
          <t>6.1.3 给排水工程（含独立甜品站以外的所有给排水）</t>
        </is>
      </c>
      <c r="H789" s="68" t="inlineStr">
        <is>
          <t>给水(下列各项包含吊杆及全部配件)</t>
        </is>
      </c>
      <c r="I789" s="69" t="inlineStr">
        <is>
          <t>1000021934</t>
        </is>
      </c>
      <c r="J789" s="69" t="inlineStr">
        <is>
          <t>Φ32mmPPR管</t>
        </is>
      </c>
      <c r="K789" s="70" t="n"/>
      <c r="L789" s="70" t="n"/>
      <c r="M789" s="71" t="inlineStr">
        <is>
          <t>米</t>
        </is>
      </c>
      <c r="N789" s="72" t="n">
        <v>64.18000000000001</v>
      </c>
      <c r="O789" s="72">
        <f>ROUND(N789*(1+$F$10),2)</f>
        <v/>
      </c>
      <c r="P789" s="73">
        <f>ROUND(K789*N789,2)</f>
        <v/>
      </c>
      <c r="Q789" s="74">
        <f>ROUND(L789*N789,2)</f>
        <v/>
      </c>
      <c r="R789" s="75" t="n"/>
      <c r="S789" s="76" t="n"/>
      <c r="T789" s="77">
        <f>K789-L789</f>
        <v/>
      </c>
      <c r="U789" s="77">
        <f>P789-Q789</f>
        <v/>
      </c>
      <c r="V789" s="77">
        <f>ABS(U789)</f>
        <v/>
      </c>
      <c r="W789" s="78">
        <f>T789/L789</f>
        <v/>
      </c>
      <c r="X789" s="79">
        <f>ABS(W789)</f>
        <v/>
      </c>
      <c r="AG789" s="6" t="inlineStr">
        <is>
          <t>总长度（插件计算）水管</t>
        </is>
      </c>
    </row>
    <row r="790" ht="11.4" customHeight="1">
      <c r="A790" s="67" t="inlineStr">
        <is>
          <t>72</t>
        </is>
      </c>
      <c r="B790" s="67" t="inlineStr">
        <is>
          <t>1070</t>
        </is>
      </c>
      <c r="C790" s="67" t="inlineStr">
        <is>
          <t>1613</t>
        </is>
      </c>
      <c r="D790" s="68" t="inlineStr">
        <is>
          <t>01</t>
        </is>
      </c>
      <c r="E790" s="68" t="inlineStr">
        <is>
          <t>6 物业施工费</t>
        </is>
      </c>
      <c r="F790" s="68" t="inlineStr">
        <is>
          <t>6.1 总承包工程</t>
        </is>
      </c>
      <c r="G790" s="68" t="inlineStr">
        <is>
          <t>6.1.3 给排水工程（含独立甜品站以外的所有给排水）</t>
        </is>
      </c>
      <c r="H790" s="68" t="inlineStr">
        <is>
          <t>给水(下列各项包含吊杆及全部配件)</t>
        </is>
      </c>
      <c r="I790" s="69" t="inlineStr">
        <is>
          <t>1000021935</t>
        </is>
      </c>
      <c r="J790" s="69" t="inlineStr">
        <is>
          <t>Φ25mmPPR管</t>
        </is>
      </c>
      <c r="K790" s="70" t="n">
        <v>180.83</v>
      </c>
      <c r="L790" s="70" t="n">
        <v>176.38</v>
      </c>
      <c r="M790" s="71" t="inlineStr">
        <is>
          <t>米</t>
        </is>
      </c>
      <c r="N790" s="72" t="n">
        <v>52.58</v>
      </c>
      <c r="O790" s="72">
        <f>ROUND(N790*(1+$F$10),2)</f>
        <v/>
      </c>
      <c r="P790" s="73">
        <f>ROUND(K790*N790,2)</f>
        <v/>
      </c>
      <c r="Q790" s="74">
        <f>ROUND(L790*N790,2)</f>
        <v/>
      </c>
      <c r="R790" s="75" t="n"/>
      <c r="S790" s="76" t="n"/>
      <c r="T790" s="77">
        <f>K790-L790</f>
        <v/>
      </c>
      <c r="U790" s="77">
        <f>P790-Q790</f>
        <v/>
      </c>
      <c r="V790" s="77">
        <f>ABS(U790)</f>
        <v/>
      </c>
      <c r="W790" s="78">
        <f>T790/L790</f>
        <v/>
      </c>
      <c r="X790" s="79">
        <f>ABS(W790)</f>
        <v/>
      </c>
      <c r="AG790" s="6" t="inlineStr">
        <is>
          <t>总长度（插件计算）水管</t>
        </is>
      </c>
    </row>
    <row r="791" ht="11.4" customHeight="1">
      <c r="A791" s="67" t="inlineStr">
        <is>
          <t>72</t>
        </is>
      </c>
      <c r="B791" s="67" t="inlineStr">
        <is>
          <t>1070</t>
        </is>
      </c>
      <c r="C791" s="67" t="inlineStr">
        <is>
          <t>1613</t>
        </is>
      </c>
      <c r="D791" s="68" t="inlineStr">
        <is>
          <t>01</t>
        </is>
      </c>
      <c r="E791" s="68" t="inlineStr">
        <is>
          <t>6 物业施工费</t>
        </is>
      </c>
      <c r="F791" s="68" t="inlineStr">
        <is>
          <t>6.1 总承包工程</t>
        </is>
      </c>
      <c r="G791" s="68" t="inlineStr">
        <is>
          <t>6.1.3 给排水工程（含独立甜品站以外的所有给排水）</t>
        </is>
      </c>
      <c r="H791" s="68" t="inlineStr">
        <is>
          <t>给水(下列各项包含吊杆及全部配件)</t>
        </is>
      </c>
      <c r="I791" s="69" t="inlineStr">
        <is>
          <t>1000021936</t>
        </is>
      </c>
      <c r="J791" s="69" t="inlineStr">
        <is>
          <t>Φ20mmPPR管</t>
        </is>
      </c>
      <c r="K791" s="70" t="n"/>
      <c r="L791" s="70" t="n"/>
      <c r="M791" s="71" t="inlineStr">
        <is>
          <t>米</t>
        </is>
      </c>
      <c r="N791" s="72" t="n">
        <v>43.34</v>
      </c>
      <c r="O791" s="72">
        <f>ROUND(N791*(1+$F$10),2)</f>
        <v/>
      </c>
      <c r="P791" s="73">
        <f>ROUND(K791*N791,2)</f>
        <v/>
      </c>
      <c r="Q791" s="74">
        <f>ROUND(L791*N791,2)</f>
        <v/>
      </c>
      <c r="R791" s="75" t="n"/>
      <c r="S791" s="76" t="n"/>
      <c r="T791" s="77">
        <f>K791-L791</f>
        <v/>
      </c>
      <c r="U791" s="77">
        <f>P791-Q791</f>
        <v/>
      </c>
      <c r="V791" s="77">
        <f>ABS(U791)</f>
        <v/>
      </c>
      <c r="W791" s="78">
        <f>T791/L791</f>
        <v/>
      </c>
      <c r="X791" s="79">
        <f>ABS(W791)</f>
        <v/>
      </c>
      <c r="AG791" s="6" t="inlineStr">
        <is>
          <t>总长度（插件计算）水管</t>
        </is>
      </c>
    </row>
    <row r="792" ht="11.4" customHeight="1">
      <c r="A792" s="67" t="inlineStr">
        <is>
          <t>72</t>
        </is>
      </c>
      <c r="B792" s="67" t="inlineStr">
        <is>
          <t>1070</t>
        </is>
      </c>
      <c r="C792" s="67" t="inlineStr">
        <is>
          <t>1613</t>
        </is>
      </c>
      <c r="D792" s="68" t="inlineStr">
        <is>
          <t>01</t>
        </is>
      </c>
      <c r="E792" s="68" t="inlineStr">
        <is>
          <t>6 物业施工费</t>
        </is>
      </c>
      <c r="F792" s="68" t="inlineStr">
        <is>
          <t>6.1 总承包工程</t>
        </is>
      </c>
      <c r="G792" s="68" t="inlineStr">
        <is>
          <t>6.1.3 给排水工程（含独立甜品站以外的所有给排水）</t>
        </is>
      </c>
      <c r="H792" s="68" t="inlineStr">
        <is>
          <t>给水(下列各项包含吊杆及全部配件)</t>
        </is>
      </c>
      <c r="I792" s="69" t="inlineStr">
        <is>
          <t>1000021937</t>
        </is>
      </c>
      <c r="J792" s="69" t="inlineStr">
        <is>
          <t>Φ15mmPPR管</t>
        </is>
      </c>
      <c r="K792" s="70" t="n"/>
      <c r="L792" s="70" t="n"/>
      <c r="M792" s="71" t="inlineStr">
        <is>
          <t>米</t>
        </is>
      </c>
      <c r="N792" s="72" t="n">
        <v>39.71</v>
      </c>
      <c r="O792" s="72">
        <f>ROUND(N792*(1+$F$10),2)</f>
        <v/>
      </c>
      <c r="P792" s="73">
        <f>ROUND(K792*N792,2)</f>
        <v/>
      </c>
      <c r="Q792" s="74">
        <f>ROUND(L792*N792,2)</f>
        <v/>
      </c>
      <c r="R792" s="75" t="n"/>
      <c r="S792" s="76" t="n"/>
      <c r="T792" s="77">
        <f>K792-L792</f>
        <v/>
      </c>
      <c r="U792" s="77">
        <f>P792-Q792</f>
        <v/>
      </c>
      <c r="V792" s="77">
        <f>ABS(U792)</f>
        <v/>
      </c>
      <c r="W792" s="78">
        <f>T792/L792</f>
        <v/>
      </c>
      <c r="X792" s="79">
        <f>ABS(W792)</f>
        <v/>
      </c>
      <c r="AG792" s="6" t="inlineStr">
        <is>
          <t>总长度（插件计算）水管</t>
        </is>
      </c>
    </row>
    <row r="793" ht="11.4" customHeight="1">
      <c r="A793" s="67" t="inlineStr">
        <is>
          <t>72</t>
        </is>
      </c>
      <c r="B793" s="67" t="inlineStr">
        <is>
          <t>1070</t>
        </is>
      </c>
      <c r="C793" s="67" t="inlineStr">
        <is>
          <t>1613</t>
        </is>
      </c>
      <c r="D793" s="68" t="inlineStr">
        <is>
          <t>01</t>
        </is>
      </c>
      <c r="E793" s="68" t="inlineStr">
        <is>
          <t>6 物业施工费</t>
        </is>
      </c>
      <c r="F793" s="68" t="inlineStr">
        <is>
          <t>6.1 总承包工程</t>
        </is>
      </c>
      <c r="G793" s="68" t="inlineStr">
        <is>
          <t>6.1.3 给排水工程（含独立甜品站以外的所有给排水）</t>
        </is>
      </c>
      <c r="H793" s="68" t="inlineStr">
        <is>
          <t>给水(下列各项包含吊杆及全部配件)</t>
        </is>
      </c>
      <c r="I793" s="69" t="inlineStr">
        <is>
          <t>1000021938</t>
        </is>
      </c>
      <c r="J793" s="69" t="inlineStr">
        <is>
          <t>铜阀门直径50mm</t>
        </is>
      </c>
      <c r="K793" s="70" t="n">
        <v>2</v>
      </c>
      <c r="L793" s="70" t="n">
        <v>2</v>
      </c>
      <c r="M793" s="71" t="inlineStr">
        <is>
          <t>只</t>
        </is>
      </c>
      <c r="N793" s="72" t="n">
        <v>237.04</v>
      </c>
      <c r="O793" s="72">
        <f>ROUND(N793*(1+$F$10),2)</f>
        <v/>
      </c>
      <c r="P793" s="73">
        <f>ROUND(K793*N793,2)</f>
        <v/>
      </c>
      <c r="Q793" s="74">
        <f>ROUND(L793*N793,2)</f>
        <v/>
      </c>
      <c r="R793" s="75" t="n"/>
      <c r="S793" s="76" t="n"/>
      <c r="T793" s="77">
        <f>K793-L793</f>
        <v/>
      </c>
      <c r="U793" s="77">
        <f>P793-Q793</f>
        <v/>
      </c>
      <c r="V793" s="77">
        <f>ABS(U793)</f>
        <v/>
      </c>
      <c r="W793" s="78">
        <f>T793/L793</f>
        <v/>
      </c>
      <c r="X793" s="79">
        <f>ABS(W793)</f>
        <v/>
      </c>
      <c r="AG793" s="80" t="inlineStr">
        <is>
          <t>个数</t>
        </is>
      </c>
    </row>
    <row r="794" ht="11.4" customHeight="1">
      <c r="A794" s="67" t="inlineStr">
        <is>
          <t>72</t>
        </is>
      </c>
      <c r="B794" s="67" t="inlineStr">
        <is>
          <t>1070</t>
        </is>
      </c>
      <c r="C794" s="67" t="inlineStr">
        <is>
          <t>1613</t>
        </is>
      </c>
      <c r="D794" s="68" t="inlineStr">
        <is>
          <t>01</t>
        </is>
      </c>
      <c r="E794" s="68" t="inlineStr">
        <is>
          <t>6 物业施工费</t>
        </is>
      </c>
      <c r="F794" s="68" t="inlineStr">
        <is>
          <t>6.1 总承包工程</t>
        </is>
      </c>
      <c r="G794" s="68" t="inlineStr">
        <is>
          <t>6.1.3 给排水工程（含独立甜品站以外的所有给排水）</t>
        </is>
      </c>
      <c r="H794" s="68" t="inlineStr">
        <is>
          <t>给水(下列各项包含吊杆及全部配件)</t>
        </is>
      </c>
      <c r="I794" s="69" t="inlineStr">
        <is>
          <t>1000021939</t>
        </is>
      </c>
      <c r="J794" s="69" t="inlineStr">
        <is>
          <t>铜阀门直径32mm</t>
        </is>
      </c>
      <c r="K794" s="70" t="n"/>
      <c r="L794" s="70" t="n"/>
      <c r="M794" s="71" t="inlineStr">
        <is>
          <t>只</t>
        </is>
      </c>
      <c r="N794" s="72" t="n">
        <v>126.49</v>
      </c>
      <c r="O794" s="72">
        <f>ROUND(N794*(1+$F$10),2)</f>
        <v/>
      </c>
      <c r="P794" s="73">
        <f>ROUND(K794*N794,2)</f>
        <v/>
      </c>
      <c r="Q794" s="74">
        <f>ROUND(L794*N794,2)</f>
        <v/>
      </c>
      <c r="R794" s="75" t="n"/>
      <c r="S794" s="76" t="n"/>
      <c r="T794" s="77">
        <f>K794-L794</f>
        <v/>
      </c>
      <c r="U794" s="77">
        <f>P794-Q794</f>
        <v/>
      </c>
      <c r="V794" s="77">
        <f>ABS(U794)</f>
        <v/>
      </c>
      <c r="W794" s="78">
        <f>T794/L794</f>
        <v/>
      </c>
      <c r="X794" s="79">
        <f>ABS(W794)</f>
        <v/>
      </c>
      <c r="AG794" s="80" t="inlineStr">
        <is>
          <t>个数</t>
        </is>
      </c>
    </row>
    <row r="795" ht="11.4" customHeight="1">
      <c r="A795" s="67" t="inlineStr">
        <is>
          <t>72</t>
        </is>
      </c>
      <c r="B795" s="67" t="inlineStr">
        <is>
          <t>1070</t>
        </is>
      </c>
      <c r="C795" s="67" t="inlineStr">
        <is>
          <t>1613</t>
        </is>
      </c>
      <c r="D795" s="68" t="inlineStr">
        <is>
          <t>01</t>
        </is>
      </c>
      <c r="E795" s="68" t="inlineStr">
        <is>
          <t>6 物业施工费</t>
        </is>
      </c>
      <c r="F795" s="68" t="inlineStr">
        <is>
          <t>6.1 总承包工程</t>
        </is>
      </c>
      <c r="G795" s="68" t="inlineStr">
        <is>
          <t>6.1.3 给排水工程（含独立甜品站以外的所有给排水）</t>
        </is>
      </c>
      <c r="H795" s="68" t="inlineStr">
        <is>
          <t>给水(下列各项包含吊杆及全部配件)</t>
        </is>
      </c>
      <c r="I795" s="69" t="inlineStr">
        <is>
          <t>1000021940</t>
        </is>
      </c>
      <c r="J795" s="69" t="inlineStr">
        <is>
          <t>铜阀门直径25mm</t>
        </is>
      </c>
      <c r="K795" s="83" t="n">
        <v>35</v>
      </c>
      <c r="L795" s="70" t="n">
        <v>31</v>
      </c>
      <c r="M795" s="71" t="inlineStr">
        <is>
          <t>只</t>
        </is>
      </c>
      <c r="N795" s="72" t="n">
        <v>103.5</v>
      </c>
      <c r="O795" s="72">
        <f>ROUND(N795*(1+$F$10),2)</f>
        <v/>
      </c>
      <c r="P795" s="73">
        <f>ROUND(K795*N795,2)</f>
        <v/>
      </c>
      <c r="Q795" s="74">
        <f>ROUND(L795*N795,2)</f>
        <v/>
      </c>
      <c r="R795" s="75" t="n"/>
      <c r="S795" s="76" t="n"/>
      <c r="T795" s="77">
        <f>K795-L795</f>
        <v/>
      </c>
      <c r="U795" s="77">
        <f>P795-Q795</f>
        <v/>
      </c>
      <c r="V795" s="77">
        <f>ABS(U795)</f>
        <v/>
      </c>
      <c r="W795" s="78">
        <f>T795/L795</f>
        <v/>
      </c>
      <c r="X795" s="79">
        <f>ABS(W795)</f>
        <v/>
      </c>
      <c r="AG795" s="80" t="inlineStr">
        <is>
          <t>个数</t>
        </is>
      </c>
    </row>
    <row r="796" ht="11.4" customHeight="1">
      <c r="A796" s="67" t="inlineStr">
        <is>
          <t>72</t>
        </is>
      </c>
      <c r="B796" s="67" t="inlineStr">
        <is>
          <t>1070</t>
        </is>
      </c>
      <c r="C796" s="67" t="inlineStr">
        <is>
          <t>1613</t>
        </is>
      </c>
      <c r="D796" s="68" t="inlineStr">
        <is>
          <t>01</t>
        </is>
      </c>
      <c r="E796" s="68" t="inlineStr">
        <is>
          <t>6 物业施工费</t>
        </is>
      </c>
      <c r="F796" s="68" t="inlineStr">
        <is>
          <t>6.1 总承包工程</t>
        </is>
      </c>
      <c r="G796" s="68" t="inlineStr">
        <is>
          <t>6.1.3 给排水工程（含独立甜品站以外的所有给排水）</t>
        </is>
      </c>
      <c r="H796" s="68" t="inlineStr">
        <is>
          <t>给水(下列各项包含吊杆及全部配件)</t>
        </is>
      </c>
      <c r="I796" s="69" t="inlineStr">
        <is>
          <t>1000021941</t>
        </is>
      </c>
      <c r="J796" s="69" t="inlineStr">
        <is>
          <t>铜阀门直径20mm</t>
        </is>
      </c>
      <c r="K796" s="70" t="n"/>
      <c r="L796" s="70" t="n"/>
      <c r="M796" s="71" t="inlineStr">
        <is>
          <t>只</t>
        </is>
      </c>
      <c r="N796" s="72" t="n">
        <v>76.44</v>
      </c>
      <c r="O796" s="72">
        <f>ROUND(N796*(1+$F$10),2)</f>
        <v/>
      </c>
      <c r="P796" s="73">
        <f>ROUND(K796*N796,2)</f>
        <v/>
      </c>
      <c r="Q796" s="74">
        <f>ROUND(L796*N796,2)</f>
        <v/>
      </c>
      <c r="R796" s="75" t="n"/>
      <c r="S796" s="76" t="n"/>
      <c r="T796" s="77">
        <f>K796-L796</f>
        <v/>
      </c>
      <c r="U796" s="77">
        <f>P796-Q796</f>
        <v/>
      </c>
      <c r="V796" s="77">
        <f>ABS(U796)</f>
        <v/>
      </c>
      <c r="W796" s="78">
        <f>T796/L796</f>
        <v/>
      </c>
      <c r="X796" s="79">
        <f>ABS(W796)</f>
        <v/>
      </c>
      <c r="AG796" s="80" t="inlineStr">
        <is>
          <t>个数</t>
        </is>
      </c>
    </row>
    <row r="797" ht="11.4" customHeight="1">
      <c r="A797" s="67" t="inlineStr">
        <is>
          <t>72</t>
        </is>
      </c>
      <c r="B797" s="67" t="inlineStr">
        <is>
          <t>1070</t>
        </is>
      </c>
      <c r="C797" s="67" t="inlineStr">
        <is>
          <t>1613</t>
        </is>
      </c>
      <c r="D797" s="68" t="inlineStr">
        <is>
          <t>01</t>
        </is>
      </c>
      <c r="E797" s="68" t="inlineStr">
        <is>
          <t>6 物业施工费</t>
        </is>
      </c>
      <c r="F797" s="68" t="inlineStr">
        <is>
          <t>6.1 总承包工程</t>
        </is>
      </c>
      <c r="G797" s="68" t="inlineStr">
        <is>
          <t>6.1.3 给排水工程（含独立甜品站以外的所有给排水）</t>
        </is>
      </c>
      <c r="H797" s="68" t="inlineStr">
        <is>
          <t>给水(下列各项包含吊杆及全部配件)</t>
        </is>
      </c>
      <c r="I797" s="69" t="inlineStr">
        <is>
          <t>1000021942</t>
        </is>
      </c>
      <c r="J797" s="69" t="inlineStr">
        <is>
          <t>铜阀门直径15mm</t>
        </is>
      </c>
      <c r="K797" s="70" t="n"/>
      <c r="L797" s="70" t="n"/>
      <c r="M797" s="71" t="inlineStr">
        <is>
          <t>只</t>
        </is>
      </c>
      <c r="N797" s="72" t="n">
        <v>73.14</v>
      </c>
      <c r="O797" s="72">
        <f>ROUND(N797*(1+$F$10),2)</f>
        <v/>
      </c>
      <c r="P797" s="73">
        <f>ROUND(K797*N797,2)</f>
        <v/>
      </c>
      <c r="Q797" s="74">
        <f>ROUND(L797*N797,2)</f>
        <v/>
      </c>
      <c r="R797" s="75" t="n"/>
      <c r="S797" s="76" t="n"/>
      <c r="T797" s="77">
        <f>K797-L797</f>
        <v/>
      </c>
      <c r="U797" s="77">
        <f>P797-Q797</f>
        <v/>
      </c>
      <c r="V797" s="77">
        <f>ABS(U797)</f>
        <v/>
      </c>
      <c r="W797" s="78">
        <f>T797/L797</f>
        <v/>
      </c>
      <c r="X797" s="79">
        <f>ABS(W797)</f>
        <v/>
      </c>
      <c r="AG797" s="80" t="inlineStr">
        <is>
          <t>个数</t>
        </is>
      </c>
    </row>
    <row r="798" ht="11.4" customHeight="1">
      <c r="A798" s="67" t="inlineStr">
        <is>
          <t>72</t>
        </is>
      </c>
      <c r="B798" s="67" t="inlineStr">
        <is>
          <t>1070</t>
        </is>
      </c>
      <c r="C798" s="67" t="inlineStr">
        <is>
          <t>1613</t>
        </is>
      </c>
      <c r="D798" s="68" t="inlineStr">
        <is>
          <t>01</t>
        </is>
      </c>
      <c r="E798" s="68" t="inlineStr">
        <is>
          <t>6 物业施工费</t>
        </is>
      </c>
      <c r="F798" s="68" t="inlineStr">
        <is>
          <t>6.1 总承包工程</t>
        </is>
      </c>
      <c r="G798" s="68" t="inlineStr">
        <is>
          <t>6.1.3 给排水工程（含独立甜品站以外的所有给排水）</t>
        </is>
      </c>
      <c r="H798" s="68" t="inlineStr">
        <is>
          <t>给水(下列各项包含吊杆及全部配件)</t>
        </is>
      </c>
      <c r="I798" s="69" t="inlineStr">
        <is>
          <t>1000021943</t>
        </is>
      </c>
      <c r="J798" s="69" t="inlineStr">
        <is>
          <t>水管保温</t>
        </is>
      </c>
      <c r="K798" s="70" t="n">
        <v>0.3</v>
      </c>
      <c r="L798" s="70" t="n">
        <v>0.3</v>
      </c>
      <c r="M798" s="71" t="inlineStr">
        <is>
          <t>m3</t>
        </is>
      </c>
      <c r="N798" s="72" t="n">
        <v>3308.85</v>
      </c>
      <c r="O798" s="72">
        <f>ROUND(N798*(1+$F$10),2)</f>
        <v/>
      </c>
      <c r="P798" s="73">
        <f>ROUND(K798*N798,2)</f>
        <v/>
      </c>
      <c r="Q798" s="74">
        <f>ROUND(L798*N798,2)</f>
        <v/>
      </c>
      <c r="R798" s="75" t="n"/>
      <c r="S798" s="76" t="n"/>
      <c r="T798" s="77">
        <f>K798-L798</f>
        <v/>
      </c>
      <c r="U798" s="77">
        <f>P798-Q798</f>
        <v/>
      </c>
      <c r="V798" s="77">
        <f>ABS(U798)</f>
        <v/>
      </c>
      <c r="W798" s="78">
        <f>T798/L798</f>
        <v/>
      </c>
      <c r="X798" s="79">
        <f>ABS(W798)</f>
        <v/>
      </c>
      <c r="AH798" s="6" t="inlineStr">
        <is>
          <t>餐厅常规配置</t>
        </is>
      </c>
    </row>
    <row r="799" ht="11.4" customHeight="1">
      <c r="A799" s="67" t="inlineStr">
        <is>
          <t>72</t>
        </is>
      </c>
      <c r="B799" s="67" t="inlineStr">
        <is>
          <t>1070</t>
        </is>
      </c>
      <c r="C799" s="67" t="inlineStr">
        <is>
          <t>1613</t>
        </is>
      </c>
      <c r="D799" s="68" t="inlineStr">
        <is>
          <t>01</t>
        </is>
      </c>
      <c r="E799" s="68" t="inlineStr">
        <is>
          <t>6 物业施工费</t>
        </is>
      </c>
      <c r="F799" s="68" t="inlineStr">
        <is>
          <t>6.1 总承包工程</t>
        </is>
      </c>
      <c r="G799" s="68" t="inlineStr">
        <is>
          <t>6.1.3 给排水工程（含独立甜品站以外的所有给排水）</t>
        </is>
      </c>
      <c r="H799" s="68" t="inlineStr">
        <is>
          <t>给水(下列各项包含吊杆及全部配件)</t>
        </is>
      </c>
      <c r="I799" s="69" t="inlineStr">
        <is>
          <t>1000021944</t>
        </is>
      </c>
      <c r="J799" s="69" t="inlineStr">
        <is>
          <t>水龙头</t>
        </is>
      </c>
      <c r="K799" s="70" t="n">
        <v>6</v>
      </c>
      <c r="L799" s="70" t="n">
        <v>6</v>
      </c>
      <c r="M799" s="71" t="inlineStr">
        <is>
          <t>只</t>
        </is>
      </c>
      <c r="N799" s="72" t="n">
        <v>35.7</v>
      </c>
      <c r="O799" s="72">
        <f>ROUND(N799*(1+$F$10),2)</f>
        <v/>
      </c>
      <c r="P799" s="73">
        <f>ROUND(K799*N799,2)</f>
        <v/>
      </c>
      <c r="Q799" s="74">
        <f>ROUND(L799*N799,2)</f>
        <v/>
      </c>
      <c r="R799" s="75" t="n"/>
      <c r="S799" s="76" t="n"/>
      <c r="T799" s="77">
        <f>K799-L799</f>
        <v/>
      </c>
      <c r="U799" s="77">
        <f>P799-Q799</f>
        <v/>
      </c>
      <c r="V799" s="77">
        <f>ABS(U799)</f>
        <v/>
      </c>
      <c r="W799" s="78">
        <f>T799/L799</f>
        <v/>
      </c>
      <c r="X799" s="79">
        <f>ABS(W799)</f>
        <v/>
      </c>
      <c r="AG799" s="80" t="inlineStr">
        <is>
          <t>个数</t>
        </is>
      </c>
    </row>
    <row r="800" ht="11.4" customHeight="1">
      <c r="A800" s="67" t="inlineStr">
        <is>
          <t>72</t>
        </is>
      </c>
      <c r="B800" s="67" t="inlineStr">
        <is>
          <t>1070</t>
        </is>
      </c>
      <c r="C800" s="67" t="inlineStr">
        <is>
          <t>1613</t>
        </is>
      </c>
      <c r="D800" s="68" t="inlineStr">
        <is>
          <t>01</t>
        </is>
      </c>
      <c r="E800" s="68" t="inlineStr">
        <is>
          <t>6 物业施工费</t>
        </is>
      </c>
      <c r="F800" s="68" t="inlineStr">
        <is>
          <t>6.1 总承包工程</t>
        </is>
      </c>
      <c r="G800" s="68" t="inlineStr">
        <is>
          <t>6.1.3 给排水工程（含独立甜品站以外的所有给排水）</t>
        </is>
      </c>
      <c r="H800" s="68" t="inlineStr">
        <is>
          <t>给水(下列各项包含吊杆及全部配件)</t>
        </is>
      </c>
      <c r="I800" s="69" t="inlineStr">
        <is>
          <t>1000021945</t>
        </is>
      </c>
      <c r="J800" s="69" t="inlineStr">
        <is>
          <t>水表（含接头）</t>
        </is>
      </c>
      <c r="K800" s="70" t="n"/>
      <c r="L800" s="70" t="n"/>
      <c r="M800" s="71" t="inlineStr">
        <is>
          <t>只</t>
        </is>
      </c>
      <c r="N800" s="72" t="n">
        <v>748.98</v>
      </c>
      <c r="O800" s="72">
        <f>ROUND(N800*(1+$F$10),2)</f>
        <v/>
      </c>
      <c r="P800" s="73">
        <f>ROUND(K800*N800,2)</f>
        <v/>
      </c>
      <c r="Q800" s="74">
        <f>ROUND(L800*N800,2)</f>
        <v/>
      </c>
      <c r="R800" s="75" t="n"/>
      <c r="S800" s="76" t="n"/>
      <c r="T800" s="77">
        <f>K800-L800</f>
        <v/>
      </c>
      <c r="U800" s="77">
        <f>P800-Q800</f>
        <v/>
      </c>
      <c r="V800" s="77">
        <f>ABS(U800)</f>
        <v/>
      </c>
      <c r="W800" s="78">
        <f>T800/L800</f>
        <v/>
      </c>
      <c r="X800" s="79">
        <f>ABS(W800)</f>
        <v/>
      </c>
      <c r="AG800" s="80" t="inlineStr">
        <is>
          <t>个数</t>
        </is>
      </c>
    </row>
    <row r="801" ht="11.4" customHeight="1">
      <c r="A801" s="67" t="inlineStr">
        <is>
          <t>72</t>
        </is>
      </c>
      <c r="B801" s="67" t="inlineStr">
        <is>
          <t>1070</t>
        </is>
      </c>
      <c r="C801" s="67" t="inlineStr">
        <is>
          <t>1613</t>
        </is>
      </c>
      <c r="D801" s="68" t="inlineStr">
        <is>
          <t>01</t>
        </is>
      </c>
      <c r="E801" s="68" t="inlineStr">
        <is>
          <t>6 物业施工费</t>
        </is>
      </c>
      <c r="F801" s="68" t="inlineStr">
        <is>
          <t>6.1 总承包工程</t>
        </is>
      </c>
      <c r="G801" s="68" t="inlineStr">
        <is>
          <t>6.1.3 给排水工程（含独立甜品站以外的所有给排水）</t>
        </is>
      </c>
      <c r="H801" s="68" t="inlineStr">
        <is>
          <t>给水(下列各项包含吊杆及全部配件)</t>
        </is>
      </c>
      <c r="I801" s="69" t="inlineStr">
        <is>
          <t>1000021946</t>
        </is>
      </c>
      <c r="J801" s="69" t="inlineStr">
        <is>
          <t>压力表（含接头）</t>
        </is>
      </c>
      <c r="K801" s="70" t="n">
        <v>2</v>
      </c>
      <c r="L801" s="70" t="n">
        <v>2</v>
      </c>
      <c r="M801" s="71" t="inlineStr">
        <is>
          <t>只</t>
        </is>
      </c>
      <c r="N801" s="72" t="n">
        <v>156.3</v>
      </c>
      <c r="O801" s="72">
        <f>ROUND(N801*(1+$F$10),2)</f>
        <v/>
      </c>
      <c r="P801" s="73">
        <f>ROUND(K801*N801,2)</f>
        <v/>
      </c>
      <c r="Q801" s="74">
        <f>ROUND(L801*N801,2)</f>
        <v/>
      </c>
      <c r="R801" s="75" t="n"/>
      <c r="S801" s="76" t="n"/>
      <c r="T801" s="77">
        <f>K801-L801</f>
        <v/>
      </c>
      <c r="U801" s="77">
        <f>P801-Q801</f>
        <v/>
      </c>
      <c r="V801" s="77">
        <f>ABS(U801)</f>
        <v/>
      </c>
      <c r="W801" s="78">
        <f>T801/L801</f>
        <v/>
      </c>
      <c r="X801" s="79">
        <f>ABS(W801)</f>
        <v/>
      </c>
      <c r="AG801" s="80" t="inlineStr">
        <is>
          <t>个数</t>
        </is>
      </c>
    </row>
    <row r="802" ht="11.4" customHeight="1">
      <c r="A802" s="67" t="inlineStr">
        <is>
          <t>72</t>
        </is>
      </c>
      <c r="B802" s="67" t="inlineStr">
        <is>
          <t>1070</t>
        </is>
      </c>
      <c r="C802" s="67" t="inlineStr">
        <is>
          <t>1613</t>
        </is>
      </c>
      <c r="D802" s="68" t="inlineStr">
        <is>
          <t>01</t>
        </is>
      </c>
      <c r="E802" s="68" t="inlineStr">
        <is>
          <t>6 物业施工费</t>
        </is>
      </c>
      <c r="F802" s="68" t="inlineStr">
        <is>
          <t>6.1 总承包工程</t>
        </is>
      </c>
      <c r="G802" s="68" t="inlineStr">
        <is>
          <t>6.1.3 给排水工程（含独立甜品站以外的所有给排水）</t>
        </is>
      </c>
      <c r="H802" s="68" t="inlineStr">
        <is>
          <t>给水(下列各项包含吊杆及全部配件)</t>
        </is>
      </c>
      <c r="I802" s="69" t="inlineStr">
        <is>
          <t>1000021947</t>
        </is>
      </c>
      <c r="J802" s="69" t="inlineStr">
        <is>
          <t>拖把池制作安装</t>
        </is>
      </c>
      <c r="K802" s="70" t="n"/>
      <c r="L802" s="70" t="n"/>
      <c r="M802" s="71" t="inlineStr">
        <is>
          <t>只</t>
        </is>
      </c>
      <c r="N802" s="72" t="n">
        <v>661.3099999999999</v>
      </c>
      <c r="O802" s="72">
        <f>ROUND(N802*(1+$F$10),2)</f>
        <v/>
      </c>
      <c r="P802" s="73">
        <f>ROUND(K802*N802,2)</f>
        <v/>
      </c>
      <c r="Q802" s="74">
        <f>ROUND(L802*N802,2)</f>
        <v/>
      </c>
      <c r="R802" s="75" t="n"/>
      <c r="S802" s="76" t="n"/>
      <c r="T802" s="77">
        <f>K802-L802</f>
        <v/>
      </c>
      <c r="U802" s="77">
        <f>P802-Q802</f>
        <v/>
      </c>
      <c r="V802" s="77">
        <f>ABS(U802)</f>
        <v/>
      </c>
      <c r="W802" s="78">
        <f>T802/L802</f>
        <v/>
      </c>
      <c r="X802" s="79">
        <f>ABS(W802)</f>
        <v/>
      </c>
      <c r="AG802" s="80" t="inlineStr">
        <is>
          <t>个数</t>
        </is>
      </c>
    </row>
    <row r="803" ht="11.4" customHeight="1">
      <c r="A803" s="67" t="inlineStr">
        <is>
          <t>72</t>
        </is>
      </c>
      <c r="B803" s="67" t="inlineStr">
        <is>
          <t>1070</t>
        </is>
      </c>
      <c r="C803" s="67" t="inlineStr">
        <is>
          <t>1613</t>
        </is>
      </c>
      <c r="D803" s="68" t="inlineStr">
        <is>
          <t>01</t>
        </is>
      </c>
      <c r="E803" s="68" t="inlineStr">
        <is>
          <t>6 物业施工费</t>
        </is>
      </c>
      <c r="F803" s="68" t="inlineStr">
        <is>
          <t>6.1 总承包工程</t>
        </is>
      </c>
      <c r="G803" s="68" t="inlineStr">
        <is>
          <t>6.1.3 给排水工程（含独立甜品站以外的所有给排水）</t>
        </is>
      </c>
      <c r="H803" s="68" t="inlineStr">
        <is>
          <t>给水(下列各项包含吊杆及全部配件)</t>
        </is>
      </c>
      <c r="I803" s="69" t="inlineStr">
        <is>
          <t>1000085738</t>
        </is>
      </c>
      <c r="J803" s="69" t="inlineStr">
        <is>
          <t>不锈钢一体式拖把池安装</t>
        </is>
      </c>
      <c r="K803" s="70" t="n">
        <v>2</v>
      </c>
      <c r="L803" s="70" t="n">
        <v>2</v>
      </c>
      <c r="M803" s="71" t="inlineStr">
        <is>
          <t>只</t>
        </is>
      </c>
      <c r="N803" s="72" t="n">
        <v>97.08</v>
      </c>
      <c r="O803" s="72">
        <f>ROUND(N803*(1+$F$10),2)</f>
        <v/>
      </c>
      <c r="P803" s="73">
        <f>ROUND(K803*N803,2)</f>
        <v/>
      </c>
      <c r="Q803" s="74">
        <f>ROUND(L803*N803,2)</f>
        <v/>
      </c>
      <c r="R803" s="75" t="n"/>
      <c r="S803" s="76" t="n"/>
      <c r="T803" s="77">
        <f>K803-L803</f>
        <v/>
      </c>
      <c r="U803" s="77">
        <f>P803-Q803</f>
        <v/>
      </c>
      <c r="V803" s="77">
        <f>ABS(U803)</f>
        <v/>
      </c>
      <c r="W803" s="78">
        <f>T803/L803</f>
        <v/>
      </c>
      <c r="X803" s="79">
        <f>ABS(W803)</f>
        <v/>
      </c>
      <c r="AG803" s="80" t="inlineStr">
        <is>
          <t>个数</t>
        </is>
      </c>
    </row>
    <row r="804" ht="11.4" customHeight="1">
      <c r="A804" s="67" t="inlineStr">
        <is>
          <t>72</t>
        </is>
      </c>
      <c r="B804" s="67" t="inlineStr">
        <is>
          <t>1070</t>
        </is>
      </c>
      <c r="C804" s="67" t="inlineStr">
        <is>
          <t>1613</t>
        </is>
      </c>
      <c r="D804" s="68" t="inlineStr">
        <is>
          <t>01</t>
        </is>
      </c>
      <c r="E804" s="68" t="inlineStr">
        <is>
          <t>6 物业施工费</t>
        </is>
      </c>
      <c r="F804" s="68" t="inlineStr">
        <is>
          <t>6.1 总承包工程</t>
        </is>
      </c>
      <c r="G804" s="68" t="inlineStr">
        <is>
          <t>6.1.3 给排水工程（含独立甜品站以外的所有给排水）</t>
        </is>
      </c>
      <c r="H804" s="68" t="inlineStr">
        <is>
          <t>给水(下列各项包含吊杆及全部配件)</t>
        </is>
      </c>
      <c r="I804" s="69" t="inlineStr">
        <is>
          <t>1000021948</t>
        </is>
      </c>
      <c r="J804" s="69" t="inlineStr">
        <is>
          <t>员工洗手盆连感应龙头（含镜子）</t>
        </is>
      </c>
      <c r="K804" s="70" t="n"/>
      <c r="L804" s="70" t="n"/>
      <c r="M804" s="71" t="inlineStr">
        <is>
          <t>套</t>
        </is>
      </c>
      <c r="N804" s="72" t="n">
        <v>2137.73</v>
      </c>
      <c r="O804" s="72">
        <f>ROUND(N804*(1+$F$10),2)</f>
        <v/>
      </c>
      <c r="P804" s="73">
        <f>ROUND(K804*N804,2)</f>
        <v/>
      </c>
      <c r="Q804" s="74">
        <f>ROUND(L804*N804,2)</f>
        <v/>
      </c>
      <c r="R804" s="75" t="n"/>
      <c r="S804" s="76" t="n"/>
      <c r="T804" s="77">
        <f>K804-L804</f>
        <v/>
      </c>
      <c r="U804" s="77">
        <f>P804-Q804</f>
        <v/>
      </c>
      <c r="V804" s="77">
        <f>ABS(U804)</f>
        <v/>
      </c>
      <c r="W804" s="78">
        <f>T804/L804</f>
        <v/>
      </c>
      <c r="X804" s="79">
        <f>ABS(W804)</f>
        <v/>
      </c>
      <c r="AG804" s="80" t="inlineStr">
        <is>
          <t>个数</t>
        </is>
      </c>
    </row>
    <row r="805" ht="11.4" customHeight="1">
      <c r="A805" s="67" t="inlineStr">
        <is>
          <t>72</t>
        </is>
      </c>
      <c r="B805" s="67" t="inlineStr">
        <is>
          <t>1070</t>
        </is>
      </c>
      <c r="C805" s="67" t="inlineStr">
        <is>
          <t>1613</t>
        </is>
      </c>
      <c r="D805" s="68" t="inlineStr">
        <is>
          <t>01</t>
        </is>
      </c>
      <c r="E805" s="68" t="inlineStr">
        <is>
          <t>6 物业施工费</t>
        </is>
      </c>
      <c r="F805" s="68" t="inlineStr">
        <is>
          <t>6.1 总承包工程</t>
        </is>
      </c>
      <c r="G805" s="68" t="inlineStr">
        <is>
          <t>6.1.3 给排水工程（含独立甜品站以外的所有给排水）</t>
        </is>
      </c>
      <c r="H805" s="68" t="inlineStr">
        <is>
          <t>给水(下列各项包含吊杆及全部配件)</t>
        </is>
      </c>
      <c r="I805" s="69" t="inlineStr">
        <is>
          <t>1000021576</t>
        </is>
      </c>
      <c r="J805" s="69" t="inlineStr">
        <is>
          <t>员工洗手盆连感应龙头-LEED认证</t>
        </is>
      </c>
      <c r="K805" s="70" t="n">
        <v>1</v>
      </c>
      <c r="L805" s="70" t="n">
        <v>1</v>
      </c>
      <c r="M805" s="71" t="inlineStr">
        <is>
          <t>套</t>
        </is>
      </c>
      <c r="N805" s="72" t="n">
        <v>2295.03</v>
      </c>
      <c r="O805" s="72">
        <f>ROUND(N805*(1+$F$10),2)</f>
        <v/>
      </c>
      <c r="P805" s="73">
        <f>ROUND(K805*N805,2)</f>
        <v/>
      </c>
      <c r="Q805" s="74">
        <f>ROUND(L805*N805,2)</f>
        <v/>
      </c>
      <c r="R805" s="75" t="n"/>
      <c r="S805" s="76" t="n"/>
      <c r="T805" s="77">
        <f>K805-L805</f>
        <v/>
      </c>
      <c r="U805" s="77">
        <f>P805-Q805</f>
        <v/>
      </c>
      <c r="V805" s="77">
        <f>ABS(U805)</f>
        <v/>
      </c>
      <c r="W805" s="78">
        <f>T805/L805</f>
        <v/>
      </c>
      <c r="X805" s="79">
        <f>ABS(W805)</f>
        <v/>
      </c>
      <c r="AG805" s="80" t="inlineStr">
        <is>
          <t>个数</t>
        </is>
      </c>
    </row>
    <row r="806" ht="11.4" customHeight="1">
      <c r="A806" s="67" t="inlineStr">
        <is>
          <t>72</t>
        </is>
      </c>
      <c r="B806" s="67" t="inlineStr">
        <is>
          <t>1070</t>
        </is>
      </c>
      <c r="C806" s="67" t="inlineStr">
        <is>
          <t>1613</t>
        </is>
      </c>
      <c r="D806" s="68" t="inlineStr">
        <is>
          <t>01</t>
        </is>
      </c>
      <c r="E806" s="68" t="inlineStr">
        <is>
          <t>6 物业施工费</t>
        </is>
      </c>
      <c r="F806" s="68" t="inlineStr">
        <is>
          <t>6.1 总承包工程</t>
        </is>
      </c>
      <c r="G806" s="68" t="inlineStr">
        <is>
          <t>6.1.3 给排水工程（含独立甜品站以外的所有给排水）</t>
        </is>
      </c>
      <c r="H806" s="68" t="inlineStr">
        <is>
          <t>给水(下列各项包含吊杆及全部配件)</t>
        </is>
      </c>
      <c r="I806" s="69" t="inlineStr">
        <is>
          <t>1000021949</t>
        </is>
      </c>
      <c r="J806" s="69" t="inlineStr">
        <is>
          <t>安装热水器含底座 (不含热水器主材)</t>
        </is>
      </c>
      <c r="K806" s="70" t="n">
        <v>1</v>
      </c>
      <c r="L806" s="70" t="n">
        <v>1</v>
      </c>
      <c r="M806" s="71" t="inlineStr">
        <is>
          <t>台</t>
        </is>
      </c>
      <c r="N806" s="72" t="n">
        <v>994.83</v>
      </c>
      <c r="O806" s="72">
        <f>ROUND(N806*(1+$F$10),2)</f>
        <v/>
      </c>
      <c r="P806" s="73">
        <f>ROUND(K806*N806,2)</f>
        <v/>
      </c>
      <c r="Q806" s="74">
        <f>ROUND(L806*N806,2)</f>
        <v/>
      </c>
      <c r="R806" s="75" t="n"/>
      <c r="S806" s="76" t="n"/>
      <c r="T806" s="77">
        <f>K806-L806</f>
        <v/>
      </c>
      <c r="U806" s="77">
        <f>P806-Q806</f>
        <v/>
      </c>
      <c r="V806" s="77">
        <f>ABS(U806)</f>
        <v/>
      </c>
      <c r="W806" s="78">
        <f>T806/L806</f>
        <v/>
      </c>
      <c r="X806" s="79">
        <f>ABS(W806)</f>
        <v/>
      </c>
      <c r="AG806" s="80" t="inlineStr">
        <is>
          <t>个数</t>
        </is>
      </c>
    </row>
    <row r="807" ht="11.4" customHeight="1">
      <c r="A807" s="67" t="inlineStr">
        <is>
          <t>72</t>
        </is>
      </c>
      <c r="B807" s="67" t="inlineStr">
        <is>
          <t>1070</t>
        </is>
      </c>
      <c r="C807" s="67" t="inlineStr">
        <is>
          <t>1613</t>
        </is>
      </c>
      <c r="D807" s="68" t="inlineStr">
        <is>
          <t>01</t>
        </is>
      </c>
      <c r="E807" s="68" t="inlineStr">
        <is>
          <t>6 物业施工费</t>
        </is>
      </c>
      <c r="F807" s="68" t="inlineStr">
        <is>
          <t>6.1 总承包工程</t>
        </is>
      </c>
      <c r="G807" s="68" t="inlineStr">
        <is>
          <t>6.1.3 给排水工程（含独立甜品站以外的所有给排水）</t>
        </is>
      </c>
      <c r="H807" s="68" t="inlineStr">
        <is>
          <t>给水(下列各项包含吊杆及全部配件)</t>
        </is>
      </c>
      <c r="I807" s="69" t="inlineStr">
        <is>
          <t>1000085739</t>
        </is>
      </c>
      <c r="J807" s="69" t="inlineStr">
        <is>
          <t>安装“空气能热泵系统”含底座 (不含主材)</t>
        </is>
      </c>
      <c r="K807" s="70" t="n">
        <v>1</v>
      </c>
      <c r="L807" s="70" t="n">
        <v>1</v>
      </c>
      <c r="M807" s="71" t="inlineStr">
        <is>
          <t>台</t>
        </is>
      </c>
      <c r="N807" s="72" t="n">
        <v>1148.83</v>
      </c>
      <c r="O807" s="72">
        <f>ROUND(N807*(1+$F$10),2)</f>
        <v/>
      </c>
      <c r="P807" s="73">
        <f>ROUND(K807*N807,2)</f>
        <v/>
      </c>
      <c r="Q807" s="74">
        <f>ROUND(L807*N807,2)</f>
        <v/>
      </c>
      <c r="R807" s="75" t="n"/>
      <c r="S807" s="76" t="n"/>
      <c r="T807" s="77">
        <f>K807-L807</f>
        <v/>
      </c>
      <c r="U807" s="77">
        <f>P807-Q807</f>
        <v/>
      </c>
      <c r="V807" s="77">
        <f>ABS(U807)</f>
        <v/>
      </c>
      <c r="W807" s="78">
        <f>T807/L807</f>
        <v/>
      </c>
      <c r="X807" s="79">
        <f>ABS(W807)</f>
        <v/>
      </c>
      <c r="AG807" s="80" t="inlineStr">
        <is>
          <t>个数</t>
        </is>
      </c>
    </row>
    <row r="808" ht="11.4" customHeight="1">
      <c r="A808" s="67" t="inlineStr">
        <is>
          <t>72</t>
        </is>
      </c>
      <c r="B808" s="67" t="inlineStr">
        <is>
          <t>1070</t>
        </is>
      </c>
      <c r="C808" s="67" t="inlineStr">
        <is>
          <t>1613</t>
        </is>
      </c>
      <c r="D808" s="68" t="inlineStr">
        <is>
          <t>01</t>
        </is>
      </c>
      <c r="E808" s="68" t="inlineStr">
        <is>
          <t>6 物业施工费</t>
        </is>
      </c>
      <c r="F808" s="68" t="inlineStr">
        <is>
          <t>6.1 总承包工程</t>
        </is>
      </c>
      <c r="G808" s="68" t="inlineStr">
        <is>
          <t>6.1.3 给排水工程（含独立甜品站以外的所有给排水）</t>
        </is>
      </c>
      <c r="H808" s="68" t="inlineStr">
        <is>
          <t>给水(下列各项包含吊杆及全部配件)</t>
        </is>
      </c>
      <c r="I808" s="69" t="inlineStr">
        <is>
          <t>1000021950</t>
        </is>
      </c>
      <c r="J808" s="69" t="inlineStr">
        <is>
          <t>Φ20mm止回阀</t>
        </is>
      </c>
      <c r="K808" s="70" t="n"/>
      <c r="L808" s="70" t="n"/>
      <c r="M808" s="71" t="inlineStr">
        <is>
          <t>只</t>
        </is>
      </c>
      <c r="N808" s="72" t="n">
        <v>55.98</v>
      </c>
      <c r="O808" s="72">
        <f>ROUND(N808*(1+$F$10),2)</f>
        <v/>
      </c>
      <c r="P808" s="73">
        <f>ROUND(K808*N808,2)</f>
        <v/>
      </c>
      <c r="Q808" s="74">
        <f>ROUND(L808*N808,2)</f>
        <v/>
      </c>
      <c r="R808" s="75" t="n"/>
      <c r="S808" s="76" t="n"/>
      <c r="T808" s="77">
        <f>K808-L808</f>
        <v/>
      </c>
      <c r="U808" s="77">
        <f>P808-Q808</f>
        <v/>
      </c>
      <c r="V808" s="77">
        <f>ABS(U808)</f>
        <v/>
      </c>
      <c r="W808" s="78">
        <f>T808/L808</f>
        <v/>
      </c>
      <c r="X808" s="79">
        <f>ABS(W808)</f>
        <v/>
      </c>
      <c r="AG808" s="80" t="inlineStr">
        <is>
          <t>个数</t>
        </is>
      </c>
    </row>
    <row r="809" ht="11.4" customHeight="1">
      <c r="A809" s="67" t="inlineStr">
        <is>
          <t>72</t>
        </is>
      </c>
      <c r="B809" s="67" t="inlineStr">
        <is>
          <t>1070</t>
        </is>
      </c>
      <c r="C809" s="67" t="inlineStr">
        <is>
          <t>1613</t>
        </is>
      </c>
      <c r="D809" s="68" t="inlineStr">
        <is>
          <t>01</t>
        </is>
      </c>
      <c r="E809" s="68" t="inlineStr">
        <is>
          <t>6 物业施工费</t>
        </is>
      </c>
      <c r="F809" s="68" t="inlineStr">
        <is>
          <t>6.1 总承包工程</t>
        </is>
      </c>
      <c r="G809" s="68" t="inlineStr">
        <is>
          <t>6.1.3 给排水工程（含独立甜品站以外的所有给排水）</t>
        </is>
      </c>
      <c r="H809" s="68" t="inlineStr">
        <is>
          <t>给水(下列各项包含吊杆及全部配件)</t>
        </is>
      </c>
      <c r="I809" s="69" t="inlineStr">
        <is>
          <t>1000021951</t>
        </is>
      </c>
      <c r="J809" s="69" t="inlineStr">
        <is>
          <t>Φ25mm止回阀</t>
        </is>
      </c>
      <c r="K809" s="70" t="n">
        <v>1</v>
      </c>
      <c r="L809" s="70" t="n">
        <v>1</v>
      </c>
      <c r="M809" s="71" t="inlineStr">
        <is>
          <t>只</t>
        </is>
      </c>
      <c r="N809" s="72" t="n">
        <v>80.18000000000001</v>
      </c>
      <c r="O809" s="72">
        <f>ROUND(N809*(1+$F$10),2)</f>
        <v/>
      </c>
      <c r="P809" s="73">
        <f>ROUND(K809*N809,2)</f>
        <v/>
      </c>
      <c r="Q809" s="74">
        <f>ROUND(L809*N809,2)</f>
        <v/>
      </c>
      <c r="R809" s="75" t="n"/>
      <c r="S809" s="76" t="n"/>
      <c r="T809" s="77">
        <f>K809-L809</f>
        <v/>
      </c>
      <c r="U809" s="77">
        <f>P809-Q809</f>
        <v/>
      </c>
      <c r="V809" s="77">
        <f>ABS(U809)</f>
        <v/>
      </c>
      <c r="W809" s="78">
        <f>T809/L809</f>
        <v/>
      </c>
      <c r="X809" s="79">
        <f>ABS(W809)</f>
        <v/>
      </c>
      <c r="AG809" s="80" t="inlineStr">
        <is>
          <t>个数</t>
        </is>
      </c>
    </row>
    <row r="810" ht="11.4" customHeight="1">
      <c r="A810" s="67" t="inlineStr">
        <is>
          <t>72</t>
        </is>
      </c>
      <c r="B810" s="67" t="inlineStr">
        <is>
          <t>1070</t>
        </is>
      </c>
      <c r="C810" s="67" t="inlineStr">
        <is>
          <t>1613</t>
        </is>
      </c>
      <c r="D810" s="68" t="inlineStr">
        <is>
          <t>01</t>
        </is>
      </c>
      <c r="E810" s="68" t="inlineStr">
        <is>
          <t>6 物业施工费</t>
        </is>
      </c>
      <c r="F810" s="68" t="inlineStr">
        <is>
          <t>6.1 总承包工程</t>
        </is>
      </c>
      <c r="G810" s="68" t="inlineStr">
        <is>
          <t>6.1.3 给排水工程（含独立甜品站以外的所有给排水）</t>
        </is>
      </c>
      <c r="H810" s="68" t="inlineStr">
        <is>
          <t>给水(下列各项包含吊杆及全部配件)</t>
        </is>
      </c>
      <c r="I810" s="69" t="inlineStr">
        <is>
          <t>1000021952</t>
        </is>
      </c>
      <c r="J810" s="69" t="inlineStr">
        <is>
          <t>Φ50mm止回阀</t>
        </is>
      </c>
      <c r="K810" s="70" t="n">
        <v>1</v>
      </c>
      <c r="L810" s="70" t="n">
        <v>1</v>
      </c>
      <c r="M810" s="71" t="inlineStr">
        <is>
          <t>只</t>
        </is>
      </c>
      <c r="N810" s="72" t="n">
        <v>202.07</v>
      </c>
      <c r="O810" s="72">
        <f>ROUND(N810*(1+$F$10),2)</f>
        <v/>
      </c>
      <c r="P810" s="73">
        <f>ROUND(K810*N810,2)</f>
        <v/>
      </c>
      <c r="Q810" s="74">
        <f>ROUND(L810*N810,2)</f>
        <v/>
      </c>
      <c r="R810" s="75" t="n"/>
      <c r="S810" s="76" t="n"/>
      <c r="T810" s="77">
        <f>K810-L810</f>
        <v/>
      </c>
      <c r="U810" s="77">
        <f>P810-Q810</f>
        <v/>
      </c>
      <c r="V810" s="77">
        <f>ABS(U810)</f>
        <v/>
      </c>
      <c r="W810" s="78">
        <f>T810/L810</f>
        <v/>
      </c>
      <c r="X810" s="79">
        <f>ABS(W810)</f>
        <v/>
      </c>
      <c r="AG810" s="80" t="inlineStr">
        <is>
          <t>个数</t>
        </is>
      </c>
    </row>
    <row r="811" ht="11.4" customHeight="1">
      <c r="A811" s="67" t="inlineStr">
        <is>
          <t>72</t>
        </is>
      </c>
      <c r="B811" s="67" t="inlineStr">
        <is>
          <t>1070</t>
        </is>
      </c>
      <c r="C811" s="67" t="inlineStr">
        <is>
          <t>1613</t>
        </is>
      </c>
      <c r="D811" s="68" t="inlineStr">
        <is>
          <t>01</t>
        </is>
      </c>
      <c r="E811" s="68" t="inlineStr">
        <is>
          <t>6 物业施工费</t>
        </is>
      </c>
      <c r="F811" s="68" t="inlineStr">
        <is>
          <t>6.1 总承包工程</t>
        </is>
      </c>
      <c r="G811" s="68" t="inlineStr">
        <is>
          <t>6.1.3 给排水工程（含独立甜品站以外的所有给排水）</t>
        </is>
      </c>
      <c r="H811" s="68" t="inlineStr">
        <is>
          <t>其它给水(下列各项包含吊杆及全部配件)</t>
        </is>
      </c>
      <c r="I811" s="69" t="inlineStr">
        <is>
          <t>1000021953</t>
        </is>
      </c>
      <c r="J811" s="69" t="inlineStr">
        <is>
          <t>直饮水给水</t>
        </is>
      </c>
      <c r="K811" s="70" t="n"/>
      <c r="L811" s="70" t="n"/>
      <c r="M811" s="71" t="inlineStr">
        <is>
          <t>米</t>
        </is>
      </c>
      <c r="N811" s="72" t="n">
        <v>24.81</v>
      </c>
      <c r="O811" s="72">
        <f>ROUND(N811*(1+$F$10),2)</f>
        <v/>
      </c>
      <c r="P811" s="73">
        <f>ROUND(K811*N811,2)</f>
        <v/>
      </c>
      <c r="Q811" s="74">
        <f>ROUND(L811*N811,2)</f>
        <v/>
      </c>
      <c r="R811" s="75" t="n"/>
      <c r="S811" s="76" t="n"/>
      <c r="T811" s="77">
        <f>K811-L811</f>
        <v/>
      </c>
      <c r="U811" s="77">
        <f>P811-Q811</f>
        <v/>
      </c>
      <c r="V811" s="77">
        <f>ABS(U811)</f>
        <v/>
      </c>
      <c r="W811" s="78">
        <f>T811/L811</f>
        <v/>
      </c>
      <c r="X811" s="79">
        <f>ABS(W811)</f>
        <v/>
      </c>
      <c r="AG811" s="6" t="inlineStr">
        <is>
          <t>总长度（插件计算）水管</t>
        </is>
      </c>
    </row>
    <row r="812" ht="11.4" customHeight="1">
      <c r="A812" s="67" t="inlineStr">
        <is>
          <t>72</t>
        </is>
      </c>
      <c r="B812" s="67" t="inlineStr">
        <is>
          <t>1070</t>
        </is>
      </c>
      <c r="C812" s="67" t="inlineStr">
        <is>
          <t>1613</t>
        </is>
      </c>
      <c r="D812" s="68" t="inlineStr">
        <is>
          <t>01</t>
        </is>
      </c>
      <c r="E812" s="68" t="inlineStr">
        <is>
          <t>6 物业施工费</t>
        </is>
      </c>
      <c r="F812" s="68" t="inlineStr">
        <is>
          <t>6.1 总承包工程</t>
        </is>
      </c>
      <c r="G812" s="68" t="inlineStr">
        <is>
          <t>6.1.3 给排水工程（含独立甜品站以外的所有给排水）</t>
        </is>
      </c>
      <c r="H812" s="68" t="inlineStr">
        <is>
          <t>排水(下列各项包含吊杆及全部配件)</t>
        </is>
      </c>
      <c r="I812" s="69" t="inlineStr">
        <is>
          <t>1000021954</t>
        </is>
      </c>
      <c r="J812" s="69" t="inlineStr">
        <is>
          <t>Φ 160UPVC排水管</t>
        </is>
      </c>
      <c r="K812" s="70" t="n">
        <v>5.59</v>
      </c>
      <c r="L812" s="70" t="n">
        <v>5.54</v>
      </c>
      <c r="M812" s="71" t="inlineStr">
        <is>
          <t>米</t>
        </is>
      </c>
      <c r="N812" s="72" t="n">
        <v>97.45</v>
      </c>
      <c r="O812" s="72">
        <f>ROUND(N812*(1+$F$10),2)</f>
        <v/>
      </c>
      <c r="P812" s="73">
        <f>ROUND(K812*N812,2)</f>
        <v/>
      </c>
      <c r="Q812" s="74">
        <f>ROUND(L812*N812,2)</f>
        <v/>
      </c>
      <c r="R812" s="75" t="n"/>
      <c r="S812" s="76" t="n"/>
      <c r="T812" s="77">
        <f>K812-L812</f>
        <v/>
      </c>
      <c r="U812" s="77">
        <f>P812-Q812</f>
        <v/>
      </c>
      <c r="V812" s="77">
        <f>ABS(U812)</f>
        <v/>
      </c>
      <c r="W812" s="78">
        <f>T812/L812</f>
        <v/>
      </c>
      <c r="X812" s="79">
        <f>ABS(W812)</f>
        <v/>
      </c>
      <c r="AG812" s="6" t="inlineStr">
        <is>
          <t>总长度（插件计算）水管</t>
        </is>
      </c>
    </row>
    <row r="813" ht="11.4" customHeight="1">
      <c r="A813" s="67" t="inlineStr">
        <is>
          <t>72</t>
        </is>
      </c>
      <c r="B813" s="67" t="inlineStr">
        <is>
          <t>1070</t>
        </is>
      </c>
      <c r="C813" s="67" t="inlineStr">
        <is>
          <t>1613</t>
        </is>
      </c>
      <c r="D813" s="68" t="inlineStr">
        <is>
          <t>01</t>
        </is>
      </c>
      <c r="E813" s="68" t="inlineStr">
        <is>
          <t>6 物业施工费</t>
        </is>
      </c>
      <c r="F813" s="68" t="inlineStr">
        <is>
          <t>6.1 总承包工程</t>
        </is>
      </c>
      <c r="G813" s="68" t="inlineStr">
        <is>
          <t>6.1.3 给排水工程（含独立甜品站以外的所有给排水）</t>
        </is>
      </c>
      <c r="H813" s="68" t="inlineStr">
        <is>
          <t>排水(下列各项包含吊杆及全部配件)</t>
        </is>
      </c>
      <c r="I813" s="69" t="inlineStr">
        <is>
          <t>1000021955</t>
        </is>
      </c>
      <c r="J813" s="69" t="inlineStr">
        <is>
          <t>Φ 110UPVC排水管</t>
        </is>
      </c>
      <c r="K813" s="70" t="n"/>
      <c r="L813" s="70" t="n"/>
      <c r="M813" s="71" t="inlineStr">
        <is>
          <t>米</t>
        </is>
      </c>
      <c r="N813" s="72" t="n">
        <v>56.91</v>
      </c>
      <c r="O813" s="72">
        <f>ROUND(N813*(1+$F$10),2)</f>
        <v/>
      </c>
      <c r="P813" s="73">
        <f>ROUND(K813*N813,2)</f>
        <v/>
      </c>
      <c r="Q813" s="74">
        <f>ROUND(L813*N813,2)</f>
        <v/>
      </c>
      <c r="R813" s="75" t="n"/>
      <c r="S813" s="76" t="n"/>
      <c r="T813" s="77">
        <f>K813-L813</f>
        <v/>
      </c>
      <c r="U813" s="77">
        <f>P813-Q813</f>
        <v/>
      </c>
      <c r="V813" s="77">
        <f>ABS(U813)</f>
        <v/>
      </c>
      <c r="W813" s="78">
        <f>T813/L813</f>
        <v/>
      </c>
      <c r="X813" s="79">
        <f>ABS(W813)</f>
        <v/>
      </c>
      <c r="AG813" s="6" t="inlineStr">
        <is>
          <t>总长度（插件计算）水管</t>
        </is>
      </c>
    </row>
    <row r="814" ht="11.4" customHeight="1">
      <c r="A814" s="67" t="inlineStr">
        <is>
          <t>72</t>
        </is>
      </c>
      <c r="B814" s="67" t="inlineStr">
        <is>
          <t>1070</t>
        </is>
      </c>
      <c r="C814" s="67" t="inlineStr">
        <is>
          <t>1613</t>
        </is>
      </c>
      <c r="D814" s="68" t="inlineStr">
        <is>
          <t>01</t>
        </is>
      </c>
      <c r="E814" s="68" t="inlineStr">
        <is>
          <t>6 物业施工费</t>
        </is>
      </c>
      <c r="F814" s="68" t="inlineStr">
        <is>
          <t>6.1 总承包工程</t>
        </is>
      </c>
      <c r="G814" s="68" t="inlineStr">
        <is>
          <t>6.1.3 给排水工程（含独立甜品站以外的所有给排水）</t>
        </is>
      </c>
      <c r="H814" s="68" t="inlineStr">
        <is>
          <t>排水(下列各项包含吊杆及全部配件)</t>
        </is>
      </c>
      <c r="I814" s="69" t="inlineStr">
        <is>
          <t>1000021956</t>
        </is>
      </c>
      <c r="J814" s="69" t="inlineStr">
        <is>
          <t>Φ 75UPVC排水管</t>
        </is>
      </c>
      <c r="K814" s="70" t="n">
        <v>26.49</v>
      </c>
      <c r="L814" s="70" t="n">
        <v>26.11</v>
      </c>
      <c r="M814" s="71" t="inlineStr">
        <is>
          <t>米</t>
        </is>
      </c>
      <c r="N814" s="72" t="n">
        <v>39.03</v>
      </c>
      <c r="O814" s="72">
        <f>ROUND(N814*(1+$F$10),2)</f>
        <v/>
      </c>
      <c r="P814" s="73">
        <f>ROUND(K814*N814,2)</f>
        <v/>
      </c>
      <c r="Q814" s="74">
        <f>ROUND(L814*N814,2)</f>
        <v/>
      </c>
      <c r="R814" s="75" t="n"/>
      <c r="S814" s="76" t="n"/>
      <c r="T814" s="77">
        <f>K814-L814</f>
        <v/>
      </c>
      <c r="U814" s="77">
        <f>P814-Q814</f>
        <v/>
      </c>
      <c r="V814" s="77">
        <f>ABS(U814)</f>
        <v/>
      </c>
      <c r="W814" s="78">
        <f>T814/L814</f>
        <v/>
      </c>
      <c r="X814" s="79">
        <f>ABS(W814)</f>
        <v/>
      </c>
      <c r="AG814" s="6" t="inlineStr">
        <is>
          <t>总长度（插件计算）水管</t>
        </is>
      </c>
    </row>
    <row r="815" ht="11.4" customHeight="1">
      <c r="A815" s="67" t="inlineStr">
        <is>
          <t>72</t>
        </is>
      </c>
      <c r="B815" s="67" t="inlineStr">
        <is>
          <t>1070</t>
        </is>
      </c>
      <c r="C815" s="67" t="inlineStr">
        <is>
          <t>1613</t>
        </is>
      </c>
      <c r="D815" s="68" t="inlineStr">
        <is>
          <t>01</t>
        </is>
      </c>
      <c r="E815" s="68" t="inlineStr">
        <is>
          <t>6 物业施工费</t>
        </is>
      </c>
      <c r="F815" s="68" t="inlineStr">
        <is>
          <t>6.1 总承包工程</t>
        </is>
      </c>
      <c r="G815" s="68" t="inlineStr">
        <is>
          <t>6.1.3 给排水工程（含独立甜品站以外的所有给排水）</t>
        </is>
      </c>
      <c r="H815" s="68" t="inlineStr">
        <is>
          <t>排水(下列各项包含吊杆及全部配件)</t>
        </is>
      </c>
      <c r="I815" s="69" t="inlineStr">
        <is>
          <t>1000021957</t>
        </is>
      </c>
      <c r="J815" s="69" t="inlineStr">
        <is>
          <t>Φ 50UPVC排水管</t>
        </is>
      </c>
      <c r="K815" s="83" t="n">
        <v>40.77</v>
      </c>
      <c r="L815" s="70" t="n">
        <v>38.4</v>
      </c>
      <c r="M815" s="71" t="inlineStr">
        <is>
          <t>米</t>
        </is>
      </c>
      <c r="N815" s="72" t="n">
        <v>24.95</v>
      </c>
      <c r="O815" s="72">
        <f>ROUND(N815*(1+$F$10),2)</f>
        <v/>
      </c>
      <c r="P815" s="73">
        <f>ROUND(K815*N815,2)</f>
        <v/>
      </c>
      <c r="Q815" s="74">
        <f>ROUND(L815*N815,2)</f>
        <v/>
      </c>
      <c r="R815" s="75" t="n"/>
      <c r="S815" s="76" t="n"/>
      <c r="T815" s="77">
        <f>K815-L815</f>
        <v/>
      </c>
      <c r="U815" s="77">
        <f>P815-Q815</f>
        <v/>
      </c>
      <c r="V815" s="77">
        <f>ABS(U815)</f>
        <v/>
      </c>
      <c r="W815" s="78">
        <f>T815/L815</f>
        <v/>
      </c>
      <c r="X815" s="79">
        <f>ABS(W815)</f>
        <v/>
      </c>
      <c r="AG815" s="6" t="inlineStr">
        <is>
          <t>总长度（插件计算）水管</t>
        </is>
      </c>
    </row>
    <row r="816" ht="11.4" customHeight="1">
      <c r="A816" s="67" t="inlineStr">
        <is>
          <t>72</t>
        </is>
      </c>
      <c r="B816" s="67" t="inlineStr">
        <is>
          <t>1070</t>
        </is>
      </c>
      <c r="C816" s="67" t="inlineStr">
        <is>
          <t>1613</t>
        </is>
      </c>
      <c r="D816" s="68" t="inlineStr">
        <is>
          <t>01</t>
        </is>
      </c>
      <c r="E816" s="68" t="inlineStr">
        <is>
          <t>6 物业施工费</t>
        </is>
      </c>
      <c r="F816" s="68" t="inlineStr">
        <is>
          <t>6.1 总承包工程</t>
        </is>
      </c>
      <c r="G816" s="68" t="inlineStr">
        <is>
          <t>6.1.3 给排水工程（含独立甜品站以外的所有给排水）</t>
        </is>
      </c>
      <c r="H816" s="68" t="inlineStr">
        <is>
          <t>排水(下列各项包含吊杆及全部配件)</t>
        </is>
      </c>
      <c r="I816" s="69" t="inlineStr">
        <is>
          <t>1000021958</t>
        </is>
      </c>
      <c r="J816" s="69" t="inlineStr">
        <is>
          <t>Φ 50UPVC透气管</t>
        </is>
      </c>
      <c r="K816" s="70" t="n"/>
      <c r="L816" s="70" t="n"/>
      <c r="M816" s="71" t="inlineStr">
        <is>
          <t>米</t>
        </is>
      </c>
      <c r="N816" s="72" t="n">
        <v>24.95</v>
      </c>
      <c r="O816" s="72">
        <f>ROUND(N816*(1+$F$10),2)</f>
        <v/>
      </c>
      <c r="P816" s="73">
        <f>ROUND(K816*N816,2)</f>
        <v/>
      </c>
      <c r="Q816" s="74">
        <f>ROUND(L816*N816,2)</f>
        <v/>
      </c>
      <c r="R816" s="75" t="n"/>
      <c r="S816" s="76" t="n"/>
      <c r="T816" s="77">
        <f>K816-L816</f>
        <v/>
      </c>
      <c r="U816" s="77">
        <f>P816-Q816</f>
        <v/>
      </c>
      <c r="V816" s="77">
        <f>ABS(U816)</f>
        <v/>
      </c>
      <c r="W816" s="78">
        <f>T816/L816</f>
        <v/>
      </c>
      <c r="X816" s="79">
        <f>ABS(W816)</f>
        <v/>
      </c>
      <c r="AG816" s="6" t="inlineStr">
        <is>
          <t>总长度（插件计算）水管</t>
        </is>
      </c>
    </row>
    <row r="817" ht="11.4" customHeight="1">
      <c r="A817" s="67" t="inlineStr">
        <is>
          <t>72</t>
        </is>
      </c>
      <c r="B817" s="67" t="inlineStr">
        <is>
          <t>1070</t>
        </is>
      </c>
      <c r="C817" s="67" t="inlineStr">
        <is>
          <t>1613</t>
        </is>
      </c>
      <c r="D817" s="68" t="inlineStr">
        <is>
          <t>01</t>
        </is>
      </c>
      <c r="E817" s="68" t="inlineStr">
        <is>
          <t>6 物业施工费</t>
        </is>
      </c>
      <c r="F817" s="68" t="inlineStr">
        <is>
          <t>6.1 总承包工程</t>
        </is>
      </c>
      <c r="G817" s="68" t="inlineStr">
        <is>
          <t>6.1.3 给排水工程（含独立甜品站以外的所有给排水）</t>
        </is>
      </c>
      <c r="H817" s="68" t="inlineStr">
        <is>
          <t>排水(下列各项包含吊杆及全部配件)</t>
        </is>
      </c>
      <c r="I817" s="69" t="inlineStr">
        <is>
          <t>1000021959</t>
        </is>
      </c>
      <c r="J817" s="69" t="inlineStr">
        <is>
          <t>Φ75UPVC透气管</t>
        </is>
      </c>
      <c r="K817" s="70" t="n">
        <v>20</v>
      </c>
      <c r="L817" s="70" t="n">
        <v>20</v>
      </c>
      <c r="M817" s="71" t="inlineStr">
        <is>
          <t>米</t>
        </is>
      </c>
      <c r="N817" s="72" t="n">
        <v>34.08</v>
      </c>
      <c r="O817" s="72">
        <f>ROUND(N817*(1+$F$10),2)</f>
        <v/>
      </c>
      <c r="P817" s="73">
        <f>ROUND(K817*N817,2)</f>
        <v/>
      </c>
      <c r="Q817" s="74">
        <f>ROUND(L817*N817,2)</f>
        <v/>
      </c>
      <c r="R817" s="75" t="n"/>
      <c r="S817" s="76" t="n"/>
      <c r="T817" s="77">
        <f>K817-L817</f>
        <v/>
      </c>
      <c r="U817" s="77">
        <f>P817-Q817</f>
        <v/>
      </c>
      <c r="V817" s="77">
        <f>ABS(U817)</f>
        <v/>
      </c>
      <c r="W817" s="78">
        <f>T817/L817</f>
        <v/>
      </c>
      <c r="X817" s="79">
        <f>ABS(W817)</f>
        <v/>
      </c>
      <c r="AG817" s="6" t="inlineStr">
        <is>
          <t>总长度（插件计算）水管</t>
        </is>
      </c>
    </row>
    <row r="818" ht="11.4" customHeight="1">
      <c r="A818" s="67" t="inlineStr">
        <is>
          <t>72</t>
        </is>
      </c>
      <c r="B818" s="67" t="inlineStr">
        <is>
          <t>1070</t>
        </is>
      </c>
      <c r="C818" s="67" t="inlineStr">
        <is>
          <t>1613</t>
        </is>
      </c>
      <c r="D818" s="68" t="inlineStr">
        <is>
          <t>01</t>
        </is>
      </c>
      <c r="E818" s="68" t="inlineStr">
        <is>
          <t>6 物业施工费</t>
        </is>
      </c>
      <c r="F818" s="68" t="inlineStr">
        <is>
          <t>6.1 总承包工程</t>
        </is>
      </c>
      <c r="G818" s="68" t="inlineStr">
        <is>
          <t>6.1.3 给排水工程（含独立甜品站以外的所有给排水）</t>
        </is>
      </c>
      <c r="H818" s="68" t="inlineStr">
        <is>
          <t>排水(下列各项包含吊杆及全部配件)</t>
        </is>
      </c>
      <c r="I818" s="69" t="inlineStr">
        <is>
          <t>1000021577</t>
        </is>
      </c>
      <c r="J818" s="69" t="inlineStr">
        <is>
          <t>不锈钢四防地漏</t>
        </is>
      </c>
      <c r="K818" s="83" t="n">
        <v>3</v>
      </c>
      <c r="L818" s="70" t="n">
        <v>1</v>
      </c>
      <c r="M818" s="71" t="inlineStr">
        <is>
          <t>只</t>
        </is>
      </c>
      <c r="N818" s="72" t="n">
        <v>196.45</v>
      </c>
      <c r="O818" s="72">
        <f>ROUND(N818*(1+$F$10),2)</f>
        <v/>
      </c>
      <c r="P818" s="73">
        <f>ROUND(K818*N818,2)</f>
        <v/>
      </c>
      <c r="Q818" s="74">
        <f>ROUND(L818*N818,2)</f>
        <v/>
      </c>
      <c r="R818" s="75" t="n"/>
      <c r="S818" s="76" t="n"/>
      <c r="T818" s="77">
        <f>K818-L818</f>
        <v/>
      </c>
      <c r="U818" s="77">
        <f>P818-Q818</f>
        <v/>
      </c>
      <c r="V818" s="77">
        <f>ABS(U818)</f>
        <v/>
      </c>
      <c r="W818" s="78">
        <f>T818/L818</f>
        <v/>
      </c>
      <c r="X818" s="79">
        <f>ABS(W818)</f>
        <v/>
      </c>
      <c r="AG818" s="80" t="inlineStr">
        <is>
          <t>个数</t>
        </is>
      </c>
    </row>
    <row r="819" ht="11.4" customHeight="1">
      <c r="A819" s="67" t="inlineStr">
        <is>
          <t>72</t>
        </is>
      </c>
      <c r="B819" s="67" t="inlineStr">
        <is>
          <t>1070</t>
        </is>
      </c>
      <c r="C819" s="67" t="inlineStr">
        <is>
          <t>1613</t>
        </is>
      </c>
      <c r="D819" s="68" t="inlineStr">
        <is>
          <t>01</t>
        </is>
      </c>
      <c r="E819" s="68" t="inlineStr">
        <is>
          <t>6 物业施工费</t>
        </is>
      </c>
      <c r="F819" s="68" t="inlineStr">
        <is>
          <t>6.1 总承包工程</t>
        </is>
      </c>
      <c r="G819" s="68" t="inlineStr">
        <is>
          <t>6.1.3 给排水工程（含独立甜品站以外的所有给排水）</t>
        </is>
      </c>
      <c r="H819" s="68" t="inlineStr">
        <is>
          <t>排水(下列各项包含吊杆及全部配件)</t>
        </is>
      </c>
      <c r="I819" s="69" t="inlineStr">
        <is>
          <t>1000021578</t>
        </is>
      </c>
      <c r="J819" s="69" t="inlineStr">
        <is>
          <t>杯型地漏</t>
        </is>
      </c>
      <c r="K819" s="70" t="n">
        <v>4</v>
      </c>
      <c r="L819" s="70" t="n">
        <v>4</v>
      </c>
      <c r="M819" s="71" t="inlineStr">
        <is>
          <t>只</t>
        </is>
      </c>
      <c r="N819" s="72" t="n">
        <v>245.17</v>
      </c>
      <c r="O819" s="72">
        <f>ROUND(N819*(1+$F$10),2)</f>
        <v/>
      </c>
      <c r="P819" s="73">
        <f>ROUND(K819*N819,2)</f>
        <v/>
      </c>
      <c r="Q819" s="74">
        <f>ROUND(L819*N819,2)</f>
        <v/>
      </c>
      <c r="R819" s="75" t="n"/>
      <c r="S819" s="76" t="n"/>
      <c r="T819" s="77">
        <f>K819-L819</f>
        <v/>
      </c>
      <c r="U819" s="77">
        <f>P819-Q819</f>
        <v/>
      </c>
      <c r="V819" s="77">
        <f>ABS(U819)</f>
        <v/>
      </c>
      <c r="W819" s="78">
        <f>T819/L819</f>
        <v/>
      </c>
      <c r="X819" s="79">
        <f>ABS(W819)</f>
        <v/>
      </c>
      <c r="AG819" s="80" t="inlineStr">
        <is>
          <t>个数</t>
        </is>
      </c>
    </row>
    <row r="820" ht="11.4" customHeight="1">
      <c r="A820" s="67" t="inlineStr">
        <is>
          <t>72</t>
        </is>
      </c>
      <c r="B820" s="67" t="inlineStr">
        <is>
          <t>1070</t>
        </is>
      </c>
      <c r="C820" s="67" t="inlineStr">
        <is>
          <t>1613</t>
        </is>
      </c>
      <c r="D820" s="68" t="inlineStr">
        <is>
          <t>01</t>
        </is>
      </c>
      <c r="E820" s="68" t="inlineStr">
        <is>
          <t>6 物业施工费</t>
        </is>
      </c>
      <c r="F820" s="68" t="inlineStr">
        <is>
          <t>6.1 总承包工程</t>
        </is>
      </c>
      <c r="G820" s="68" t="inlineStr">
        <is>
          <t>6.1.3 给排水工程（含独立甜品站以外的所有给排水）</t>
        </is>
      </c>
      <c r="H820" s="68" t="inlineStr">
        <is>
          <t>排水(下列各项包含吊杆及全部配件)</t>
        </is>
      </c>
      <c r="I820" s="69" t="inlineStr">
        <is>
          <t>1000021960</t>
        </is>
      </c>
      <c r="J820" s="69" t="inlineStr">
        <is>
          <t>清扫口</t>
        </is>
      </c>
      <c r="K820" s="70" t="n">
        <v>4</v>
      </c>
      <c r="L820" s="70" t="n">
        <v>4</v>
      </c>
      <c r="M820" s="71" t="inlineStr">
        <is>
          <t>只</t>
        </is>
      </c>
      <c r="N820" s="72" t="n">
        <v>29.9</v>
      </c>
      <c r="O820" s="72">
        <f>ROUND(N820*(1+$F$10),2)</f>
        <v/>
      </c>
      <c r="P820" s="73">
        <f>ROUND(K820*N820,2)</f>
        <v/>
      </c>
      <c r="Q820" s="74">
        <f>ROUND(L820*N820,2)</f>
        <v/>
      </c>
      <c r="R820" s="75" t="n"/>
      <c r="S820" s="76" t="n"/>
      <c r="T820" s="77">
        <f>K820-L820</f>
        <v/>
      </c>
      <c r="U820" s="77">
        <f>P820-Q820</f>
        <v/>
      </c>
      <c r="V820" s="77">
        <f>ABS(U820)</f>
        <v/>
      </c>
      <c r="W820" s="78">
        <f>T820/L820</f>
        <v/>
      </c>
      <c r="X820" s="79">
        <f>ABS(W820)</f>
        <v/>
      </c>
      <c r="AG820" s="80" t="inlineStr">
        <is>
          <t>个数</t>
        </is>
      </c>
    </row>
    <row r="821" ht="11.4" customHeight="1">
      <c r="A821" s="67" t="inlineStr">
        <is>
          <t>72</t>
        </is>
      </c>
      <c r="B821" s="67" t="inlineStr">
        <is>
          <t>1070</t>
        </is>
      </c>
      <c r="C821" s="67" t="inlineStr">
        <is>
          <t>1613</t>
        </is>
      </c>
      <c r="D821" s="68" t="inlineStr">
        <is>
          <t>01</t>
        </is>
      </c>
      <c r="E821" s="68" t="inlineStr">
        <is>
          <t>6 物业施工费</t>
        </is>
      </c>
      <c r="F821" s="68" t="inlineStr">
        <is>
          <t>6.1 总承包工程</t>
        </is>
      </c>
      <c r="G821" s="68" t="inlineStr">
        <is>
          <t>6.1.3 给排水工程（含独立甜品站以外的所有给排水）</t>
        </is>
      </c>
      <c r="H821" s="68" t="inlineStr">
        <is>
          <t>排水(下列各项包含吊杆及全部配件)</t>
        </is>
      </c>
      <c r="I821" s="69" t="inlineStr">
        <is>
          <t>1000040112</t>
        </is>
      </c>
      <c r="J821" s="69" t="inlineStr">
        <is>
          <t>给排水改造</t>
        </is>
      </c>
      <c r="K821" s="70" t="n"/>
      <c r="L821" s="70" t="n"/>
      <c r="M821" s="71" t="inlineStr">
        <is>
          <t>项</t>
        </is>
      </c>
      <c r="N821" s="72" t="n"/>
      <c r="O821" s="72">
        <f>ROUND(N821*(1+$F$10),2)</f>
        <v/>
      </c>
      <c r="P821" s="73">
        <f>ROUND(K821*N821,2)</f>
        <v/>
      </c>
      <c r="Q821" s="74">
        <f>ROUND(L821*N821,2)</f>
        <v/>
      </c>
      <c r="R821" s="75" t="n"/>
      <c r="S821" s="76" t="n"/>
      <c r="T821" s="77">
        <f>K821-L821</f>
        <v/>
      </c>
      <c r="U821" s="77">
        <f>P821-Q821</f>
        <v/>
      </c>
      <c r="V821" s="77">
        <f>ABS(U821)</f>
        <v/>
      </c>
      <c r="W821" s="78">
        <f>T821/L821</f>
        <v/>
      </c>
      <c r="X821" s="79">
        <f>ABS(W821)</f>
        <v/>
      </c>
      <c r="AG821" s="80" t="n"/>
      <c r="AH821" s="6" t="inlineStr">
        <is>
          <t>委托书</t>
        </is>
      </c>
    </row>
    <row r="822" ht="11.4" customHeight="1">
      <c r="A822" s="67" t="inlineStr">
        <is>
          <t>72</t>
        </is>
      </c>
      <c r="B822" s="67" t="inlineStr">
        <is>
          <t>1070</t>
        </is>
      </c>
      <c r="C822" s="67" t="inlineStr">
        <is>
          <t>1613</t>
        </is>
      </c>
      <c r="D822" s="68" t="inlineStr">
        <is>
          <t>01</t>
        </is>
      </c>
      <c r="E822" s="68" t="inlineStr">
        <is>
          <t>6 物业施工费</t>
        </is>
      </c>
      <c r="F822" s="68" t="inlineStr">
        <is>
          <t>6.1 总承包工程</t>
        </is>
      </c>
      <c r="G822" s="68" t="inlineStr">
        <is>
          <t>6.1.3 给排水工程（含独立甜品站以外的所有给排水）</t>
        </is>
      </c>
      <c r="H822" s="68" t="inlineStr">
        <is>
          <t>给水(下列各项包含吊杆及全部配件)</t>
        </is>
      </c>
      <c r="I822" s="69" t="inlineStr">
        <is>
          <t>1000021961</t>
        </is>
      </c>
      <c r="J822" s="69" t="inlineStr">
        <is>
          <t>智能水表安装（不含主材，含两端接头）</t>
        </is>
      </c>
      <c r="K822" s="70" t="n">
        <v>2</v>
      </c>
      <c r="L822" s="70" t="n">
        <v>2</v>
      </c>
      <c r="M822" s="71" t="inlineStr">
        <is>
          <t>只</t>
        </is>
      </c>
      <c r="N822" s="72" t="n">
        <v>134.85</v>
      </c>
      <c r="O822" s="72">
        <f>ROUND(N822*(1+$F$10),2)</f>
        <v/>
      </c>
      <c r="P822" s="73">
        <f>ROUND(K822*N822,2)</f>
        <v/>
      </c>
      <c r="Q822" s="74">
        <f>ROUND(L822*N822,2)</f>
        <v/>
      </c>
      <c r="R822" s="75" t="n"/>
      <c r="S822" s="76" t="n"/>
      <c r="T822" s="77">
        <f>K822-L822</f>
        <v/>
      </c>
      <c r="U822" s="77">
        <f>P822-Q822</f>
        <v/>
      </c>
      <c r="V822" s="77">
        <f>ABS(U822)</f>
        <v/>
      </c>
      <c r="W822" s="78">
        <f>T822/L822</f>
        <v/>
      </c>
      <c r="X822" s="79">
        <f>ABS(W822)</f>
        <v/>
      </c>
      <c r="AG822" s="80" t="inlineStr">
        <is>
          <t>个数</t>
        </is>
      </c>
    </row>
    <row r="823" ht="11.4" customHeight="1">
      <c r="A823" s="67" t="inlineStr">
        <is>
          <t>72</t>
        </is>
      </c>
      <c r="B823" s="67" t="inlineStr">
        <is>
          <t>1070</t>
        </is>
      </c>
      <c r="C823" s="67" t="inlineStr">
        <is>
          <t>1613</t>
        </is>
      </c>
      <c r="D823" s="68" t="inlineStr">
        <is>
          <t>01</t>
        </is>
      </c>
      <c r="E823" s="68" t="inlineStr">
        <is>
          <t>6 物业施工费</t>
        </is>
      </c>
      <c r="F823" s="68" t="inlineStr">
        <is>
          <t>6.1 总承包工程</t>
        </is>
      </c>
      <c r="G823" s="68" t="inlineStr">
        <is>
          <t>6.1.3 给排水工程（含独立甜品站以外的所有给排水）</t>
        </is>
      </c>
      <c r="H823" s="68" t="inlineStr">
        <is>
          <t>给水(下列各项包含吊杆及全部配件)</t>
        </is>
      </c>
      <c r="I823" s="69" t="inlineStr">
        <is>
          <t>1000021579</t>
        </is>
      </c>
      <c r="J823" s="69" t="inlineStr">
        <is>
          <t>智能水表（DN50）</t>
        </is>
      </c>
      <c r="K823" s="70" t="n">
        <v>1</v>
      </c>
      <c r="L823" s="70" t="n">
        <v>1</v>
      </c>
      <c r="M823" s="71" t="inlineStr">
        <is>
          <t>只</t>
        </is>
      </c>
      <c r="N823" s="72" t="n">
        <v>416.64</v>
      </c>
      <c r="O823" s="72">
        <f>ROUND(N823*(1+$F$10),2)</f>
        <v/>
      </c>
      <c r="P823" s="73">
        <f>ROUND(K823*N823,2)</f>
        <v/>
      </c>
      <c r="Q823" s="74">
        <f>ROUND(L823*N823,2)</f>
        <v/>
      </c>
      <c r="R823" s="75" t="n"/>
      <c r="S823" s="76" t="n"/>
      <c r="T823" s="77">
        <f>K823-L823</f>
        <v/>
      </c>
      <c r="U823" s="77">
        <f>P823-Q823</f>
        <v/>
      </c>
      <c r="V823" s="77">
        <f>ABS(U823)</f>
        <v/>
      </c>
      <c r="W823" s="78">
        <f>T823/L823</f>
        <v/>
      </c>
      <c r="X823" s="79">
        <f>ABS(W823)</f>
        <v/>
      </c>
      <c r="AG823" s="80" t="inlineStr">
        <is>
          <t>个数</t>
        </is>
      </c>
    </row>
    <row r="824" ht="11.4" customHeight="1">
      <c r="A824" s="67" t="inlineStr">
        <is>
          <t>72</t>
        </is>
      </c>
      <c r="B824" s="67" t="inlineStr">
        <is>
          <t>1070</t>
        </is>
      </c>
      <c r="C824" s="67" t="inlineStr">
        <is>
          <t>1613</t>
        </is>
      </c>
      <c r="D824" s="68" t="inlineStr">
        <is>
          <t>01</t>
        </is>
      </c>
      <c r="E824" s="68" t="inlineStr">
        <is>
          <t>6 物业施工费</t>
        </is>
      </c>
      <c r="F824" s="68" t="inlineStr">
        <is>
          <t>6.1 总承包工程</t>
        </is>
      </c>
      <c r="G824" s="68" t="inlineStr">
        <is>
          <t>6.1.3 给排水工程（含独立甜品站以外的所有给排水）</t>
        </is>
      </c>
      <c r="H824" s="68" t="inlineStr">
        <is>
          <t>给水(下列各项包含吊杆及全部配件)</t>
        </is>
      </c>
      <c r="I824" s="69" t="inlineStr">
        <is>
          <t>1000021712</t>
        </is>
      </c>
      <c r="J824" s="69" t="inlineStr">
        <is>
          <t>智能水表（DN40）</t>
        </is>
      </c>
      <c r="K824" s="70" t="n"/>
      <c r="L824" s="70" t="n"/>
      <c r="M824" s="71" t="inlineStr">
        <is>
          <t>只</t>
        </is>
      </c>
      <c r="N824" s="72" t="n">
        <v>454.51</v>
      </c>
      <c r="O824" s="72">
        <f>ROUND(N824*(1+$F$10),2)</f>
        <v/>
      </c>
      <c r="P824" s="73">
        <f>ROUND(K824*N824,2)</f>
        <v/>
      </c>
      <c r="Q824" s="74">
        <f>ROUND(L824*N824,2)</f>
        <v/>
      </c>
      <c r="R824" s="75" t="n"/>
      <c r="S824" s="76" t="n"/>
      <c r="T824" s="77">
        <f>K824-L824</f>
        <v/>
      </c>
      <c r="U824" s="77">
        <f>P824-Q824</f>
        <v/>
      </c>
      <c r="V824" s="77">
        <f>ABS(U824)</f>
        <v/>
      </c>
      <c r="W824" s="78">
        <f>T824/L824</f>
        <v/>
      </c>
      <c r="X824" s="79">
        <f>ABS(W824)</f>
        <v/>
      </c>
      <c r="AG824" s="80" t="inlineStr">
        <is>
          <t>个数</t>
        </is>
      </c>
    </row>
    <row r="825" ht="11.4" customHeight="1">
      <c r="A825" s="67" t="inlineStr">
        <is>
          <t>72</t>
        </is>
      </c>
      <c r="B825" s="67" t="inlineStr">
        <is>
          <t>1070</t>
        </is>
      </c>
      <c r="C825" s="67" t="inlineStr">
        <is>
          <t>1613</t>
        </is>
      </c>
      <c r="D825" s="68" t="inlineStr">
        <is>
          <t>01</t>
        </is>
      </c>
      <c r="E825" s="68" t="inlineStr">
        <is>
          <t>6 物业施工费</t>
        </is>
      </c>
      <c r="F825" s="68" t="inlineStr">
        <is>
          <t>6.1 总承包工程</t>
        </is>
      </c>
      <c r="G825" s="68" t="inlineStr">
        <is>
          <t>6.1.3 给排水工程（含独立甜品站以外的所有给排水）</t>
        </is>
      </c>
      <c r="H825" s="68" t="inlineStr">
        <is>
          <t>给水(下列各项包含吊杆及全部配件)</t>
        </is>
      </c>
      <c r="I825" s="69" t="inlineStr">
        <is>
          <t>1000021580</t>
        </is>
      </c>
      <c r="J825" s="69" t="inlineStr">
        <is>
          <t>智能水表（DN25）</t>
        </is>
      </c>
      <c r="K825" s="70" t="n">
        <v>1</v>
      </c>
      <c r="L825" s="70" t="n">
        <v>1</v>
      </c>
      <c r="M825" s="71" t="inlineStr">
        <is>
          <t>只</t>
        </is>
      </c>
      <c r="N825" s="72" t="n">
        <v>236.73</v>
      </c>
      <c r="O825" s="72">
        <f>ROUND(N825*(1+$F$10),2)</f>
        <v/>
      </c>
      <c r="P825" s="73">
        <f>ROUND(K825*N825,2)</f>
        <v/>
      </c>
      <c r="Q825" s="74">
        <f>ROUND(L825*N825,2)</f>
        <v/>
      </c>
      <c r="R825" s="75" t="n"/>
      <c r="S825" s="76" t="n"/>
      <c r="T825" s="77">
        <f>K825-L825</f>
        <v/>
      </c>
      <c r="U825" s="77">
        <f>P825-Q825</f>
        <v/>
      </c>
      <c r="V825" s="77">
        <f>ABS(U825)</f>
        <v/>
      </c>
      <c r="W825" s="78">
        <f>T825/L825</f>
        <v/>
      </c>
      <c r="X825" s="79">
        <f>ABS(W825)</f>
        <v/>
      </c>
      <c r="AG825" s="80" t="inlineStr">
        <is>
          <t>个数</t>
        </is>
      </c>
    </row>
    <row r="826" ht="11.4" customHeight="1">
      <c r="A826" s="67" t="inlineStr">
        <is>
          <t>73</t>
        </is>
      </c>
      <c r="B826" s="67" t="inlineStr">
        <is>
          <t>1071</t>
        </is>
      </c>
      <c r="C826" s="67" t="inlineStr">
        <is>
          <t>1614</t>
        </is>
      </c>
      <c r="D826" s="68" t="inlineStr">
        <is>
          <t>01</t>
        </is>
      </c>
      <c r="E826" s="68" t="inlineStr">
        <is>
          <t>6 物业施工费</t>
        </is>
      </c>
      <c r="F826" s="68" t="inlineStr">
        <is>
          <t>6.1 总承包工程</t>
        </is>
      </c>
      <c r="G826" s="68" t="inlineStr">
        <is>
          <t>6.1.4 空调通风工程</t>
        </is>
      </c>
      <c r="H826" s="68" t="inlineStr">
        <is>
          <t>空调机/风机安装</t>
        </is>
      </c>
      <c r="I826" s="69" t="inlineStr">
        <is>
          <t>1000021962</t>
        </is>
      </c>
      <c r="J826" s="69" t="inlineStr">
        <is>
          <t>室外机安装--25匹风冷管道分体空调(含吊杆减震器、维修平台、室外机底座、吊装等）</t>
        </is>
      </c>
      <c r="K826" s="70" t="n"/>
      <c r="L826" s="70" t="n"/>
      <c r="M826" s="71" t="inlineStr">
        <is>
          <t>套</t>
        </is>
      </c>
      <c r="N826" s="72" t="n">
        <v>5000.89</v>
      </c>
      <c r="O826" s="72">
        <f>ROUND(N826*(1+$F$10),2)</f>
        <v/>
      </c>
      <c r="P826" s="73">
        <f>ROUND(K826*N826,2)</f>
        <v/>
      </c>
      <c r="Q826" s="74">
        <f>ROUND(L826*N826,2)</f>
        <v/>
      </c>
      <c r="R826" s="75" t="n"/>
      <c r="S826" s="76" t="n"/>
      <c r="T826" s="77">
        <f>K826-L826</f>
        <v/>
      </c>
      <c r="U826" s="77">
        <f>P826-Q826</f>
        <v/>
      </c>
      <c r="V826" s="77">
        <f>ABS(U826)</f>
        <v/>
      </c>
      <c r="W826" s="78">
        <f>T826/L826</f>
        <v/>
      </c>
      <c r="X826" s="79">
        <f>ABS(W826)</f>
        <v/>
      </c>
      <c r="AG826" s="80" t="inlineStr">
        <is>
          <t>按制冷量判断清单范围记取个数</t>
        </is>
      </c>
    </row>
    <row r="827" ht="11.4" customHeight="1">
      <c r="A827" s="67" t="inlineStr">
        <is>
          <t>73</t>
        </is>
      </c>
      <c r="B827" s="67" t="inlineStr">
        <is>
          <t>1071</t>
        </is>
      </c>
      <c r="C827" s="67" t="inlineStr">
        <is>
          <t>1614</t>
        </is>
      </c>
      <c r="D827" s="68" t="inlineStr">
        <is>
          <t>01</t>
        </is>
      </c>
      <c r="E827" s="68" t="inlineStr">
        <is>
          <t>6 物业施工费</t>
        </is>
      </c>
      <c r="F827" s="68" t="inlineStr">
        <is>
          <t>6.1 总承包工程</t>
        </is>
      </c>
      <c r="G827" s="68" t="inlineStr">
        <is>
          <t>6.1.4 空调通风工程</t>
        </is>
      </c>
      <c r="H827" s="68" t="inlineStr">
        <is>
          <t>空调机/风机安装</t>
        </is>
      </c>
      <c r="I827" s="69" t="inlineStr">
        <is>
          <t>1000021963</t>
        </is>
      </c>
      <c r="J827" s="69" t="inlineStr">
        <is>
          <t>室外机安装--15 - 20匹风冷管道分体空调(含吊杆减震器、维修平台、室外机底座、吊装等）</t>
        </is>
      </c>
      <c r="K827" s="70" t="n">
        <v>1</v>
      </c>
      <c r="L827" s="70" t="n">
        <v>1</v>
      </c>
      <c r="M827" s="71" t="inlineStr">
        <is>
          <t>套</t>
        </is>
      </c>
      <c r="N827" s="72" t="n">
        <v>4096.03</v>
      </c>
      <c r="O827" s="72">
        <f>ROUND(N827*(1+$F$10),2)</f>
        <v/>
      </c>
      <c r="P827" s="73">
        <f>ROUND(K827*N827,2)</f>
        <v/>
      </c>
      <c r="Q827" s="74">
        <f>ROUND(L827*N827,2)</f>
        <v/>
      </c>
      <c r="R827" s="75" t="n"/>
      <c r="S827" s="76" t="n"/>
      <c r="T827" s="77">
        <f>K827-L827</f>
        <v/>
      </c>
      <c r="U827" s="77">
        <f>P827-Q827</f>
        <v/>
      </c>
      <c r="V827" s="77">
        <f>ABS(U827)</f>
        <v/>
      </c>
      <c r="W827" s="78">
        <f>T827/L827</f>
        <v/>
      </c>
      <c r="X827" s="79">
        <f>ABS(W827)</f>
        <v/>
      </c>
      <c r="AG827" s="80" t="inlineStr">
        <is>
          <t>按制冷量判断清单范围记取个数</t>
        </is>
      </c>
    </row>
    <row r="828" ht="11.4" customHeight="1">
      <c r="A828" s="67" t="inlineStr">
        <is>
          <t>73</t>
        </is>
      </c>
      <c r="B828" s="67" t="inlineStr">
        <is>
          <t>1071</t>
        </is>
      </c>
      <c r="C828" s="67" t="inlineStr">
        <is>
          <t>1614</t>
        </is>
      </c>
      <c r="D828" s="68" t="inlineStr">
        <is>
          <t>01</t>
        </is>
      </c>
      <c r="E828" s="68" t="inlineStr">
        <is>
          <t>6 物业施工费</t>
        </is>
      </c>
      <c r="F828" s="68" t="inlineStr">
        <is>
          <t>6.1 总承包工程</t>
        </is>
      </c>
      <c r="G828" s="68" t="inlineStr">
        <is>
          <t>6.1.4 空调通风工程</t>
        </is>
      </c>
      <c r="H828" s="68" t="inlineStr">
        <is>
          <t>空调机/风机安装</t>
        </is>
      </c>
      <c r="I828" s="69" t="inlineStr">
        <is>
          <t>1000021964</t>
        </is>
      </c>
      <c r="J828" s="69" t="inlineStr">
        <is>
          <t>室外机安装--8 - 12.5匹风冷管道分体空调(含吊杆减震器、维修平台、室外机底座、吊装等）</t>
        </is>
      </c>
      <c r="K828" s="70" t="n">
        <v>1</v>
      </c>
      <c r="L828" s="70" t="n">
        <v>1</v>
      </c>
      <c r="M828" s="71" t="inlineStr">
        <is>
          <t>套</t>
        </is>
      </c>
      <c r="N828" s="72" t="n">
        <v>1924.76</v>
      </c>
      <c r="O828" s="72">
        <f>ROUND(N828*(1+$F$10),2)</f>
        <v/>
      </c>
      <c r="P828" s="73">
        <f>ROUND(K828*N828,2)</f>
        <v/>
      </c>
      <c r="Q828" s="74">
        <f>ROUND(L828*N828,2)</f>
        <v/>
      </c>
      <c r="R828" s="75" t="n"/>
      <c r="S828" s="76" t="n"/>
      <c r="T828" s="77">
        <f>K828-L828</f>
        <v/>
      </c>
      <c r="U828" s="77">
        <f>P828-Q828</f>
        <v/>
      </c>
      <c r="V828" s="77">
        <f>ABS(U828)</f>
        <v/>
      </c>
      <c r="W828" s="78">
        <f>T828/L828</f>
        <v/>
      </c>
      <c r="X828" s="79">
        <f>ABS(W828)</f>
        <v/>
      </c>
      <c r="AG828" s="80" t="inlineStr">
        <is>
          <t>按制冷量判断清单范围记取个数</t>
        </is>
      </c>
    </row>
    <row r="829" ht="11.4" customHeight="1">
      <c r="A829" s="67" t="inlineStr">
        <is>
          <t>73</t>
        </is>
      </c>
      <c r="B829" s="67" t="inlineStr">
        <is>
          <t>1071</t>
        </is>
      </c>
      <c r="C829" s="67" t="inlineStr">
        <is>
          <t>1614</t>
        </is>
      </c>
      <c r="D829" s="68" t="inlineStr">
        <is>
          <t>01</t>
        </is>
      </c>
      <c r="E829" s="68" t="inlineStr">
        <is>
          <t>6 物业施工费</t>
        </is>
      </c>
      <c r="F829" s="68" t="inlineStr">
        <is>
          <t>6.1 总承包工程</t>
        </is>
      </c>
      <c r="G829" s="68" t="inlineStr">
        <is>
          <t>6.1.4 空调通风工程</t>
        </is>
      </c>
      <c r="H829" s="68" t="inlineStr">
        <is>
          <t>空调机/风机安装</t>
        </is>
      </c>
      <c r="I829" s="69" t="inlineStr">
        <is>
          <t>1000021965</t>
        </is>
      </c>
      <c r="J829" s="69" t="inlineStr">
        <is>
          <t>室外机安装--5 - 7匹风冷管道分体空调(含吊杆减震器、维修平台、室外机底座、吊装等）</t>
        </is>
      </c>
      <c r="K829" s="70" t="n"/>
      <c r="L829" s="70" t="n"/>
      <c r="M829" s="71" t="inlineStr">
        <is>
          <t>套</t>
        </is>
      </c>
      <c r="N829" s="72" t="n">
        <v>1165.33</v>
      </c>
      <c r="O829" s="72">
        <f>ROUND(N829*(1+$F$10),2)</f>
        <v/>
      </c>
      <c r="P829" s="73">
        <f>ROUND(K829*N829,2)</f>
        <v/>
      </c>
      <c r="Q829" s="74">
        <f>ROUND(L829*N829,2)</f>
        <v/>
      </c>
      <c r="R829" s="75" t="n"/>
      <c r="S829" s="76" t="n"/>
      <c r="T829" s="77">
        <f>K829-L829</f>
        <v/>
      </c>
      <c r="U829" s="77">
        <f>P829-Q829</f>
        <v/>
      </c>
      <c r="V829" s="77">
        <f>ABS(U829)</f>
        <v/>
      </c>
      <c r="W829" s="78">
        <f>T829/L829</f>
        <v/>
      </c>
      <c r="X829" s="79">
        <f>ABS(W829)</f>
        <v/>
      </c>
      <c r="AG829" s="80" t="inlineStr">
        <is>
          <t>按制冷量判断清单范围记取个数</t>
        </is>
      </c>
    </row>
    <row r="830" ht="11.4" customHeight="1">
      <c r="A830" s="67" t="inlineStr">
        <is>
          <t>73</t>
        </is>
      </c>
      <c r="B830" s="67" t="inlineStr">
        <is>
          <t>1071</t>
        </is>
      </c>
      <c r="C830" s="67" t="inlineStr">
        <is>
          <t>1614</t>
        </is>
      </c>
      <c r="D830" s="68" t="inlineStr">
        <is>
          <t>01</t>
        </is>
      </c>
      <c r="E830" s="68" t="inlineStr">
        <is>
          <t>6 物业施工费</t>
        </is>
      </c>
      <c r="F830" s="68" t="inlineStr">
        <is>
          <t>6.1 总承包工程</t>
        </is>
      </c>
      <c r="G830" s="68" t="inlineStr">
        <is>
          <t>6.1.4 空调通风工程</t>
        </is>
      </c>
      <c r="H830" s="68" t="inlineStr">
        <is>
          <t>空调机/风机安装</t>
        </is>
      </c>
      <c r="I830" s="69" t="inlineStr">
        <is>
          <t>1000021966</t>
        </is>
      </c>
      <c r="J830" s="69" t="inlineStr">
        <is>
          <t>室外机安装--3匹风冷管道分体空调(含吊杆减震器、维修平台、室外机底座、吊装等）</t>
        </is>
      </c>
      <c r="K830" s="70" t="n"/>
      <c r="L830" s="70" t="n"/>
      <c r="M830" s="71" t="inlineStr">
        <is>
          <t>套</t>
        </is>
      </c>
      <c r="N830" s="72" t="n">
        <v>918.38</v>
      </c>
      <c r="O830" s="72">
        <f>ROUND(N830*(1+$F$10),2)</f>
        <v/>
      </c>
      <c r="P830" s="73">
        <f>ROUND(K830*N830,2)</f>
        <v/>
      </c>
      <c r="Q830" s="74">
        <f>ROUND(L830*N830,2)</f>
        <v/>
      </c>
      <c r="R830" s="75" t="n"/>
      <c r="S830" s="76" t="n"/>
      <c r="T830" s="77">
        <f>K830-L830</f>
        <v/>
      </c>
      <c r="U830" s="77">
        <f>P830-Q830</f>
        <v/>
      </c>
      <c r="V830" s="77">
        <f>ABS(U830)</f>
        <v/>
      </c>
      <c r="W830" s="78">
        <f>T830/L830</f>
        <v/>
      </c>
      <c r="X830" s="79">
        <f>ABS(W830)</f>
        <v/>
      </c>
      <c r="AG830" s="80" t="inlineStr">
        <is>
          <t>按制冷量判断清单范围记取个数</t>
        </is>
      </c>
    </row>
    <row r="831" ht="11.4" customHeight="1">
      <c r="A831" s="67" t="inlineStr">
        <is>
          <t>73</t>
        </is>
      </c>
      <c r="B831" s="67" t="inlineStr">
        <is>
          <t>1071</t>
        </is>
      </c>
      <c r="C831" s="67" t="inlineStr">
        <is>
          <t>1614</t>
        </is>
      </c>
      <c r="D831" s="68" t="inlineStr">
        <is>
          <t>01</t>
        </is>
      </c>
      <c r="E831" s="68" t="inlineStr">
        <is>
          <t>6 物业施工费</t>
        </is>
      </c>
      <c r="F831" s="68" t="inlineStr">
        <is>
          <t>6.1 总承包工程</t>
        </is>
      </c>
      <c r="G831" s="68" t="inlineStr">
        <is>
          <t>6.1.4 空调通风工程</t>
        </is>
      </c>
      <c r="H831" s="68" t="inlineStr">
        <is>
          <t>空调机/风机安装</t>
        </is>
      </c>
      <c r="I831" s="69" t="inlineStr">
        <is>
          <t>1000021967</t>
        </is>
      </c>
      <c r="J831" s="69" t="inlineStr">
        <is>
          <t>室内机安装--8 - 12.5匹风冷管道分体空调(含吊杆减震器、维修平台、室外机底座等）</t>
        </is>
      </c>
      <c r="K831" s="70" t="n">
        <v>2</v>
      </c>
      <c r="L831" s="70" t="n">
        <v>2</v>
      </c>
      <c r="M831" s="71" t="inlineStr">
        <is>
          <t>套</t>
        </is>
      </c>
      <c r="N831" s="72" t="n">
        <v>944.89</v>
      </c>
      <c r="O831" s="72">
        <f>ROUND(N831*(1+$F$10),2)</f>
        <v/>
      </c>
      <c r="P831" s="73">
        <f>ROUND(K831*N831,2)</f>
        <v/>
      </c>
      <c r="Q831" s="74">
        <f>ROUND(L831*N831,2)</f>
        <v/>
      </c>
      <c r="R831" s="75" t="n"/>
      <c r="S831" s="76" t="n"/>
      <c r="T831" s="77">
        <f>K831-L831</f>
        <v/>
      </c>
      <c r="U831" s="77">
        <f>P831-Q831</f>
        <v/>
      </c>
      <c r="V831" s="77">
        <f>ABS(U831)</f>
        <v/>
      </c>
      <c r="W831" s="78">
        <f>T831/L831</f>
        <v/>
      </c>
      <c r="X831" s="79">
        <f>ABS(W831)</f>
        <v/>
      </c>
      <c r="AG831" s="80" t="inlineStr">
        <is>
          <t>按制冷量判断清单范围记取个数</t>
        </is>
      </c>
    </row>
    <row r="832" ht="11.4" customHeight="1">
      <c r="A832" s="67" t="inlineStr">
        <is>
          <t>73</t>
        </is>
      </c>
      <c r="B832" s="67" t="inlineStr">
        <is>
          <t>1071</t>
        </is>
      </c>
      <c r="C832" s="67" t="inlineStr">
        <is>
          <t>1614</t>
        </is>
      </c>
      <c r="D832" s="68" t="inlineStr">
        <is>
          <t>01</t>
        </is>
      </c>
      <c r="E832" s="68" t="inlineStr">
        <is>
          <t>6 物业施工费</t>
        </is>
      </c>
      <c r="F832" s="68" t="inlineStr">
        <is>
          <t>6.1 总承包工程</t>
        </is>
      </c>
      <c r="G832" s="68" t="inlineStr">
        <is>
          <t>6.1.4 空调通风工程</t>
        </is>
      </c>
      <c r="H832" s="68" t="inlineStr">
        <is>
          <t>空调机/风机安装</t>
        </is>
      </c>
      <c r="I832" s="69" t="inlineStr">
        <is>
          <t>1000021968</t>
        </is>
      </c>
      <c r="J832" s="69" t="inlineStr">
        <is>
          <t>室内机安装--5 - 7匹风冷管道分体空调(含吊杆减震器、维修平台、室外机底座等）</t>
        </is>
      </c>
      <c r="K832" s="70" t="n">
        <v>3</v>
      </c>
      <c r="L832" s="70" t="n">
        <v>3</v>
      </c>
      <c r="M832" s="71" t="inlineStr">
        <is>
          <t>套</t>
        </is>
      </c>
      <c r="N832" s="72" t="n">
        <v>621.38</v>
      </c>
      <c r="O832" s="72">
        <f>ROUND(N832*(1+$F$10),2)</f>
        <v/>
      </c>
      <c r="P832" s="73">
        <f>ROUND(K832*N832,2)</f>
        <v/>
      </c>
      <c r="Q832" s="74">
        <f>ROUND(L832*N832,2)</f>
        <v/>
      </c>
      <c r="R832" s="75" t="n"/>
      <c r="S832" s="76" t="n"/>
      <c r="T832" s="77">
        <f>K832-L832</f>
        <v/>
      </c>
      <c r="U832" s="77">
        <f>P832-Q832</f>
        <v/>
      </c>
      <c r="V832" s="77">
        <f>ABS(U832)</f>
        <v/>
      </c>
      <c r="W832" s="78">
        <f>T832/L832</f>
        <v/>
      </c>
      <c r="X832" s="79">
        <f>ABS(W832)</f>
        <v/>
      </c>
      <c r="AG832" s="80" t="inlineStr">
        <is>
          <t>按制冷量判断清单范围记取个数</t>
        </is>
      </c>
    </row>
    <row r="833" ht="11.4" customHeight="1">
      <c r="A833" s="67" t="inlineStr">
        <is>
          <t>73</t>
        </is>
      </c>
      <c r="B833" s="67" t="inlineStr">
        <is>
          <t>1071</t>
        </is>
      </c>
      <c r="C833" s="67" t="inlineStr">
        <is>
          <t>1614</t>
        </is>
      </c>
      <c r="D833" s="68" t="inlineStr">
        <is>
          <t>01</t>
        </is>
      </c>
      <c r="E833" s="68" t="inlineStr">
        <is>
          <t>6 物业施工费</t>
        </is>
      </c>
      <c r="F833" s="68" t="inlineStr">
        <is>
          <t>6.1 总承包工程</t>
        </is>
      </c>
      <c r="G833" s="68" t="inlineStr">
        <is>
          <t>6.1.4 空调通风工程</t>
        </is>
      </c>
      <c r="H833" s="68" t="inlineStr">
        <is>
          <t>空调机/风机安装</t>
        </is>
      </c>
      <c r="I833" s="69" t="inlineStr">
        <is>
          <t>1000021969</t>
        </is>
      </c>
      <c r="J833" s="69" t="inlineStr">
        <is>
          <t>室内机安装--3匹风冷管道分体空调(含吊杆减震器、维修平台、室外机底座等）</t>
        </is>
      </c>
      <c r="K833" s="70" t="n"/>
      <c r="L833" s="70" t="n"/>
      <c r="M833" s="71" t="inlineStr">
        <is>
          <t>套</t>
        </is>
      </c>
      <c r="N833" s="72" t="n">
        <v>242.43</v>
      </c>
      <c r="O833" s="72">
        <f>ROUND(N833*(1+$F$10),2)</f>
        <v/>
      </c>
      <c r="P833" s="73">
        <f>ROUND(K833*N833,2)</f>
        <v/>
      </c>
      <c r="Q833" s="74">
        <f>ROUND(L833*N833,2)</f>
        <v/>
      </c>
      <c r="R833" s="75" t="n"/>
      <c r="S833" s="76" t="n"/>
      <c r="T833" s="77">
        <f>K833-L833</f>
        <v/>
      </c>
      <c r="U833" s="77">
        <f>P833-Q833</f>
        <v/>
      </c>
      <c r="V833" s="77">
        <f>ABS(U833)</f>
        <v/>
      </c>
      <c r="W833" s="78">
        <f>T833/L833</f>
        <v/>
      </c>
      <c r="X833" s="79">
        <f>ABS(W833)</f>
        <v/>
      </c>
      <c r="AG833" s="80" t="inlineStr">
        <is>
          <t>按制冷量判断清单范围记取个数</t>
        </is>
      </c>
    </row>
    <row r="834" ht="11.4" customHeight="1">
      <c r="A834" s="67" t="inlineStr">
        <is>
          <t>73</t>
        </is>
      </c>
      <c r="B834" s="67" t="inlineStr">
        <is>
          <t>1071</t>
        </is>
      </c>
      <c r="C834" s="67" t="inlineStr">
        <is>
          <t>1614</t>
        </is>
      </c>
      <c r="D834" s="68" t="inlineStr">
        <is>
          <t>01</t>
        </is>
      </c>
      <c r="E834" s="68" t="inlineStr">
        <is>
          <t>6 物业施工费</t>
        </is>
      </c>
      <c r="F834" s="68" t="inlineStr">
        <is>
          <t>6.1 总承包工程</t>
        </is>
      </c>
      <c r="G834" s="68" t="inlineStr">
        <is>
          <t>6.1.4 空调通风工程</t>
        </is>
      </c>
      <c r="H834" s="68" t="inlineStr">
        <is>
          <t>空调机/风机安装</t>
        </is>
      </c>
      <c r="I834" s="69" t="inlineStr">
        <is>
          <t>1000021970</t>
        </is>
      </c>
      <c r="J834" s="69" t="inlineStr">
        <is>
          <t>多联机制冷剂（室外机数量，单根冷媒管长度在70米以下）</t>
        </is>
      </c>
      <c r="K834" s="70" t="n">
        <v>2</v>
      </c>
      <c r="L834" s="70" t="n">
        <v>2</v>
      </c>
      <c r="M834" s="71" t="inlineStr">
        <is>
          <t>台</t>
        </is>
      </c>
      <c r="N834" s="72" t="n">
        <v>610</v>
      </c>
      <c r="O834" s="72">
        <f>ROUND(N834*(1+$F$10),2)</f>
        <v/>
      </c>
      <c r="P834" s="73">
        <f>ROUND(K834*N834,2)</f>
        <v/>
      </c>
      <c r="Q834" s="74">
        <f>ROUND(L834*N834,2)</f>
        <v/>
      </c>
      <c r="R834" s="75" t="n"/>
      <c r="S834" s="76" t="n"/>
      <c r="T834" s="77">
        <f>K834-L834</f>
        <v/>
      </c>
      <c r="U834" s="77">
        <f>P834-Q834</f>
        <v/>
      </c>
      <c r="V834" s="77">
        <f>ABS(U834)</f>
        <v/>
      </c>
      <c r="W834" s="78">
        <f>T834/L834</f>
        <v/>
      </c>
      <c r="X834" s="79">
        <f>ABS(W834)</f>
        <v/>
      </c>
      <c r="AG834" s="80" t="inlineStr">
        <is>
          <t>根据空调系统种类记取个数</t>
        </is>
      </c>
    </row>
    <row r="835" ht="11.4" customHeight="1">
      <c r="A835" s="67" t="inlineStr">
        <is>
          <t>73</t>
        </is>
      </c>
      <c r="B835" s="67" t="inlineStr">
        <is>
          <t>1071</t>
        </is>
      </c>
      <c r="C835" s="67" t="inlineStr">
        <is>
          <t>1614</t>
        </is>
      </c>
      <c r="D835" s="68" t="inlineStr">
        <is>
          <t>01</t>
        </is>
      </c>
      <c r="E835" s="68" t="inlineStr">
        <is>
          <t>6 物业施工费</t>
        </is>
      </c>
      <c r="F835" s="68" t="inlineStr">
        <is>
          <t>6.1 总承包工程</t>
        </is>
      </c>
      <c r="G835" s="68" t="inlineStr">
        <is>
          <t>6.1.4 空调通风工程</t>
        </is>
      </c>
      <c r="H835" s="68" t="inlineStr">
        <is>
          <t>空调机/风机安装</t>
        </is>
      </c>
      <c r="I835" s="69" t="inlineStr">
        <is>
          <t>1000021971</t>
        </is>
      </c>
      <c r="J835" s="69" t="inlineStr">
        <is>
          <t>多联机制冷剂（室外机数量，单根冷媒管长度在70米以上）</t>
        </is>
      </c>
      <c r="K835" s="70" t="n"/>
      <c r="L835" s="70" t="n"/>
      <c r="M835" s="71" t="inlineStr">
        <is>
          <t>台</t>
        </is>
      </c>
      <c r="N835" s="72" t="n">
        <v>610</v>
      </c>
      <c r="O835" s="72">
        <f>ROUND(N835*(1+$F$10),2)</f>
        <v/>
      </c>
      <c r="P835" s="73">
        <f>ROUND(K835*N835,2)</f>
        <v/>
      </c>
      <c r="Q835" s="74">
        <f>ROUND(L835*N835,2)</f>
        <v/>
      </c>
      <c r="R835" s="75" t="n"/>
      <c r="S835" s="76" t="n"/>
      <c r="T835" s="77">
        <f>K835-L835</f>
        <v/>
      </c>
      <c r="U835" s="77">
        <f>P835-Q835</f>
        <v/>
      </c>
      <c r="V835" s="77">
        <f>ABS(U835)</f>
        <v/>
      </c>
      <c r="W835" s="78">
        <f>T835/L835</f>
        <v/>
      </c>
      <c r="X835" s="79">
        <f>ABS(W835)</f>
        <v/>
      </c>
      <c r="AG835" s="80" t="inlineStr">
        <is>
          <t>根据空调系统种类记取个数</t>
        </is>
      </c>
    </row>
    <row r="836" ht="11.4" customHeight="1">
      <c r="A836" s="67" t="inlineStr">
        <is>
          <t>73</t>
        </is>
      </c>
      <c r="B836" s="67" t="inlineStr">
        <is>
          <t>1071</t>
        </is>
      </c>
      <c r="C836" s="67" t="inlineStr">
        <is>
          <t>1614</t>
        </is>
      </c>
      <c r="D836" s="68" t="inlineStr">
        <is>
          <t>01</t>
        </is>
      </c>
      <c r="E836" s="68" t="inlineStr">
        <is>
          <t>6 物业施工费</t>
        </is>
      </c>
      <c r="F836" s="68" t="inlineStr">
        <is>
          <t>6.1 总承包工程</t>
        </is>
      </c>
      <c r="G836" s="68" t="inlineStr">
        <is>
          <t>6.1.4 空调通风工程</t>
        </is>
      </c>
      <c r="H836" s="68" t="inlineStr">
        <is>
          <t>空调机/风机安装</t>
        </is>
      </c>
      <c r="I836" s="69" t="inlineStr">
        <is>
          <t>1000021972</t>
        </is>
      </c>
      <c r="J836" s="69" t="inlineStr">
        <is>
          <t>单联机制冷剂（室外机数量，单根冷媒管长度在70米以下）</t>
        </is>
      </c>
      <c r="K836" s="70" t="n"/>
      <c r="L836" s="70" t="n"/>
      <c r="M836" s="71" t="inlineStr">
        <is>
          <t>台</t>
        </is>
      </c>
      <c r="N836" s="72" t="n">
        <v>368</v>
      </c>
      <c r="O836" s="72">
        <f>ROUND(N836*(1+$F$10),2)</f>
        <v/>
      </c>
      <c r="P836" s="73">
        <f>ROUND(K836*N836,2)</f>
        <v/>
      </c>
      <c r="Q836" s="74">
        <f>ROUND(L836*N836,2)</f>
        <v/>
      </c>
      <c r="R836" s="75" t="n"/>
      <c r="S836" s="76" t="n"/>
      <c r="T836" s="77">
        <f>K836-L836</f>
        <v/>
      </c>
      <c r="U836" s="77">
        <f>P836-Q836</f>
        <v/>
      </c>
      <c r="V836" s="77">
        <f>ABS(U836)</f>
        <v/>
      </c>
      <c r="W836" s="78">
        <f>T836/L836</f>
        <v/>
      </c>
      <c r="X836" s="79">
        <f>ABS(W836)</f>
        <v/>
      </c>
      <c r="AG836" s="80" t="inlineStr">
        <is>
          <t>根据空调系统种类记取个数</t>
        </is>
      </c>
    </row>
    <row r="837" ht="11.4" customHeight="1">
      <c r="A837" s="67" t="inlineStr">
        <is>
          <t>73</t>
        </is>
      </c>
      <c r="B837" s="67" t="inlineStr">
        <is>
          <t>1071</t>
        </is>
      </c>
      <c r="C837" s="67" t="inlineStr">
        <is>
          <t>1614</t>
        </is>
      </c>
      <c r="D837" s="68" t="inlineStr">
        <is>
          <t>01</t>
        </is>
      </c>
      <c r="E837" s="68" t="inlineStr">
        <is>
          <t>6 物业施工费</t>
        </is>
      </c>
      <c r="F837" s="68" t="inlineStr">
        <is>
          <t>6.1 总承包工程</t>
        </is>
      </c>
      <c r="G837" s="68" t="inlineStr">
        <is>
          <t>6.1.4 空调通风工程</t>
        </is>
      </c>
      <c r="H837" s="68" t="inlineStr">
        <is>
          <t>空调机/风机安装</t>
        </is>
      </c>
      <c r="I837" s="69" t="inlineStr">
        <is>
          <t>1000021973</t>
        </is>
      </c>
      <c r="J837" s="69" t="inlineStr">
        <is>
          <t>单联机制冷剂（室外机数量，单根冷媒管长度在70米以上）</t>
        </is>
      </c>
      <c r="K837" s="70" t="n"/>
      <c r="L837" s="70" t="n"/>
      <c r="M837" s="71" t="inlineStr">
        <is>
          <t>台</t>
        </is>
      </c>
      <c r="N837" s="72" t="n">
        <v>368</v>
      </c>
      <c r="O837" s="72">
        <f>ROUND(N837*(1+$F$10),2)</f>
        <v/>
      </c>
      <c r="P837" s="73">
        <f>ROUND(K837*N837,2)</f>
        <v/>
      </c>
      <c r="Q837" s="74">
        <f>ROUND(L837*N837,2)</f>
        <v/>
      </c>
      <c r="R837" s="75" t="n"/>
      <c r="S837" s="76" t="n"/>
      <c r="T837" s="77">
        <f>K837-L837</f>
        <v/>
      </c>
      <c r="U837" s="77">
        <f>P837-Q837</f>
        <v/>
      </c>
      <c r="V837" s="77">
        <f>ABS(U837)</f>
        <v/>
      </c>
      <c r="W837" s="78">
        <f>T837/L837</f>
        <v/>
      </c>
      <c r="X837" s="79">
        <f>ABS(W837)</f>
        <v/>
      </c>
      <c r="AG837" s="80" t="inlineStr">
        <is>
          <t>根据空调系统种类记取个数</t>
        </is>
      </c>
    </row>
    <row r="838" ht="11.4" customHeight="1">
      <c r="A838" s="67" t="inlineStr">
        <is>
          <t>73</t>
        </is>
      </c>
      <c r="B838" s="67" t="inlineStr">
        <is>
          <t>1071</t>
        </is>
      </c>
      <c r="C838" s="67" t="inlineStr">
        <is>
          <t>1614</t>
        </is>
      </c>
      <c r="D838" s="68" t="inlineStr">
        <is>
          <t>01</t>
        </is>
      </c>
      <c r="E838" s="68" t="inlineStr">
        <is>
          <t>6 物业施工费</t>
        </is>
      </c>
      <c r="F838" s="68" t="inlineStr">
        <is>
          <t>6.1 总承包工程</t>
        </is>
      </c>
      <c r="G838" s="68" t="inlineStr">
        <is>
          <t>6.1.4 空调通风工程</t>
        </is>
      </c>
      <c r="H838" s="68" t="inlineStr">
        <is>
          <t>空调机/风机安装</t>
        </is>
      </c>
      <c r="I838" s="69" t="inlineStr">
        <is>
          <t>1000040113</t>
        </is>
      </c>
      <c r="J838" s="69" t="inlineStr">
        <is>
          <t>冷却水塔系统</t>
        </is>
      </c>
      <c r="K838" s="70" t="n"/>
      <c r="L838" s="70" t="n"/>
      <c r="M838" s="71" t="inlineStr">
        <is>
          <t>项</t>
        </is>
      </c>
      <c r="N838" s="72" t="n"/>
      <c r="O838" s="72">
        <f>ROUND(N838*(1+$F$10),2)</f>
        <v/>
      </c>
      <c r="P838" s="73">
        <f>ROUND(K838*N838,2)</f>
        <v/>
      </c>
      <c r="Q838" s="74">
        <f>ROUND(L838*N838,2)</f>
        <v/>
      </c>
      <c r="R838" s="75" t="n"/>
      <c r="S838" s="76" t="n"/>
      <c r="T838" s="77">
        <f>K838-L838</f>
        <v/>
      </c>
      <c r="U838" s="77">
        <f>P838-Q838</f>
        <v/>
      </c>
      <c r="V838" s="77">
        <f>ABS(U838)</f>
        <v/>
      </c>
      <c r="W838" s="78">
        <f>T838/L838</f>
        <v/>
      </c>
      <c r="X838" s="79">
        <f>ABS(W838)</f>
        <v/>
      </c>
      <c r="AG838" s="80" t="n"/>
      <c r="AH838" s="80" t="inlineStr">
        <is>
          <t>委托书</t>
        </is>
      </c>
    </row>
    <row r="839" ht="11.4" customHeight="1">
      <c r="A839" s="67" t="inlineStr">
        <is>
          <t>73</t>
        </is>
      </c>
      <c r="B839" s="67" t="inlineStr">
        <is>
          <t>1071</t>
        </is>
      </c>
      <c r="C839" s="67" t="inlineStr">
        <is>
          <t>1614</t>
        </is>
      </c>
      <c r="D839" s="68" t="inlineStr">
        <is>
          <t>01</t>
        </is>
      </c>
      <c r="E839" s="68" t="inlineStr">
        <is>
          <t>6 物业施工费</t>
        </is>
      </c>
      <c r="F839" s="68" t="inlineStr">
        <is>
          <t>6.1 总承包工程</t>
        </is>
      </c>
      <c r="G839" s="68" t="inlineStr">
        <is>
          <t>6.1.4 空调通风工程</t>
        </is>
      </c>
      <c r="H839" s="68" t="inlineStr">
        <is>
          <t>空调机/风机安装</t>
        </is>
      </c>
      <c r="I839" s="69" t="inlineStr">
        <is>
          <t>1000021974</t>
        </is>
      </c>
      <c r="J839" s="69" t="inlineStr">
        <is>
          <t>新风机/排风机连吊杆减震器等(风量4000CMH及以上）（不含主材）</t>
        </is>
      </c>
      <c r="K839" s="70" t="n">
        <v>1</v>
      </c>
      <c r="L839" s="70" t="n">
        <v>1</v>
      </c>
      <c r="M839" s="71" t="inlineStr">
        <is>
          <t>台</t>
        </is>
      </c>
      <c r="N839" s="72" t="n">
        <v>1973.15</v>
      </c>
      <c r="O839" s="72">
        <f>ROUND(N839*(1+$F$10),2)</f>
        <v/>
      </c>
      <c r="P839" s="73">
        <f>ROUND(K839*N839,2)</f>
        <v/>
      </c>
      <c r="Q839" s="74">
        <f>ROUND(L839*N839,2)</f>
        <v/>
      </c>
      <c r="R839" s="75" t="n"/>
      <c r="S839" s="76" t="n"/>
      <c r="T839" s="77">
        <f>K839-L839</f>
        <v/>
      </c>
      <c r="U839" s="77">
        <f>P839-Q839</f>
        <v/>
      </c>
      <c r="V839" s="77">
        <f>ABS(U839)</f>
        <v/>
      </c>
      <c r="W839" s="78">
        <f>T839/L839</f>
        <v/>
      </c>
      <c r="X839" s="79">
        <f>ABS(W839)</f>
        <v/>
      </c>
      <c r="AG839" s="80" t="inlineStr">
        <is>
          <t>根据风量判断清单范围记取个数</t>
        </is>
      </c>
    </row>
    <row r="840" ht="11.4" customHeight="1">
      <c r="A840" s="67" t="inlineStr">
        <is>
          <t>73</t>
        </is>
      </c>
      <c r="B840" s="67" t="inlineStr">
        <is>
          <t>1071</t>
        </is>
      </c>
      <c r="C840" s="67" t="inlineStr">
        <is>
          <t>1614</t>
        </is>
      </c>
      <c r="D840" s="68" t="inlineStr">
        <is>
          <t>01</t>
        </is>
      </c>
      <c r="E840" s="68" t="inlineStr">
        <is>
          <t>6 物业施工费</t>
        </is>
      </c>
      <c r="F840" s="68" t="inlineStr">
        <is>
          <t>6.1 总承包工程</t>
        </is>
      </c>
      <c r="G840" s="68" t="inlineStr">
        <is>
          <t>6.1.4 空调通风工程</t>
        </is>
      </c>
      <c r="H840" s="68" t="inlineStr">
        <is>
          <t>空调机/风机安装</t>
        </is>
      </c>
      <c r="I840" s="69" t="inlineStr">
        <is>
          <t>1000021975</t>
        </is>
      </c>
      <c r="J840" s="69" t="inlineStr">
        <is>
          <t>新风机/排风机连吊杆减震器等(风量2000-4000CMH）（不含主材）</t>
        </is>
      </c>
      <c r="K840" s="70" t="n">
        <v>1</v>
      </c>
      <c r="L840" s="70" t="n">
        <v>1</v>
      </c>
      <c r="M840" s="71" t="inlineStr">
        <is>
          <t>台</t>
        </is>
      </c>
      <c r="N840" s="72" t="n">
        <v>1264.76</v>
      </c>
      <c r="O840" s="72">
        <f>ROUND(N840*(1+$F$10),2)</f>
        <v/>
      </c>
      <c r="P840" s="73">
        <f>ROUND(K840*N840,2)</f>
        <v/>
      </c>
      <c r="Q840" s="74">
        <f>ROUND(L840*N840,2)</f>
        <v/>
      </c>
      <c r="R840" s="75" t="n"/>
      <c r="S840" s="76" t="n"/>
      <c r="T840" s="77">
        <f>K840-L840</f>
        <v/>
      </c>
      <c r="U840" s="77">
        <f>P840-Q840</f>
        <v/>
      </c>
      <c r="V840" s="77">
        <f>ABS(U840)</f>
        <v/>
      </c>
      <c r="W840" s="78">
        <f>T840/L840</f>
        <v/>
      </c>
      <c r="X840" s="79">
        <f>ABS(W840)</f>
        <v/>
      </c>
      <c r="AG840" s="80" t="inlineStr">
        <is>
          <t>根据风量判断清单范围记取个数</t>
        </is>
      </c>
    </row>
    <row r="841" ht="11.4" customHeight="1">
      <c r="A841" s="67" t="inlineStr">
        <is>
          <t>73</t>
        </is>
      </c>
      <c r="B841" s="67" t="inlineStr">
        <is>
          <t>1071</t>
        </is>
      </c>
      <c r="C841" s="67" t="inlineStr">
        <is>
          <t>1614</t>
        </is>
      </c>
      <c r="D841" s="68" t="inlineStr">
        <is>
          <t>01</t>
        </is>
      </c>
      <c r="E841" s="68" t="inlineStr">
        <is>
          <t>6 物业施工费</t>
        </is>
      </c>
      <c r="F841" s="68" t="inlineStr">
        <is>
          <t>6.1 总承包工程</t>
        </is>
      </c>
      <c r="G841" s="68" t="inlineStr">
        <is>
          <t>6.1.4 空调通风工程</t>
        </is>
      </c>
      <c r="H841" s="68" t="inlineStr">
        <is>
          <t>空调机/风机安装</t>
        </is>
      </c>
      <c r="I841" s="69" t="inlineStr">
        <is>
          <t>1000021976</t>
        </is>
      </c>
      <c r="J841" s="69" t="inlineStr">
        <is>
          <t>新风机/排风机连吊杆减震器等(风量2000CMH及以下）（不含主材）</t>
        </is>
      </c>
      <c r="K841" s="70" t="n">
        <v>1</v>
      </c>
      <c r="L841" s="70" t="n">
        <v>1</v>
      </c>
      <c r="M841" s="71" t="inlineStr">
        <is>
          <t>台</t>
        </is>
      </c>
      <c r="N841" s="72" t="n">
        <v>641.29</v>
      </c>
      <c r="O841" s="72">
        <f>ROUND(N841*(1+$F$10),2)</f>
        <v/>
      </c>
      <c r="P841" s="73">
        <f>ROUND(K841*N841,2)</f>
        <v/>
      </c>
      <c r="Q841" s="74">
        <f>ROUND(L841*N841,2)</f>
        <v/>
      </c>
      <c r="R841" s="75" t="n"/>
      <c r="S841" s="76" t="n"/>
      <c r="T841" s="77">
        <f>K841-L841</f>
        <v/>
      </c>
      <c r="U841" s="77">
        <f>P841-Q841</f>
        <v/>
      </c>
      <c r="V841" s="77">
        <f>ABS(U841)</f>
        <v/>
      </c>
      <c r="W841" s="78">
        <f>T841/L841</f>
        <v/>
      </c>
      <c r="X841" s="79">
        <f>ABS(W841)</f>
        <v/>
      </c>
      <c r="AG841" s="80" t="inlineStr">
        <is>
          <t>根据风量判断清单范围记取个数</t>
        </is>
      </c>
    </row>
    <row r="842" ht="11.4" customHeight="1">
      <c r="A842" s="67" t="inlineStr">
        <is>
          <t>73</t>
        </is>
      </c>
      <c r="B842" s="67" t="inlineStr">
        <is>
          <t>1071</t>
        </is>
      </c>
      <c r="C842" s="67" t="inlineStr">
        <is>
          <t>1614</t>
        </is>
      </c>
      <c r="D842" s="68" t="inlineStr">
        <is>
          <t>01</t>
        </is>
      </c>
      <c r="E842" s="68" t="inlineStr">
        <is>
          <t>6 物业施工费</t>
        </is>
      </c>
      <c r="F842" s="68" t="inlineStr">
        <is>
          <t>6.1 总承包工程</t>
        </is>
      </c>
      <c r="G842" s="68" t="inlineStr">
        <is>
          <t>6.1.4 空调通风工程</t>
        </is>
      </c>
      <c r="H842" s="68" t="inlineStr">
        <is>
          <t>空调机/风机安装</t>
        </is>
      </c>
      <c r="I842" s="69" t="inlineStr">
        <is>
          <t>1000021977</t>
        </is>
      </c>
      <c r="J842" s="69" t="inlineStr">
        <is>
          <t>排油烟机安装, 连吊杆减震器及底座、检修平台(不含抽油烟机主材)</t>
        </is>
      </c>
      <c r="K842" s="70" t="n">
        <v>1</v>
      </c>
      <c r="L842" s="70" t="n">
        <v>1</v>
      </c>
      <c r="M842" s="71" t="inlineStr">
        <is>
          <t>台</t>
        </is>
      </c>
      <c r="N842" s="72" t="n">
        <v>1813.65</v>
      </c>
      <c r="O842" s="72">
        <f>ROUND(N842*(1+$F$10),2)</f>
        <v/>
      </c>
      <c r="P842" s="73">
        <f>ROUND(K842*N842,2)</f>
        <v/>
      </c>
      <c r="Q842" s="74">
        <f>ROUND(L842*N842,2)</f>
        <v/>
      </c>
      <c r="R842" s="75" t="n"/>
      <c r="S842" s="76" t="n"/>
      <c r="T842" s="77">
        <f>K842-L842</f>
        <v/>
      </c>
      <c r="U842" s="77">
        <f>P842-Q842</f>
        <v/>
      </c>
      <c r="V842" s="77">
        <f>ABS(U842)</f>
        <v/>
      </c>
      <c r="W842" s="78">
        <f>T842/L842</f>
        <v/>
      </c>
      <c r="X842" s="79">
        <f>ABS(W842)</f>
        <v/>
      </c>
      <c r="AG842" s="80" t="inlineStr">
        <is>
          <t>个数</t>
        </is>
      </c>
    </row>
    <row r="843" ht="11.4" customHeight="1">
      <c r="A843" s="67" t="inlineStr">
        <is>
          <t>73</t>
        </is>
      </c>
      <c r="B843" s="67" t="inlineStr">
        <is>
          <t>1071</t>
        </is>
      </c>
      <c r="C843" s="67" t="inlineStr">
        <is>
          <t>1614</t>
        </is>
      </c>
      <c r="D843" s="68" t="inlineStr">
        <is>
          <t>01</t>
        </is>
      </c>
      <c r="E843" s="68" t="inlineStr">
        <is>
          <t>6 物业施工费</t>
        </is>
      </c>
      <c r="F843" s="68" t="inlineStr">
        <is>
          <t>6.1 总承包工程</t>
        </is>
      </c>
      <c r="G843" s="68" t="inlineStr">
        <is>
          <t>6.1.4 空调通风工程</t>
        </is>
      </c>
      <c r="H843" s="68" t="inlineStr">
        <is>
          <t>空调机/风机安装</t>
        </is>
      </c>
      <c r="I843" s="69" t="inlineStr">
        <is>
          <t>1000021978</t>
        </is>
      </c>
      <c r="J843" s="69" t="inlineStr">
        <is>
          <t>小型排风扇安装（不含主材）</t>
        </is>
      </c>
      <c r="K843" s="70" t="n">
        <v>2</v>
      </c>
      <c r="L843" s="70" t="n">
        <v>2</v>
      </c>
      <c r="M843" s="71" t="inlineStr">
        <is>
          <t>台</t>
        </is>
      </c>
      <c r="N843" s="72" t="n">
        <v>243.65</v>
      </c>
      <c r="O843" s="72">
        <f>ROUND(N843*(1+$F$10),2)</f>
        <v/>
      </c>
      <c r="P843" s="73">
        <f>ROUND(K843*N843,2)</f>
        <v/>
      </c>
      <c r="Q843" s="74">
        <f>ROUND(L843*N843,2)</f>
        <v/>
      </c>
      <c r="R843" s="75" t="n"/>
      <c r="S843" s="76" t="n"/>
      <c r="T843" s="77">
        <f>K843-L843</f>
        <v/>
      </c>
      <c r="U843" s="77">
        <f>P843-Q843</f>
        <v/>
      </c>
      <c r="V843" s="77">
        <f>ABS(U843)</f>
        <v/>
      </c>
      <c r="W843" s="78">
        <f>T843/L843</f>
        <v/>
      </c>
      <c r="X843" s="79">
        <f>ABS(W843)</f>
        <v/>
      </c>
      <c r="AG843" s="80" t="inlineStr">
        <is>
          <t>个数</t>
        </is>
      </c>
    </row>
    <row r="844" ht="11.4" customHeight="1">
      <c r="A844" s="67" t="inlineStr">
        <is>
          <t>73</t>
        </is>
      </c>
      <c r="B844" s="67" t="inlineStr">
        <is>
          <t>1071</t>
        </is>
      </c>
      <c r="C844" s="67" t="inlineStr">
        <is>
          <t>1614</t>
        </is>
      </c>
      <c r="D844" s="68" t="inlineStr">
        <is>
          <t>01</t>
        </is>
      </c>
      <c r="E844" s="68" t="inlineStr">
        <is>
          <t>6 物业施工费</t>
        </is>
      </c>
      <c r="F844" s="68" t="inlineStr">
        <is>
          <t>6.1 总承包工程</t>
        </is>
      </c>
      <c r="G844" s="68" t="inlineStr">
        <is>
          <t>6.1.4 空调通风工程</t>
        </is>
      </c>
      <c r="H844" s="68" t="inlineStr">
        <is>
          <t>空调机/风机安装</t>
        </is>
      </c>
      <c r="I844" s="69" t="inlineStr">
        <is>
          <t>1000021979</t>
        </is>
      </c>
      <c r="J844" s="69" t="inlineStr">
        <is>
          <t>风幕机安装(不含主材)</t>
        </is>
      </c>
      <c r="K844" s="70" t="n">
        <v>3</v>
      </c>
      <c r="L844" s="70" t="n">
        <v>3</v>
      </c>
      <c r="M844" s="71" t="inlineStr">
        <is>
          <t>台</t>
        </is>
      </c>
      <c r="N844" s="72" t="n">
        <v>314.05</v>
      </c>
      <c r="O844" s="72">
        <f>ROUND(N844*(1+$F$10),2)</f>
        <v/>
      </c>
      <c r="P844" s="73">
        <f>ROUND(K844*N844,2)</f>
        <v/>
      </c>
      <c r="Q844" s="74">
        <f>ROUND(L844*N844,2)</f>
        <v/>
      </c>
      <c r="R844" s="75" t="n"/>
      <c r="S844" s="76" t="n"/>
      <c r="T844" s="77">
        <f>K844-L844</f>
        <v/>
      </c>
      <c r="U844" s="77">
        <f>P844-Q844</f>
        <v/>
      </c>
      <c r="V844" s="77">
        <f>ABS(U844)</f>
        <v/>
      </c>
      <c r="W844" s="78">
        <f>T844/L844</f>
        <v/>
      </c>
      <c r="X844" s="79">
        <f>ABS(W844)</f>
        <v/>
      </c>
      <c r="AG844" s="80" t="inlineStr">
        <is>
          <t>个数</t>
        </is>
      </c>
    </row>
    <row r="845" ht="11.4" customHeight="1">
      <c r="A845" s="67" t="inlineStr">
        <is>
          <t>73</t>
        </is>
      </c>
      <c r="B845" s="67" t="inlineStr">
        <is>
          <t>1071</t>
        </is>
      </c>
      <c r="C845" s="67" t="inlineStr">
        <is>
          <t>1614</t>
        </is>
      </c>
      <c r="D845" s="68" t="inlineStr">
        <is>
          <t>01</t>
        </is>
      </c>
      <c r="E845" s="68" t="inlineStr">
        <is>
          <t>6 物业施工费</t>
        </is>
      </c>
      <c r="F845" s="68" t="inlineStr">
        <is>
          <t>6.1 总承包工程</t>
        </is>
      </c>
      <c r="G845" s="68" t="inlineStr">
        <is>
          <t>6.1.4 空调通风工程</t>
        </is>
      </c>
      <c r="H845" s="68" t="inlineStr">
        <is>
          <t>空调机/风机安装</t>
        </is>
      </c>
      <c r="I845" s="69" t="inlineStr">
        <is>
          <t>1000021980</t>
        </is>
      </c>
      <c r="J845" s="69" t="inlineStr">
        <is>
          <t>吊扇安装（含主材）</t>
        </is>
      </c>
      <c r="K845" s="70" t="n"/>
      <c r="L845" s="70" t="n"/>
      <c r="M845" s="71" t="inlineStr">
        <is>
          <t>台</t>
        </is>
      </c>
      <c r="N845" s="72" t="n">
        <v>446.05</v>
      </c>
      <c r="O845" s="72">
        <f>ROUND(N845*(1+$F$10),2)</f>
        <v/>
      </c>
      <c r="P845" s="73">
        <f>ROUND(K845*N845,2)</f>
        <v/>
      </c>
      <c r="Q845" s="74">
        <f>ROUND(L845*N845,2)</f>
        <v/>
      </c>
      <c r="R845" s="75" t="n"/>
      <c r="S845" s="76" t="n"/>
      <c r="T845" s="77">
        <f>K845-L845</f>
        <v/>
      </c>
      <c r="U845" s="77">
        <f>P845-Q845</f>
        <v/>
      </c>
      <c r="V845" s="77">
        <f>ABS(U845)</f>
        <v/>
      </c>
      <c r="W845" s="78">
        <f>T845/L845</f>
        <v/>
      </c>
      <c r="X845" s="79">
        <f>ABS(W845)</f>
        <v/>
      </c>
      <c r="AG845" s="80" t="inlineStr">
        <is>
          <t>个数</t>
        </is>
      </c>
    </row>
    <row r="846" ht="11.4" customHeight="1">
      <c r="A846" s="67" t="inlineStr">
        <is>
          <t>73</t>
        </is>
      </c>
      <c r="B846" s="67" t="inlineStr">
        <is>
          <t>1071</t>
        </is>
      </c>
      <c r="C846" s="67" t="inlineStr">
        <is>
          <t>1614</t>
        </is>
      </c>
      <c r="D846" s="68" t="inlineStr">
        <is>
          <t>01</t>
        </is>
      </c>
      <c r="E846" s="68" t="inlineStr">
        <is>
          <t>6 物业施工费</t>
        </is>
      </c>
      <c r="F846" s="68" t="inlineStr">
        <is>
          <t>6.1 总承包工程</t>
        </is>
      </c>
      <c r="G846" s="68" t="inlineStr">
        <is>
          <t>6.1.4 空调通风工程</t>
        </is>
      </c>
      <c r="H846" s="68" t="inlineStr">
        <is>
          <t>空调机/风机安装</t>
        </is>
      </c>
      <c r="I846" s="69" t="inlineStr">
        <is>
          <t>1000021981</t>
        </is>
      </c>
      <c r="J846" s="69" t="inlineStr">
        <is>
          <t>空调室内机电加热器安装</t>
        </is>
      </c>
      <c r="K846" s="70" t="n"/>
      <c r="L846" s="70" t="n"/>
      <c r="M846" s="71" t="inlineStr">
        <is>
          <t>台</t>
        </is>
      </c>
      <c r="N846" s="72" t="n">
        <v>567.05</v>
      </c>
      <c r="O846" s="72">
        <f>ROUND(N846*(1+$F$10),2)</f>
        <v/>
      </c>
      <c r="P846" s="73">
        <f>ROUND(K846*N846,2)</f>
        <v/>
      </c>
      <c r="Q846" s="74">
        <f>ROUND(L846*N846,2)</f>
        <v/>
      </c>
      <c r="R846" s="75" t="n"/>
      <c r="S846" s="76" t="n"/>
      <c r="T846" s="77">
        <f>K846-L846</f>
        <v/>
      </c>
      <c r="U846" s="77">
        <f>P846-Q846</f>
        <v/>
      </c>
      <c r="V846" s="77">
        <f>ABS(U846)</f>
        <v/>
      </c>
      <c r="W846" s="78">
        <f>T846/L846</f>
        <v/>
      </c>
      <c r="X846" s="79">
        <f>ABS(W846)</f>
        <v/>
      </c>
      <c r="AG846" s="80" t="inlineStr">
        <is>
          <t>个数</t>
        </is>
      </c>
    </row>
    <row r="847" ht="11.4" customHeight="1">
      <c r="A847" s="67" t="inlineStr">
        <is>
          <t>73</t>
        </is>
      </c>
      <c r="B847" s="67" t="inlineStr">
        <is>
          <t>1071</t>
        </is>
      </c>
      <c r="C847" s="67" t="inlineStr">
        <is>
          <t>1614</t>
        </is>
      </c>
      <c r="D847" s="68" t="inlineStr">
        <is>
          <t>01</t>
        </is>
      </c>
      <c r="E847" s="68" t="inlineStr">
        <is>
          <t>6 物业施工费</t>
        </is>
      </c>
      <c r="F847" s="68" t="inlineStr">
        <is>
          <t>6.1 总承包工程</t>
        </is>
      </c>
      <c r="G847" s="68" t="inlineStr">
        <is>
          <t>6.1.4 空调通风工程</t>
        </is>
      </c>
      <c r="H847" s="68" t="inlineStr">
        <is>
          <t>空调机/风机安装</t>
        </is>
      </c>
      <c r="I847" s="69" t="inlineStr">
        <is>
          <t>1000021982</t>
        </is>
      </c>
      <c r="J847" s="69" t="inlineStr">
        <is>
          <t>烘手器安装(不含主材)</t>
        </is>
      </c>
      <c r="K847" s="70" t="n">
        <v>2</v>
      </c>
      <c r="L847" s="70" t="n">
        <v>2</v>
      </c>
      <c r="M847" s="71" t="inlineStr">
        <is>
          <t>台</t>
        </is>
      </c>
      <c r="N847" s="72" t="n">
        <v>152.75</v>
      </c>
      <c r="O847" s="72">
        <f>ROUND(N847*(1+$F$10),2)</f>
        <v/>
      </c>
      <c r="P847" s="73">
        <f>ROUND(K847*N847,2)</f>
        <v/>
      </c>
      <c r="Q847" s="74">
        <f>ROUND(L847*N847,2)</f>
        <v/>
      </c>
      <c r="R847" s="75" t="n"/>
      <c r="S847" s="76" t="n"/>
      <c r="T847" s="77">
        <f>K847-L847</f>
        <v/>
      </c>
      <c r="U847" s="77">
        <f>P847-Q847</f>
        <v/>
      </c>
      <c r="V847" s="77">
        <f>ABS(U847)</f>
        <v/>
      </c>
      <c r="W847" s="78">
        <f>T847/L847</f>
        <v/>
      </c>
      <c r="X847" s="79">
        <f>ABS(W847)</f>
        <v/>
      </c>
      <c r="AG847" s="80" t="inlineStr">
        <is>
          <t>个数</t>
        </is>
      </c>
    </row>
    <row r="848" ht="11.4" customHeight="1">
      <c r="A848" s="67" t="inlineStr">
        <is>
          <t>73</t>
        </is>
      </c>
      <c r="B848" s="67" t="inlineStr">
        <is>
          <t>1071</t>
        </is>
      </c>
      <c r="C848" s="67" t="inlineStr">
        <is>
          <t>1614</t>
        </is>
      </c>
      <c r="D848" s="68" t="inlineStr">
        <is>
          <t>01</t>
        </is>
      </c>
      <c r="E848" s="68" t="inlineStr">
        <is>
          <t>6 物业施工费</t>
        </is>
      </c>
      <c r="F848" s="68" t="inlineStr">
        <is>
          <t>6.1 总承包工程</t>
        </is>
      </c>
      <c r="G848" s="68" t="inlineStr">
        <is>
          <t>6.1.4 空调通风工程</t>
        </is>
      </c>
      <c r="H848" s="68" t="inlineStr">
        <is>
          <t>空调机/风机安装</t>
        </is>
      </c>
      <c r="I848" s="69" t="inlineStr">
        <is>
          <t>1000021983</t>
        </is>
      </c>
      <c r="J848" s="69" t="inlineStr">
        <is>
          <t>冷凝水管安装（含保温）</t>
        </is>
      </c>
      <c r="K848" s="70" t="n">
        <v>36.63</v>
      </c>
      <c r="L848" s="70" t="n">
        <v>36.62</v>
      </c>
      <c r="M848" s="71" t="inlineStr">
        <is>
          <t>米</t>
        </is>
      </c>
      <c r="N848" s="72" t="n">
        <v>27.67</v>
      </c>
      <c r="O848" s="72">
        <f>ROUND(N848*(1+$F$10),2)</f>
        <v/>
      </c>
      <c r="P848" s="73">
        <f>ROUND(K848*N848,2)</f>
        <v/>
      </c>
      <c r="Q848" s="74">
        <f>ROUND(L848*N848,2)</f>
        <v/>
      </c>
      <c r="R848" s="75" t="n"/>
      <c r="S848" s="76" t="n"/>
      <c r="T848" s="77">
        <f>K848-L848</f>
        <v/>
      </c>
      <c r="U848" s="77">
        <f>P848-Q848</f>
        <v/>
      </c>
      <c r="V848" s="77">
        <f>ABS(U848)</f>
        <v/>
      </c>
      <c r="W848" s="78">
        <f>T848/L848</f>
        <v/>
      </c>
      <c r="X848" s="79">
        <f>ABS(W848)</f>
        <v/>
      </c>
      <c r="AG848" s="80" t="inlineStr">
        <is>
          <t>总长度（插件计算）水管</t>
        </is>
      </c>
    </row>
    <row r="849" ht="11.4" customHeight="1">
      <c r="A849" s="67" t="inlineStr">
        <is>
          <t>73</t>
        </is>
      </c>
      <c r="B849" s="67" t="inlineStr">
        <is>
          <t>1071</t>
        </is>
      </c>
      <c r="C849" s="67" t="inlineStr">
        <is>
          <t>1614</t>
        </is>
      </c>
      <c r="D849" s="68" t="inlineStr">
        <is>
          <t>01</t>
        </is>
      </c>
      <c r="E849" s="68" t="inlineStr">
        <is>
          <t>6 物业施工费</t>
        </is>
      </c>
      <c r="F849" s="68" t="inlineStr">
        <is>
          <t>6.1 总承包工程</t>
        </is>
      </c>
      <c r="G849" s="68" t="inlineStr">
        <is>
          <t>6.1.4 空调通风工程</t>
        </is>
      </c>
      <c r="H849" s="68" t="inlineStr">
        <is>
          <t>空调机/风机安装</t>
        </is>
      </c>
      <c r="I849" s="69" t="inlineStr">
        <is>
          <t>1000021984</t>
        </is>
      </c>
      <c r="J849" s="69" t="inlineStr">
        <is>
          <t>21-25匹冷冻水系统风机盘管安装（含阀组和主机安装等）</t>
        </is>
      </c>
      <c r="K849" s="70" t="n"/>
      <c r="L849" s="70" t="n"/>
      <c r="M849" s="71" t="inlineStr">
        <is>
          <t>套</t>
        </is>
      </c>
      <c r="N849" s="72" t="n">
        <v>2968.65</v>
      </c>
      <c r="O849" s="72">
        <f>ROUND(N849*(1+$F$10),2)</f>
        <v/>
      </c>
      <c r="P849" s="73">
        <f>ROUND(K849*N849,2)</f>
        <v/>
      </c>
      <c r="Q849" s="74">
        <f>ROUND(L849*N849,2)</f>
        <v/>
      </c>
      <c r="R849" s="75" t="n"/>
      <c r="S849" s="76" t="n"/>
      <c r="T849" s="77">
        <f>K849-L849</f>
        <v/>
      </c>
      <c r="U849" s="77">
        <f>P849-Q849</f>
        <v/>
      </c>
      <c r="V849" s="77">
        <f>ABS(U849)</f>
        <v/>
      </c>
      <c r="W849" s="78">
        <f>T849/L849</f>
        <v/>
      </c>
      <c r="X849" s="79">
        <f>ABS(W849)</f>
        <v/>
      </c>
      <c r="AH849" s="80" t="inlineStr">
        <is>
          <t>待定</t>
        </is>
      </c>
    </row>
    <row r="850" ht="11.4" customHeight="1">
      <c r="A850" s="67" t="inlineStr">
        <is>
          <t>73</t>
        </is>
      </c>
      <c r="B850" s="67" t="inlineStr">
        <is>
          <t>1071</t>
        </is>
      </c>
      <c r="C850" s="67" t="inlineStr">
        <is>
          <t>1614</t>
        </is>
      </c>
      <c r="D850" s="68" t="inlineStr">
        <is>
          <t>01</t>
        </is>
      </c>
      <c r="E850" s="68" t="inlineStr">
        <is>
          <t>6 物业施工费</t>
        </is>
      </c>
      <c r="F850" s="68" t="inlineStr">
        <is>
          <t>6.1 总承包工程</t>
        </is>
      </c>
      <c r="G850" s="68" t="inlineStr">
        <is>
          <t>6.1.4 空调通风工程</t>
        </is>
      </c>
      <c r="H850" s="68" t="inlineStr">
        <is>
          <t>空调机/风机安装</t>
        </is>
      </c>
      <c r="I850" s="69" t="inlineStr">
        <is>
          <t>1000021985</t>
        </is>
      </c>
      <c r="J850" s="69" t="inlineStr">
        <is>
          <t>15-20匹冷冻水系统风机盘管安装（含阀组和主机安装等）</t>
        </is>
      </c>
      <c r="K850" s="70" t="n"/>
      <c r="L850" s="70" t="n"/>
      <c r="M850" s="71" t="inlineStr">
        <is>
          <t>套</t>
        </is>
      </c>
      <c r="N850" s="72" t="n">
        <v>2941.15</v>
      </c>
      <c r="O850" s="72">
        <f>ROUND(N850*(1+$F$10),2)</f>
        <v/>
      </c>
      <c r="P850" s="73">
        <f>ROUND(K850*N850,2)</f>
        <v/>
      </c>
      <c r="Q850" s="74">
        <f>ROUND(L850*N850,2)</f>
        <v/>
      </c>
      <c r="R850" s="75" t="n"/>
      <c r="S850" s="76" t="n"/>
      <c r="T850" s="77">
        <f>K850-L850</f>
        <v/>
      </c>
      <c r="U850" s="77">
        <f>P850-Q850</f>
        <v/>
      </c>
      <c r="V850" s="77">
        <f>ABS(U850)</f>
        <v/>
      </c>
      <c r="W850" s="78">
        <f>T850/L850</f>
        <v/>
      </c>
      <c r="X850" s="79">
        <f>ABS(W850)</f>
        <v/>
      </c>
      <c r="AH850" s="80" t="inlineStr">
        <is>
          <t>待定</t>
        </is>
      </c>
    </row>
    <row r="851" ht="11.4" customHeight="1">
      <c r="A851" s="67" t="inlineStr">
        <is>
          <t>73</t>
        </is>
      </c>
      <c r="B851" s="67" t="inlineStr">
        <is>
          <t>1071</t>
        </is>
      </c>
      <c r="C851" s="67" t="inlineStr">
        <is>
          <t>1614</t>
        </is>
      </c>
      <c r="D851" s="68" t="inlineStr">
        <is>
          <t>01</t>
        </is>
      </c>
      <c r="E851" s="68" t="inlineStr">
        <is>
          <t>6 物业施工费</t>
        </is>
      </c>
      <c r="F851" s="68" t="inlineStr">
        <is>
          <t>6.1 总承包工程</t>
        </is>
      </c>
      <c r="G851" s="68" t="inlineStr">
        <is>
          <t>6.1.4 空调通风工程</t>
        </is>
      </c>
      <c r="H851" s="68" t="inlineStr">
        <is>
          <t>空调机/风机安装</t>
        </is>
      </c>
      <c r="I851" s="69" t="inlineStr">
        <is>
          <t>1000021986</t>
        </is>
      </c>
      <c r="J851" s="69" t="inlineStr">
        <is>
          <t>8-12.5匹冷冻水系统风机盘管安装（含阀组和主机安装等）</t>
        </is>
      </c>
      <c r="K851" s="70" t="n"/>
      <c r="L851" s="70" t="n"/>
      <c r="M851" s="71" t="inlineStr">
        <is>
          <t>套</t>
        </is>
      </c>
      <c r="N851" s="72" t="n">
        <v>2836.65</v>
      </c>
      <c r="O851" s="72">
        <f>ROUND(N851*(1+$F$10),2)</f>
        <v/>
      </c>
      <c r="P851" s="73">
        <f>ROUND(K851*N851,2)</f>
        <v/>
      </c>
      <c r="Q851" s="74">
        <f>ROUND(L851*N851,2)</f>
        <v/>
      </c>
      <c r="R851" s="75" t="n"/>
      <c r="S851" s="76" t="n"/>
      <c r="T851" s="77">
        <f>K851-L851</f>
        <v/>
      </c>
      <c r="U851" s="77">
        <f>P851-Q851</f>
        <v/>
      </c>
      <c r="V851" s="77">
        <f>ABS(U851)</f>
        <v/>
      </c>
      <c r="W851" s="78">
        <f>T851/L851</f>
        <v/>
      </c>
      <c r="X851" s="79">
        <f>ABS(W851)</f>
        <v/>
      </c>
      <c r="AH851" s="80" t="inlineStr">
        <is>
          <t>待定</t>
        </is>
      </c>
    </row>
    <row r="852" ht="11.4" customHeight="1">
      <c r="A852" s="67" t="inlineStr">
        <is>
          <t>73</t>
        </is>
      </c>
      <c r="B852" s="67" t="inlineStr">
        <is>
          <t>1071</t>
        </is>
      </c>
      <c r="C852" s="67" t="inlineStr">
        <is>
          <t>1614</t>
        </is>
      </c>
      <c r="D852" s="68" t="inlineStr">
        <is>
          <t>01</t>
        </is>
      </c>
      <c r="E852" s="68" t="inlineStr">
        <is>
          <t>6 物业施工费</t>
        </is>
      </c>
      <c r="F852" s="68" t="inlineStr">
        <is>
          <t>6.1 总承包工程</t>
        </is>
      </c>
      <c r="G852" s="68" t="inlineStr">
        <is>
          <t>6.1.4 空调通风工程</t>
        </is>
      </c>
      <c r="H852" s="68" t="inlineStr">
        <is>
          <t>空调机/风机安装</t>
        </is>
      </c>
      <c r="I852" s="69" t="inlineStr">
        <is>
          <t>1000021987</t>
        </is>
      </c>
      <c r="J852" s="69" t="inlineStr">
        <is>
          <t>5-7匹冷冻水系统风机盘管安装（含阀组和主机安装等）</t>
        </is>
      </c>
      <c r="K852" s="70" t="n"/>
      <c r="L852" s="70" t="n"/>
      <c r="M852" s="71" t="inlineStr">
        <is>
          <t>套</t>
        </is>
      </c>
      <c r="N852" s="72" t="n">
        <v>2358.7</v>
      </c>
      <c r="O852" s="72">
        <f>ROUND(N852*(1+$F$10),2)</f>
        <v/>
      </c>
      <c r="P852" s="73">
        <f>ROUND(K852*N852,2)</f>
        <v/>
      </c>
      <c r="Q852" s="74">
        <f>ROUND(L852*N852,2)</f>
        <v/>
      </c>
      <c r="R852" s="75" t="n"/>
      <c r="S852" s="76" t="n"/>
      <c r="T852" s="77">
        <f>K852-L852</f>
        <v/>
      </c>
      <c r="U852" s="77">
        <f>P852-Q852</f>
        <v/>
      </c>
      <c r="V852" s="77">
        <f>ABS(U852)</f>
        <v/>
      </c>
      <c r="W852" s="78">
        <f>T852/L852</f>
        <v/>
      </c>
      <c r="X852" s="79">
        <f>ABS(W852)</f>
        <v/>
      </c>
      <c r="AH852" s="80" t="inlineStr">
        <is>
          <t>待定</t>
        </is>
      </c>
    </row>
    <row r="853" ht="11.4" customHeight="1">
      <c r="A853" s="67" t="inlineStr">
        <is>
          <t>73</t>
        </is>
      </c>
      <c r="B853" s="67" t="inlineStr">
        <is>
          <t>1071</t>
        </is>
      </c>
      <c r="C853" s="67" t="inlineStr">
        <is>
          <t>1614</t>
        </is>
      </c>
      <c r="D853" s="68" t="inlineStr">
        <is>
          <t>01</t>
        </is>
      </c>
      <c r="E853" s="68" t="inlineStr">
        <is>
          <t>6 物业施工费</t>
        </is>
      </c>
      <c r="F853" s="68" t="inlineStr">
        <is>
          <t>6.1 总承包工程</t>
        </is>
      </c>
      <c r="G853" s="68" t="inlineStr">
        <is>
          <t>6.1.4 空调通风工程</t>
        </is>
      </c>
      <c r="H853" s="68" t="inlineStr">
        <is>
          <t>空调机/风机安装</t>
        </is>
      </c>
      <c r="I853" s="69" t="inlineStr">
        <is>
          <t>1000021988</t>
        </is>
      </c>
      <c r="J853" s="69" t="inlineStr">
        <is>
          <t>3-4匹冷冻水系统风机盘管安装（含阀组和主机安装等）</t>
        </is>
      </c>
      <c r="K853" s="70" t="n"/>
      <c r="L853" s="70" t="n"/>
      <c r="M853" s="71" t="inlineStr">
        <is>
          <t>套</t>
        </is>
      </c>
      <c r="N853" s="72" t="n">
        <v>2336.7</v>
      </c>
      <c r="O853" s="72">
        <f>ROUND(N853*(1+$F$10),2)</f>
        <v/>
      </c>
      <c r="P853" s="73">
        <f>ROUND(K853*N853,2)</f>
        <v/>
      </c>
      <c r="Q853" s="74">
        <f>ROUND(L853*N853,2)</f>
        <v/>
      </c>
      <c r="R853" s="75" t="n"/>
      <c r="S853" s="76" t="n"/>
      <c r="T853" s="77">
        <f>K853-L853</f>
        <v/>
      </c>
      <c r="U853" s="77">
        <f>P853-Q853</f>
        <v/>
      </c>
      <c r="V853" s="77">
        <f>ABS(U853)</f>
        <v/>
      </c>
      <c r="W853" s="78">
        <f>T853/L853</f>
        <v/>
      </c>
      <c r="X853" s="79">
        <f>ABS(W853)</f>
        <v/>
      </c>
      <c r="AH853" s="80" t="inlineStr">
        <is>
          <t>待定</t>
        </is>
      </c>
    </row>
    <row r="854" ht="11.4" customHeight="1">
      <c r="A854" s="67" t="inlineStr">
        <is>
          <t>73</t>
        </is>
      </c>
      <c r="B854" s="67" t="inlineStr">
        <is>
          <t>1071</t>
        </is>
      </c>
      <c r="C854" s="67" t="inlineStr">
        <is>
          <t>1614</t>
        </is>
      </c>
      <c r="D854" s="68" t="inlineStr">
        <is>
          <t>01</t>
        </is>
      </c>
      <c r="E854" s="68" t="inlineStr">
        <is>
          <t>6 物业施工费</t>
        </is>
      </c>
      <c r="F854" s="68" t="inlineStr">
        <is>
          <t>6.1 总承包工程</t>
        </is>
      </c>
      <c r="G854" s="68" t="inlineStr">
        <is>
          <t>6.1.4 空调通风工程</t>
        </is>
      </c>
      <c r="H854" s="68" t="inlineStr">
        <is>
          <t>空调机/风机安装</t>
        </is>
      </c>
      <c r="I854" s="69" t="inlineStr">
        <is>
          <t>1000021989</t>
        </is>
      </c>
      <c r="J854" s="69" t="inlineStr">
        <is>
          <t>接管DN50水冷式冷水机安装（含阀组和主机安装等）</t>
        </is>
      </c>
      <c r="K854" s="70" t="n"/>
      <c r="L854" s="70" t="n"/>
      <c r="M854" s="71" t="inlineStr">
        <is>
          <t>套</t>
        </is>
      </c>
      <c r="N854" s="72" t="n">
        <v>7092.3</v>
      </c>
      <c r="O854" s="72">
        <f>ROUND(N854*(1+$F$10),2)</f>
        <v/>
      </c>
      <c r="P854" s="73">
        <f>ROUND(K854*N854,2)</f>
        <v/>
      </c>
      <c r="Q854" s="74">
        <f>ROUND(L854*N854,2)</f>
        <v/>
      </c>
      <c r="R854" s="75" t="n"/>
      <c r="S854" s="76" t="n"/>
      <c r="T854" s="77">
        <f>K854-L854</f>
        <v/>
      </c>
      <c r="U854" s="77">
        <f>P854-Q854</f>
        <v/>
      </c>
      <c r="V854" s="77">
        <f>ABS(U854)</f>
        <v/>
      </c>
      <c r="W854" s="78">
        <f>T854/L854</f>
        <v/>
      </c>
      <c r="X854" s="79">
        <f>ABS(W854)</f>
        <v/>
      </c>
      <c r="AH854" s="80" t="inlineStr">
        <is>
          <t>待定</t>
        </is>
      </c>
    </row>
    <row r="855" ht="11.4" customHeight="1">
      <c r="A855" s="67" t="inlineStr">
        <is>
          <t>73</t>
        </is>
      </c>
      <c r="B855" s="67" t="inlineStr">
        <is>
          <t>1071</t>
        </is>
      </c>
      <c r="C855" s="67" t="inlineStr">
        <is>
          <t>1614</t>
        </is>
      </c>
      <c r="D855" s="68" t="inlineStr">
        <is>
          <t>01</t>
        </is>
      </c>
      <c r="E855" s="68" t="inlineStr">
        <is>
          <t>6 物业施工费</t>
        </is>
      </c>
      <c r="F855" s="68" t="inlineStr">
        <is>
          <t>6.1 总承包工程</t>
        </is>
      </c>
      <c r="G855" s="68" t="inlineStr">
        <is>
          <t>6.1.4 空调通风工程</t>
        </is>
      </c>
      <c r="H855" s="68" t="inlineStr">
        <is>
          <t>空调机/风机安装</t>
        </is>
      </c>
      <c r="I855" s="69" t="inlineStr">
        <is>
          <t>1000021990</t>
        </is>
      </c>
      <c r="J855" s="69" t="inlineStr">
        <is>
          <t>接管DN40水冷式冷水机安装（含阀组和主机安装等）</t>
        </is>
      </c>
      <c r="K855" s="70" t="n"/>
      <c r="L855" s="70" t="n"/>
      <c r="M855" s="71" t="inlineStr">
        <is>
          <t>套</t>
        </is>
      </c>
      <c r="N855" s="72" t="n">
        <v>6328.35</v>
      </c>
      <c r="O855" s="72">
        <f>ROUND(N855*(1+$F$10),2)</f>
        <v/>
      </c>
      <c r="P855" s="73">
        <f>ROUND(K855*N855,2)</f>
        <v/>
      </c>
      <c r="Q855" s="74">
        <f>ROUND(L855*N855,2)</f>
        <v/>
      </c>
      <c r="R855" s="75" t="n"/>
      <c r="S855" s="76" t="n"/>
      <c r="T855" s="77">
        <f>K855-L855</f>
        <v/>
      </c>
      <c r="U855" s="77">
        <f>P855-Q855</f>
        <v/>
      </c>
      <c r="V855" s="77">
        <f>ABS(U855)</f>
        <v/>
      </c>
      <c r="W855" s="78">
        <f>T855/L855</f>
        <v/>
      </c>
      <c r="X855" s="79">
        <f>ABS(W855)</f>
        <v/>
      </c>
      <c r="AH855" s="80" t="inlineStr">
        <is>
          <t>待定</t>
        </is>
      </c>
    </row>
    <row r="856" ht="11.4" customHeight="1">
      <c r="A856" s="67" t="inlineStr">
        <is>
          <t>73</t>
        </is>
      </c>
      <c r="B856" s="67" t="inlineStr">
        <is>
          <t>1071</t>
        </is>
      </c>
      <c r="C856" s="67" t="inlineStr">
        <is>
          <t>1614</t>
        </is>
      </c>
      <c r="D856" s="68" t="inlineStr">
        <is>
          <t>01</t>
        </is>
      </c>
      <c r="E856" s="68" t="inlineStr">
        <is>
          <t>6 物业施工费</t>
        </is>
      </c>
      <c r="F856" s="68" t="inlineStr">
        <is>
          <t>6.1 总承包工程</t>
        </is>
      </c>
      <c r="G856" s="68" t="inlineStr">
        <is>
          <t>6.1.4 空调通风工程</t>
        </is>
      </c>
      <c r="H856" s="68" t="inlineStr">
        <is>
          <t>空调机/风机安装</t>
        </is>
      </c>
      <c r="I856" s="69" t="inlineStr">
        <is>
          <t>1000021991</t>
        </is>
      </c>
      <c r="J856" s="69" t="inlineStr">
        <is>
          <t>接管DN32水冷式冷水机安装（含阀组和主机安装等）</t>
        </is>
      </c>
      <c r="K856" s="70" t="n"/>
      <c r="L856" s="70" t="n"/>
      <c r="M856" s="71" t="inlineStr">
        <is>
          <t>套</t>
        </is>
      </c>
      <c r="N856" s="72" t="n">
        <v>5249.49</v>
      </c>
      <c r="O856" s="72">
        <f>ROUND(N856*(1+$F$10),2)</f>
        <v/>
      </c>
      <c r="P856" s="73">
        <f>ROUND(K856*N856,2)</f>
        <v/>
      </c>
      <c r="Q856" s="74">
        <f>ROUND(L856*N856,2)</f>
        <v/>
      </c>
      <c r="R856" s="75" t="n"/>
      <c r="S856" s="76" t="n"/>
      <c r="T856" s="77">
        <f>K856-L856</f>
        <v/>
      </c>
      <c r="U856" s="77">
        <f>P856-Q856</f>
        <v/>
      </c>
      <c r="V856" s="77">
        <f>ABS(U856)</f>
        <v/>
      </c>
      <c r="W856" s="78">
        <f>T856/L856</f>
        <v/>
      </c>
      <c r="X856" s="79">
        <f>ABS(W856)</f>
        <v/>
      </c>
      <c r="AH856" s="80" t="inlineStr">
        <is>
          <t>待定</t>
        </is>
      </c>
    </row>
    <row r="857" ht="11.4" customHeight="1">
      <c r="A857" s="67" t="inlineStr">
        <is>
          <t>73</t>
        </is>
      </c>
      <c r="B857" s="67" t="inlineStr">
        <is>
          <t>1071</t>
        </is>
      </c>
      <c r="C857" s="67" t="inlineStr">
        <is>
          <t>1614</t>
        </is>
      </c>
      <c r="D857" s="68" t="inlineStr">
        <is>
          <t>01</t>
        </is>
      </c>
      <c r="E857" s="68" t="inlineStr">
        <is>
          <t>6 物业施工费</t>
        </is>
      </c>
      <c r="F857" s="68" t="inlineStr">
        <is>
          <t>6.1 总承包工程</t>
        </is>
      </c>
      <c r="G857" s="68" t="inlineStr">
        <is>
          <t>6.1.4 空调通风工程</t>
        </is>
      </c>
      <c r="H857" s="68" t="inlineStr">
        <is>
          <t>空调风管(包含保温、吊杆及全部配件）</t>
        </is>
      </c>
      <c r="I857" s="69" t="inlineStr">
        <is>
          <t>1000021992</t>
        </is>
      </c>
      <c r="J857" s="69" t="inlineStr">
        <is>
          <t>送风管连保温及调节阀、防火阀等(玻璃棉保温材料)</t>
        </is>
      </c>
      <c r="K857" s="70" t="n"/>
      <c r="L857" s="70" t="n"/>
      <c r="M857" s="71" t="inlineStr">
        <is>
          <t>m2</t>
        </is>
      </c>
      <c r="N857" s="72" t="n">
        <v>179.04</v>
      </c>
      <c r="O857" s="72">
        <f>ROUND(N857*(1+$F$10),2)</f>
        <v/>
      </c>
      <c r="P857" s="73">
        <f>ROUND(K857*N857,2)</f>
        <v/>
      </c>
      <c r="Q857" s="74">
        <f>ROUND(L857*N857,2)</f>
        <v/>
      </c>
      <c r="R857" s="75" t="n"/>
      <c r="S857" s="76" t="n"/>
      <c r="T857" s="77">
        <f>K857-L857</f>
        <v/>
      </c>
      <c r="U857" s="77">
        <f>P857-Q857</f>
        <v/>
      </c>
      <c r="V857" s="77">
        <f>ABS(U857)</f>
        <v/>
      </c>
      <c r="W857" s="78">
        <f>T857/L857</f>
        <v/>
      </c>
      <c r="X857" s="79">
        <f>ABS(W857)</f>
        <v/>
      </c>
      <c r="AG857" s="80" t="inlineStr">
        <is>
          <t>总面积（插件计算）风管</t>
        </is>
      </c>
    </row>
    <row r="858" ht="11.4" customHeight="1">
      <c r="A858" s="67" t="inlineStr">
        <is>
          <t>73</t>
        </is>
      </c>
      <c r="B858" s="67" t="inlineStr">
        <is>
          <t>1071</t>
        </is>
      </c>
      <c r="C858" s="67" t="inlineStr">
        <is>
          <t>1614</t>
        </is>
      </c>
      <c r="D858" s="68" t="inlineStr">
        <is>
          <t>01</t>
        </is>
      </c>
      <c r="E858" s="68" t="inlineStr">
        <is>
          <t>6 物业施工费</t>
        </is>
      </c>
      <c r="F858" s="68" t="inlineStr">
        <is>
          <t>6.1 总承包工程</t>
        </is>
      </c>
      <c r="G858" s="68" t="inlineStr">
        <is>
          <t>6.1.4 空调通风工程</t>
        </is>
      </c>
      <c r="H858" s="68" t="inlineStr">
        <is>
          <t>空调风管(包含保温、吊杆及全部配件）</t>
        </is>
      </c>
      <c r="I858" s="69" t="inlineStr">
        <is>
          <t>1000021993</t>
        </is>
      </c>
      <c r="J858" s="69" t="inlineStr">
        <is>
          <t>送风管连保温及调节阀、防火阀等(橡塑保温材料)</t>
        </is>
      </c>
      <c r="K858" s="70" t="n">
        <v>81.37</v>
      </c>
      <c r="L858" s="70" t="n">
        <v>81.34999999999999</v>
      </c>
      <c r="M858" s="71" t="inlineStr">
        <is>
          <t>m2</t>
        </is>
      </c>
      <c r="N858" s="72" t="n">
        <v>205.44</v>
      </c>
      <c r="O858" s="72">
        <f>ROUND(N858*(1+$F$10),2)</f>
        <v/>
      </c>
      <c r="P858" s="73">
        <f>ROUND(K858*N858,2)</f>
        <v/>
      </c>
      <c r="Q858" s="74">
        <f>ROUND(L858*N858,2)</f>
        <v/>
      </c>
      <c r="R858" s="75" t="n"/>
      <c r="S858" s="76" t="n"/>
      <c r="T858" s="77">
        <f>K858-L858</f>
        <v/>
      </c>
      <c r="U858" s="77">
        <f>P858-Q858</f>
        <v/>
      </c>
      <c r="V858" s="77">
        <f>ABS(U858)</f>
        <v/>
      </c>
      <c r="W858" s="78">
        <f>T858/L858</f>
        <v/>
      </c>
      <c r="X858" s="79">
        <f>ABS(W858)</f>
        <v/>
      </c>
      <c r="AG858" s="80" t="inlineStr">
        <is>
          <t>总面积（插件计算）风管</t>
        </is>
      </c>
    </row>
    <row r="859" ht="11.4" customHeight="1">
      <c r="A859" s="67" t="inlineStr">
        <is>
          <t>73</t>
        </is>
      </c>
      <c r="B859" s="67" t="inlineStr">
        <is>
          <t>1071</t>
        </is>
      </c>
      <c r="C859" s="67" t="inlineStr">
        <is>
          <t>1614</t>
        </is>
      </c>
      <c r="D859" s="68" t="inlineStr">
        <is>
          <t>01</t>
        </is>
      </c>
      <c r="E859" s="68" t="inlineStr">
        <is>
          <t>6 物业施工费</t>
        </is>
      </c>
      <c r="F859" s="68" t="inlineStr">
        <is>
          <t>6.1 总承包工程</t>
        </is>
      </c>
      <c r="G859" s="68" t="inlineStr">
        <is>
          <t>6.1.4 空调通风工程</t>
        </is>
      </c>
      <c r="H859" s="68" t="inlineStr">
        <is>
          <t>空调风管(包含保温、吊杆及全部配件）</t>
        </is>
      </c>
      <c r="I859" s="69" t="inlineStr">
        <is>
          <t>1000021994</t>
        </is>
      </c>
      <c r="J859" s="69" t="inlineStr">
        <is>
          <t>末端送风软管(带保温)</t>
        </is>
      </c>
      <c r="K859" s="70" t="n"/>
      <c r="L859" s="70" t="n"/>
      <c r="M859" s="71" t="inlineStr">
        <is>
          <t>米</t>
        </is>
      </c>
      <c r="N859" s="72" t="n">
        <v>238.25</v>
      </c>
      <c r="O859" s="72">
        <f>ROUND(N859*(1+$F$10),2)</f>
        <v/>
      </c>
      <c r="P859" s="73">
        <f>ROUND(K859*N859,2)</f>
        <v/>
      </c>
      <c r="Q859" s="74">
        <f>ROUND(L859*N859,2)</f>
        <v/>
      </c>
      <c r="R859" s="75" t="n"/>
      <c r="S859" s="76" t="n"/>
      <c r="T859" s="77">
        <f>K859-L859</f>
        <v/>
      </c>
      <c r="U859" s="77">
        <f>P859-Q859</f>
        <v/>
      </c>
      <c r="V859" s="77">
        <f>ABS(U859)</f>
        <v/>
      </c>
      <c r="W859" s="78">
        <f>T859/L859</f>
        <v/>
      </c>
      <c r="X859" s="79">
        <f>ABS(W859)</f>
        <v/>
      </c>
      <c r="AH859" s="80" t="inlineStr">
        <is>
          <t>调整</t>
        </is>
      </c>
    </row>
    <row r="860" ht="11.4" customHeight="1">
      <c r="A860" s="67" t="inlineStr">
        <is>
          <t>73</t>
        </is>
      </c>
      <c r="B860" s="67" t="inlineStr">
        <is>
          <t>1071</t>
        </is>
      </c>
      <c r="C860" s="67" t="inlineStr">
        <is>
          <t>1614</t>
        </is>
      </c>
      <c r="D860" s="68" t="inlineStr">
        <is>
          <t>01</t>
        </is>
      </c>
      <c r="E860" s="68" t="inlineStr">
        <is>
          <t>6 物业施工费</t>
        </is>
      </c>
      <c r="F860" s="68" t="inlineStr">
        <is>
          <t>6.1 总承包工程</t>
        </is>
      </c>
      <c r="G860" s="68" t="inlineStr">
        <is>
          <t>6.1.4 空调通风工程</t>
        </is>
      </c>
      <c r="H860" s="68" t="inlineStr">
        <is>
          <t>空调风管(包含保温、吊杆及全部配件）</t>
        </is>
      </c>
      <c r="I860" s="69" t="inlineStr">
        <is>
          <t>1000021995</t>
        </is>
      </c>
      <c r="J860" s="69" t="inlineStr">
        <is>
          <t>新风管连保温及调节阀、防火阀等(玻璃棉保温材料)</t>
        </is>
      </c>
      <c r="K860" s="70" t="n"/>
      <c r="L860" s="70" t="n"/>
      <c r="M860" s="71" t="inlineStr">
        <is>
          <t>m2</t>
        </is>
      </c>
      <c r="N860" s="72" t="n">
        <v>179.04</v>
      </c>
      <c r="O860" s="72">
        <f>ROUND(N860*(1+$F$10),2)</f>
        <v/>
      </c>
      <c r="P860" s="73">
        <f>ROUND(K860*N860,2)</f>
        <v/>
      </c>
      <c r="Q860" s="74">
        <f>ROUND(L860*N860,2)</f>
        <v/>
      </c>
      <c r="R860" s="75" t="n"/>
      <c r="S860" s="76" t="n"/>
      <c r="T860" s="77">
        <f>K860-L860</f>
        <v/>
      </c>
      <c r="U860" s="77">
        <f>P860-Q860</f>
        <v/>
      </c>
      <c r="V860" s="77">
        <f>ABS(U860)</f>
        <v/>
      </c>
      <c r="W860" s="78">
        <f>T860/L860</f>
        <v/>
      </c>
      <c r="X860" s="79">
        <f>ABS(W860)</f>
        <v/>
      </c>
      <c r="AG860" s="80" t="inlineStr">
        <is>
          <t>总面积（插件计算）风管</t>
        </is>
      </c>
    </row>
    <row r="861" ht="11.4" customHeight="1">
      <c r="A861" s="67" t="inlineStr">
        <is>
          <t>73</t>
        </is>
      </c>
      <c r="B861" s="67" t="inlineStr">
        <is>
          <t>1071</t>
        </is>
      </c>
      <c r="C861" s="67" t="inlineStr">
        <is>
          <t>1614</t>
        </is>
      </c>
      <c r="D861" s="68" t="inlineStr">
        <is>
          <t>01</t>
        </is>
      </c>
      <c r="E861" s="68" t="inlineStr">
        <is>
          <t>6 物业施工费</t>
        </is>
      </c>
      <c r="F861" s="68" t="inlineStr">
        <is>
          <t>6.1 总承包工程</t>
        </is>
      </c>
      <c r="G861" s="68" t="inlineStr">
        <is>
          <t>6.1.4 空调通风工程</t>
        </is>
      </c>
      <c r="H861" s="68" t="inlineStr">
        <is>
          <t>空调风管(包含保温、吊杆及全部配件）</t>
        </is>
      </c>
      <c r="I861" s="69" t="inlineStr">
        <is>
          <t>1000021996</t>
        </is>
      </c>
      <c r="J861" s="69" t="inlineStr">
        <is>
          <t>新风管连保温及调节阀、防火阀等(橡塑保温材料)</t>
        </is>
      </c>
      <c r="K861" s="70" t="n">
        <v>46.17</v>
      </c>
      <c r="L861" s="70" t="n">
        <v>45.45</v>
      </c>
      <c r="M861" s="71" t="inlineStr">
        <is>
          <t>m2</t>
        </is>
      </c>
      <c r="N861" s="72" t="n">
        <v>205.44</v>
      </c>
      <c r="O861" s="72">
        <f>ROUND(N861*(1+$F$10),2)</f>
        <v/>
      </c>
      <c r="P861" s="73">
        <f>ROUND(K861*N861,2)</f>
        <v/>
      </c>
      <c r="Q861" s="74">
        <f>ROUND(L861*N861,2)</f>
        <v/>
      </c>
      <c r="R861" s="75" t="n"/>
      <c r="S861" s="76" t="n"/>
      <c r="T861" s="77">
        <f>K861-L861</f>
        <v/>
      </c>
      <c r="U861" s="77">
        <f>P861-Q861</f>
        <v/>
      </c>
      <c r="V861" s="77">
        <f>ABS(U861)</f>
        <v/>
      </c>
      <c r="W861" s="78">
        <f>T861/L861</f>
        <v/>
      </c>
      <c r="X861" s="79">
        <f>ABS(W861)</f>
        <v/>
      </c>
      <c r="AG861" s="80" t="inlineStr">
        <is>
          <t>总面积（插件计算）风管</t>
        </is>
      </c>
    </row>
    <row r="862" ht="11.4" customHeight="1">
      <c r="A862" s="67" t="inlineStr">
        <is>
          <t>73</t>
        </is>
      </c>
      <c r="B862" s="67" t="inlineStr">
        <is>
          <t>1071</t>
        </is>
      </c>
      <c r="C862" s="67" t="inlineStr">
        <is>
          <t>1614</t>
        </is>
      </c>
      <c r="D862" s="68" t="inlineStr">
        <is>
          <t>01</t>
        </is>
      </c>
      <c r="E862" s="68" t="inlineStr">
        <is>
          <t>6 物业施工费</t>
        </is>
      </c>
      <c r="F862" s="68" t="inlineStr">
        <is>
          <t>6.1 总承包工程</t>
        </is>
      </c>
      <c r="G862" s="68" t="inlineStr">
        <is>
          <t>6.1.4 空调通风工程</t>
        </is>
      </c>
      <c r="H862" s="68" t="inlineStr">
        <is>
          <t>空调风管(包含保温、吊杆及全部配件）</t>
        </is>
      </c>
      <c r="I862" s="69" t="inlineStr">
        <is>
          <t>1000021997</t>
        </is>
      </c>
      <c r="J862" s="69" t="inlineStr">
        <is>
          <t>排风管</t>
        </is>
      </c>
      <c r="K862" s="70" t="n">
        <v>22.38</v>
      </c>
      <c r="L862" s="70" t="n">
        <v>22.32</v>
      </c>
      <c r="M862" s="71" t="inlineStr">
        <is>
          <t>m2</t>
        </is>
      </c>
      <c r="N862" s="72" t="n">
        <v>156.31</v>
      </c>
      <c r="O862" s="72">
        <f>ROUND(N862*(1+$F$10),2)</f>
        <v/>
      </c>
      <c r="P862" s="73">
        <f>ROUND(K862*N862,2)</f>
        <v/>
      </c>
      <c r="Q862" s="74">
        <f>ROUND(L862*N862,2)</f>
        <v/>
      </c>
      <c r="R862" s="75" t="n"/>
      <c r="S862" s="76" t="n"/>
      <c r="T862" s="77">
        <f>K862-L862</f>
        <v/>
      </c>
      <c r="U862" s="77">
        <f>P862-Q862</f>
        <v/>
      </c>
      <c r="V862" s="77">
        <f>ABS(U862)</f>
        <v/>
      </c>
      <c r="W862" s="78">
        <f>T862/L862</f>
        <v/>
      </c>
      <c r="X862" s="79">
        <f>ABS(W862)</f>
        <v/>
      </c>
      <c r="AG862" s="80" t="inlineStr">
        <is>
          <t>总面积（插件计算）风管</t>
        </is>
      </c>
    </row>
    <row r="863" ht="11.4" customHeight="1">
      <c r="A863" s="67" t="inlineStr">
        <is>
          <t>73</t>
        </is>
      </c>
      <c r="B863" s="67" t="inlineStr">
        <is>
          <t>1071</t>
        </is>
      </c>
      <c r="C863" s="67" t="inlineStr">
        <is>
          <t>1614</t>
        </is>
      </c>
      <c r="D863" s="68" t="inlineStr">
        <is>
          <t>01</t>
        </is>
      </c>
      <c r="E863" s="68" t="inlineStr">
        <is>
          <t>6 物业施工费</t>
        </is>
      </c>
      <c r="F863" s="68" t="inlineStr">
        <is>
          <t>6.1 总承包工程</t>
        </is>
      </c>
      <c r="G863" s="68" t="inlineStr">
        <is>
          <t>6.1.4 空调通风工程</t>
        </is>
      </c>
      <c r="H863" s="68" t="inlineStr">
        <is>
          <t>空调风管(包含保温、吊杆及全部配件）</t>
        </is>
      </c>
      <c r="I863" s="69" t="inlineStr">
        <is>
          <t>1000021998</t>
        </is>
      </c>
      <c r="J863" s="69" t="inlineStr">
        <is>
          <t>130排风软管</t>
        </is>
      </c>
      <c r="K863" s="70" t="n"/>
      <c r="L863" s="70" t="n"/>
      <c r="M863" s="71" t="inlineStr">
        <is>
          <t>米</t>
        </is>
      </c>
      <c r="N863" s="72" t="n">
        <v>93.05</v>
      </c>
      <c r="O863" s="72">
        <f>ROUND(N863*(1+$F$10),2)</f>
        <v/>
      </c>
      <c r="P863" s="73">
        <f>ROUND(K863*N863,2)</f>
        <v/>
      </c>
      <c r="Q863" s="74">
        <f>ROUND(L863*N863,2)</f>
        <v/>
      </c>
      <c r="R863" s="75" t="n"/>
      <c r="S863" s="76" t="n"/>
      <c r="T863" s="77">
        <f>K863-L863</f>
        <v/>
      </c>
      <c r="U863" s="77">
        <f>P863-Q863</f>
        <v/>
      </c>
      <c r="V863" s="77">
        <f>ABS(U863)</f>
        <v/>
      </c>
      <c r="W863" s="78">
        <f>T863/L863</f>
        <v/>
      </c>
      <c r="X863" s="79">
        <f>ABS(W863)</f>
        <v/>
      </c>
      <c r="AH863" s="80" t="inlineStr">
        <is>
          <t>调整</t>
        </is>
      </c>
    </row>
    <row r="864" ht="11.4" customHeight="1">
      <c r="A864" s="67" t="inlineStr">
        <is>
          <t>73</t>
        </is>
      </c>
      <c r="B864" s="67" t="inlineStr">
        <is>
          <t>1071</t>
        </is>
      </c>
      <c r="C864" s="67" t="inlineStr">
        <is>
          <t>1614</t>
        </is>
      </c>
      <c r="D864" s="68" t="inlineStr">
        <is>
          <t>01</t>
        </is>
      </c>
      <c r="E864" s="68" t="inlineStr">
        <is>
          <t>6 物业施工费</t>
        </is>
      </c>
      <c r="F864" s="68" t="inlineStr">
        <is>
          <t>6.1 总承包工程</t>
        </is>
      </c>
      <c r="G864" s="68" t="inlineStr">
        <is>
          <t>6.1.4 空调通风工程</t>
        </is>
      </c>
      <c r="H864" s="68" t="inlineStr">
        <is>
          <t>空调风管(包含保温、吊杆及全部配件）</t>
        </is>
      </c>
      <c r="I864" s="69" t="inlineStr">
        <is>
          <t>1000021999</t>
        </is>
      </c>
      <c r="J864" s="69" t="inlineStr">
        <is>
          <t>350送风软管</t>
        </is>
      </c>
      <c r="K864" s="70" t="n"/>
      <c r="L864" s="70" t="n"/>
      <c r="M864" s="71" t="inlineStr">
        <is>
          <t>米</t>
        </is>
      </c>
      <c r="N864" s="72" t="n">
        <v>205.25</v>
      </c>
      <c r="O864" s="72">
        <f>ROUND(N864*(1+$F$10),2)</f>
        <v/>
      </c>
      <c r="P864" s="73">
        <f>ROUND(K864*N864,2)</f>
        <v/>
      </c>
      <c r="Q864" s="74">
        <f>ROUND(L864*N864,2)</f>
        <v/>
      </c>
      <c r="R864" s="75" t="n"/>
      <c r="S864" s="76" t="n"/>
      <c r="T864" s="77">
        <f>K864-L864</f>
        <v/>
      </c>
      <c r="U864" s="77">
        <f>P864-Q864</f>
        <v/>
      </c>
      <c r="V864" s="77">
        <f>ABS(U864)</f>
        <v/>
      </c>
      <c r="W864" s="78">
        <f>T864/L864</f>
        <v/>
      </c>
      <c r="X864" s="79">
        <f>ABS(W864)</f>
        <v/>
      </c>
      <c r="AH864" s="80" t="inlineStr">
        <is>
          <t>调整</t>
        </is>
      </c>
    </row>
    <row r="865" ht="11.4" customHeight="1">
      <c r="A865" s="67" t="inlineStr">
        <is>
          <t>73</t>
        </is>
      </c>
      <c r="B865" s="67" t="inlineStr">
        <is>
          <t>1071</t>
        </is>
      </c>
      <c r="C865" s="67" t="inlineStr">
        <is>
          <t>1614</t>
        </is>
      </c>
      <c r="D865" s="68" t="inlineStr">
        <is>
          <t>01</t>
        </is>
      </c>
      <c r="E865" s="68" t="inlineStr">
        <is>
          <t>6 物业施工费</t>
        </is>
      </c>
      <c r="F865" s="68" t="inlineStr">
        <is>
          <t>6.1 总承包工程</t>
        </is>
      </c>
      <c r="G865" s="68" t="inlineStr">
        <is>
          <t>6.1.4 空调通风工程</t>
        </is>
      </c>
      <c r="H865" s="68" t="inlineStr">
        <is>
          <t>空调风管(包含保温、吊杆及全部配件）</t>
        </is>
      </c>
      <c r="I865" s="69" t="inlineStr">
        <is>
          <t>1000022000</t>
        </is>
      </c>
      <c r="J865" s="69" t="inlineStr">
        <is>
          <t>2mm厚钢板排油烟管</t>
        </is>
      </c>
      <c r="K865" s="70" t="n">
        <v>21.45</v>
      </c>
      <c r="L865" s="70" t="n">
        <v>20.68</v>
      </c>
      <c r="M865" s="71" t="inlineStr">
        <is>
          <t>m2</t>
        </is>
      </c>
      <c r="N865" s="72" t="n">
        <v>219.44</v>
      </c>
      <c r="O865" s="72">
        <f>ROUND(N865*(1+$F$10),2)</f>
        <v/>
      </c>
      <c r="P865" s="73">
        <f>ROUND(K865*N865,2)</f>
        <v/>
      </c>
      <c r="Q865" s="74">
        <f>ROUND(L865*N865,2)</f>
        <v/>
      </c>
      <c r="R865" s="75" t="n"/>
      <c r="S865" s="76" t="n"/>
      <c r="T865" s="77">
        <f>K865-L865</f>
        <v/>
      </c>
      <c r="U865" s="77">
        <f>P865-Q865</f>
        <v/>
      </c>
      <c r="V865" s="77">
        <f>ABS(U865)</f>
        <v/>
      </c>
      <c r="W865" s="78">
        <f>T865/L865</f>
        <v/>
      </c>
      <c r="X865" s="79">
        <f>ABS(W865)</f>
        <v/>
      </c>
      <c r="AG865" s="80" t="inlineStr">
        <is>
          <t>总面积（插件计算）风管</t>
        </is>
      </c>
    </row>
    <row r="866" ht="11.4" customHeight="1">
      <c r="A866" s="67" t="inlineStr">
        <is>
          <t>73</t>
        </is>
      </c>
      <c r="B866" s="67" t="inlineStr">
        <is>
          <t>1071</t>
        </is>
      </c>
      <c r="C866" s="67" t="inlineStr">
        <is>
          <t>1614</t>
        </is>
      </c>
      <c r="D866" s="68" t="inlineStr">
        <is>
          <t>01</t>
        </is>
      </c>
      <c r="E866" s="68" t="inlineStr">
        <is>
          <t>6 物业施工费</t>
        </is>
      </c>
      <c r="F866" s="68" t="inlineStr">
        <is>
          <t>6.1 总承包工程</t>
        </is>
      </c>
      <c r="G866" s="68" t="inlineStr">
        <is>
          <t>6.1.4 空调通风工程</t>
        </is>
      </c>
      <c r="H866" s="68" t="inlineStr">
        <is>
          <t>空调风管(包含保温、吊杆及全部配件）</t>
        </is>
      </c>
      <c r="I866" s="69" t="inlineStr">
        <is>
          <t>1000022002</t>
        </is>
      </c>
      <c r="J866" s="69" t="inlineStr">
        <is>
          <t>不锈钢排油烟管</t>
        </is>
      </c>
      <c r="K866" s="70" t="n"/>
      <c r="L866" s="70" t="n"/>
      <c r="M866" s="71" t="inlineStr">
        <is>
          <t>m2</t>
        </is>
      </c>
      <c r="N866" s="72" t="n">
        <v>365.36</v>
      </c>
      <c r="O866" s="72">
        <f>ROUND(N866*(1+$F$10),2)</f>
        <v/>
      </c>
      <c r="P866" s="73">
        <f>ROUND(K866*N866,2)</f>
        <v/>
      </c>
      <c r="Q866" s="74">
        <f>ROUND(L866*N866,2)</f>
        <v/>
      </c>
      <c r="R866" s="75" t="n"/>
      <c r="S866" s="76" t="n"/>
      <c r="T866" s="77">
        <f>K866-L866</f>
        <v/>
      </c>
      <c r="U866" s="77">
        <f>P866-Q866</f>
        <v/>
      </c>
      <c r="V866" s="77">
        <f>ABS(U866)</f>
        <v/>
      </c>
      <c r="W866" s="78">
        <f>T866/L866</f>
        <v/>
      </c>
      <c r="X866" s="79">
        <f>ABS(W866)</f>
        <v/>
      </c>
      <c r="AG866" s="80" t="inlineStr">
        <is>
          <t>总面积（插件计算）风管</t>
        </is>
      </c>
    </row>
    <row r="867" ht="11.4" customHeight="1">
      <c r="A867" s="67" t="inlineStr">
        <is>
          <t>73</t>
        </is>
      </c>
      <c r="B867" s="67" t="inlineStr">
        <is>
          <t>1071</t>
        </is>
      </c>
      <c r="C867" s="67" t="inlineStr">
        <is>
          <t>1614</t>
        </is>
      </c>
      <c r="D867" s="68" t="inlineStr">
        <is>
          <t>01</t>
        </is>
      </c>
      <c r="E867" s="68" t="inlineStr">
        <is>
          <t>6 物业施工费</t>
        </is>
      </c>
      <c r="F867" s="68" t="inlineStr">
        <is>
          <t>6.1 总承包工程</t>
        </is>
      </c>
      <c r="G867" s="68" t="inlineStr">
        <is>
          <t>6.1.4 空调通风工程</t>
        </is>
      </c>
      <c r="H867" s="68" t="inlineStr">
        <is>
          <t>空调风管(包含保温、吊杆及全部配件）</t>
        </is>
      </c>
      <c r="I867" s="69" t="inlineStr">
        <is>
          <t>1000022001</t>
        </is>
      </c>
      <c r="J867" s="69" t="inlineStr">
        <is>
          <t>2mm钢板油烟排放稀释袖套</t>
        </is>
      </c>
      <c r="K867" s="70" t="n"/>
      <c r="L867" s="70" t="n"/>
      <c r="M867" s="71" t="inlineStr">
        <is>
          <t>只</t>
        </is>
      </c>
      <c r="N867" s="72" t="n">
        <v>832.04</v>
      </c>
      <c r="O867" s="72">
        <f>ROUND(N867*(1+$F$10),2)</f>
        <v/>
      </c>
      <c r="P867" s="73">
        <f>ROUND(K867*N867,2)</f>
        <v/>
      </c>
      <c r="Q867" s="74">
        <f>ROUND(L867*N867,2)</f>
        <v/>
      </c>
      <c r="R867" s="75" t="n"/>
      <c r="S867" s="76" t="n"/>
      <c r="T867" s="77">
        <f>K867-L867</f>
        <v/>
      </c>
      <c r="U867" s="77">
        <f>P867-Q867</f>
        <v/>
      </c>
      <c r="V867" s="77">
        <f>ABS(U867)</f>
        <v/>
      </c>
      <c r="W867" s="78">
        <f>T867/L867</f>
        <v/>
      </c>
      <c r="X867" s="79">
        <f>ABS(W867)</f>
        <v/>
      </c>
      <c r="AH867" s="80" t="inlineStr">
        <is>
          <t>待定</t>
        </is>
      </c>
    </row>
    <row r="868" ht="11.4" customHeight="1">
      <c r="A868" s="67" t="inlineStr">
        <is>
          <t>73</t>
        </is>
      </c>
      <c r="B868" s="67" t="inlineStr">
        <is>
          <t>1071</t>
        </is>
      </c>
      <c r="C868" s="67" t="inlineStr">
        <is>
          <t>1614</t>
        </is>
      </c>
      <c r="D868" s="68" t="inlineStr">
        <is>
          <t>01</t>
        </is>
      </c>
      <c r="E868" s="68" t="inlineStr">
        <is>
          <t>6 物业施工费</t>
        </is>
      </c>
      <c r="F868" s="68" t="inlineStr">
        <is>
          <t>6.1 总承包工程</t>
        </is>
      </c>
      <c r="G868" s="68" t="inlineStr">
        <is>
          <t>6.1.4 空调通风工程</t>
        </is>
      </c>
      <c r="H868" s="68" t="inlineStr">
        <is>
          <t>空调风管(包含保温、吊杆及全部配件）</t>
        </is>
      </c>
      <c r="I868" s="69" t="inlineStr">
        <is>
          <t>1000022003</t>
        </is>
      </c>
      <c r="J868" s="69" t="inlineStr">
        <is>
          <t>回风箱1800mm</t>
        </is>
      </c>
      <c r="K868" s="70" t="n"/>
      <c r="L868" s="70" t="n"/>
      <c r="M868" s="71" t="inlineStr">
        <is>
          <t>只</t>
        </is>
      </c>
      <c r="N868" s="72" t="n">
        <v>1691.55</v>
      </c>
      <c r="O868" s="72">
        <f>ROUND(N868*(1+$F$10),2)</f>
        <v/>
      </c>
      <c r="P868" s="73">
        <f>ROUND(K868*N868,2)</f>
        <v/>
      </c>
      <c r="Q868" s="74">
        <f>ROUND(L868*N868,2)</f>
        <v/>
      </c>
      <c r="R868" s="75" t="n"/>
      <c r="S868" s="76" t="n"/>
      <c r="T868" s="77">
        <f>K868-L868</f>
        <v/>
      </c>
      <c r="U868" s="77">
        <f>P868-Q868</f>
        <v/>
      </c>
      <c r="V868" s="77">
        <f>ABS(U868)</f>
        <v/>
      </c>
      <c r="W868" s="78">
        <f>T868/L868</f>
        <v/>
      </c>
      <c r="X868" s="79">
        <f>ABS(W868)</f>
        <v/>
      </c>
      <c r="AG868" s="80" t="inlineStr">
        <is>
          <t>个数</t>
        </is>
      </c>
    </row>
    <row r="869" ht="11.4" customHeight="1">
      <c r="A869" s="67" t="inlineStr">
        <is>
          <t>73</t>
        </is>
      </c>
      <c r="B869" s="67" t="inlineStr">
        <is>
          <t>1071</t>
        </is>
      </c>
      <c r="C869" s="67" t="inlineStr">
        <is>
          <t>1614</t>
        </is>
      </c>
      <c r="D869" s="68" t="inlineStr">
        <is>
          <t>01</t>
        </is>
      </c>
      <c r="E869" s="68" t="inlineStr">
        <is>
          <t>6 物业施工费</t>
        </is>
      </c>
      <c r="F869" s="68" t="inlineStr">
        <is>
          <t>6.1 总承包工程</t>
        </is>
      </c>
      <c r="G869" s="68" t="inlineStr">
        <is>
          <t>6.1.4 空调通风工程</t>
        </is>
      </c>
      <c r="H869" s="68" t="inlineStr">
        <is>
          <t>空调风管(包含保温、吊杆及全部配件）</t>
        </is>
      </c>
      <c r="I869" s="69" t="inlineStr">
        <is>
          <t>1000022004</t>
        </is>
      </c>
      <c r="J869" s="69" t="inlineStr">
        <is>
          <t>回风箱1200mm</t>
        </is>
      </c>
      <c r="K869" s="70" t="n">
        <v>4</v>
      </c>
      <c r="L869" s="70" t="n">
        <v>4</v>
      </c>
      <c r="M869" s="71" t="inlineStr">
        <is>
          <t>只</t>
        </is>
      </c>
      <c r="N869" s="72" t="n">
        <v>1315.9</v>
      </c>
      <c r="O869" s="72">
        <f>ROUND(N869*(1+$F$10),2)</f>
        <v/>
      </c>
      <c r="P869" s="73">
        <f>ROUND(K869*N869,2)</f>
        <v/>
      </c>
      <c r="Q869" s="74">
        <f>ROUND(L869*N869,2)</f>
        <v/>
      </c>
      <c r="R869" s="75" t="n"/>
      <c r="S869" s="76" t="n"/>
      <c r="T869" s="77">
        <f>K869-L869</f>
        <v/>
      </c>
      <c r="U869" s="77">
        <f>P869-Q869</f>
        <v/>
      </c>
      <c r="V869" s="77">
        <f>ABS(U869)</f>
        <v/>
      </c>
      <c r="W869" s="78">
        <f>T869/L869</f>
        <v/>
      </c>
      <c r="X869" s="79">
        <f>ABS(W869)</f>
        <v/>
      </c>
      <c r="AG869" s="80" t="inlineStr">
        <is>
          <t>个数</t>
        </is>
      </c>
    </row>
    <row r="870" ht="11.4" customHeight="1">
      <c r="A870" s="67" t="inlineStr">
        <is>
          <t>73</t>
        </is>
      </c>
      <c r="B870" s="67" t="inlineStr">
        <is>
          <t>1071</t>
        </is>
      </c>
      <c r="C870" s="67" t="inlineStr">
        <is>
          <t>1614</t>
        </is>
      </c>
      <c r="D870" s="68" t="inlineStr">
        <is>
          <t>01</t>
        </is>
      </c>
      <c r="E870" s="68" t="inlineStr">
        <is>
          <t>6 物业施工费</t>
        </is>
      </c>
      <c r="F870" s="68" t="inlineStr">
        <is>
          <t>6.1 总承包工程</t>
        </is>
      </c>
      <c r="G870" s="68" t="inlineStr">
        <is>
          <t>6.1.4 空调通风工程</t>
        </is>
      </c>
      <c r="H870" s="68" t="inlineStr">
        <is>
          <t>空调风管(包含保温、吊杆及全部配件）</t>
        </is>
      </c>
      <c r="I870" s="69" t="inlineStr">
        <is>
          <t>1000022005</t>
        </is>
      </c>
      <c r="J870" s="69" t="inlineStr">
        <is>
          <t>回风箱600mm</t>
        </is>
      </c>
      <c r="K870" s="70" t="n"/>
      <c r="L870" s="70" t="n"/>
      <c r="M870" s="71" t="inlineStr">
        <is>
          <t>只</t>
        </is>
      </c>
      <c r="N870" s="72" t="n">
        <v>969.96</v>
      </c>
      <c r="O870" s="72">
        <f>ROUND(N870*(1+$F$10),2)</f>
        <v/>
      </c>
      <c r="P870" s="73">
        <f>ROUND(K870*N870,2)</f>
        <v/>
      </c>
      <c r="Q870" s="74">
        <f>ROUND(L870*N870,2)</f>
        <v/>
      </c>
      <c r="R870" s="75" t="n"/>
      <c r="S870" s="76" t="n"/>
      <c r="T870" s="77">
        <f>K870-L870</f>
        <v/>
      </c>
      <c r="U870" s="77">
        <f>P870-Q870</f>
        <v/>
      </c>
      <c r="V870" s="77">
        <f>ABS(U870)</f>
        <v/>
      </c>
      <c r="W870" s="78">
        <f>T870/L870</f>
        <v/>
      </c>
      <c r="X870" s="79">
        <f>ABS(W870)</f>
        <v/>
      </c>
      <c r="AG870" s="80" t="inlineStr">
        <is>
          <t>个数</t>
        </is>
      </c>
    </row>
    <row r="871" ht="11.4" customHeight="1">
      <c r="A871" s="67" t="inlineStr">
        <is>
          <t>73</t>
        </is>
      </c>
      <c r="B871" s="67" t="inlineStr">
        <is>
          <t>1071</t>
        </is>
      </c>
      <c r="C871" s="67" t="inlineStr">
        <is>
          <t>1614</t>
        </is>
      </c>
      <c r="D871" s="68" t="inlineStr">
        <is>
          <t>01</t>
        </is>
      </c>
      <c r="E871" s="68" t="inlineStr">
        <is>
          <t>6 物业施工费</t>
        </is>
      </c>
      <c r="F871" s="68" t="inlineStr">
        <is>
          <t>6.1 总承包工程</t>
        </is>
      </c>
      <c r="G871" s="68" t="inlineStr">
        <is>
          <t>6.1.4 空调通风工程</t>
        </is>
      </c>
      <c r="H871" s="68" t="inlineStr">
        <is>
          <t>空调风管(包含保温、吊杆及全部配件）</t>
        </is>
      </c>
      <c r="I871" s="69" t="inlineStr">
        <is>
          <t>1000022006</t>
        </is>
      </c>
      <c r="J871" s="69" t="inlineStr">
        <is>
          <t>静压箱</t>
        </is>
      </c>
      <c r="K871" s="70" t="n"/>
      <c r="L871" s="70" t="n"/>
      <c r="M871" s="71" t="inlineStr">
        <is>
          <t>只</t>
        </is>
      </c>
      <c r="N871" s="72" t="n">
        <v>1692.65</v>
      </c>
      <c r="O871" s="72">
        <f>ROUND(N871*(1+$F$10),2)</f>
        <v/>
      </c>
      <c r="P871" s="73">
        <f>ROUND(K871*N871,2)</f>
        <v/>
      </c>
      <c r="Q871" s="74">
        <f>ROUND(L871*N871,2)</f>
        <v/>
      </c>
      <c r="R871" s="75" t="n"/>
      <c r="S871" s="76" t="n"/>
      <c r="T871" s="77">
        <f>K871-L871</f>
        <v/>
      </c>
      <c r="U871" s="77">
        <f>P871-Q871</f>
        <v/>
      </c>
      <c r="V871" s="77">
        <f>ABS(U871)</f>
        <v/>
      </c>
      <c r="W871" s="78">
        <f>T871/L871</f>
        <v/>
      </c>
      <c r="X871" s="79">
        <f>ABS(W871)</f>
        <v/>
      </c>
      <c r="AH871" s="6" t="inlineStr">
        <is>
          <t>调整</t>
        </is>
      </c>
    </row>
    <row r="872" ht="11.4" customHeight="1">
      <c r="A872" s="67" t="inlineStr">
        <is>
          <t>73</t>
        </is>
      </c>
      <c r="B872" s="67" t="inlineStr">
        <is>
          <t>1071</t>
        </is>
      </c>
      <c r="C872" s="67" t="inlineStr">
        <is>
          <t>1614</t>
        </is>
      </c>
      <c r="D872" s="68" t="inlineStr">
        <is>
          <t>01</t>
        </is>
      </c>
      <c r="E872" s="68" t="inlineStr">
        <is>
          <t>6 物业施工费</t>
        </is>
      </c>
      <c r="F872" s="68" t="inlineStr">
        <is>
          <t>6.1 总承包工程</t>
        </is>
      </c>
      <c r="G872" s="68" t="inlineStr">
        <is>
          <t>6.1.4 空调通风工程</t>
        </is>
      </c>
      <c r="H872" s="68" t="inlineStr">
        <is>
          <t>空调风管(包含保温、吊杆及全部配件）</t>
        </is>
      </c>
      <c r="I872" s="69" t="inlineStr">
        <is>
          <t>1000051719</t>
        </is>
      </c>
      <c r="J872" s="69" t="inlineStr">
        <is>
          <t>条形风口静压箱</t>
        </is>
      </c>
      <c r="K872" s="70" t="n"/>
      <c r="L872" s="70" t="n"/>
      <c r="M872" s="71" t="inlineStr">
        <is>
          <t>个</t>
        </is>
      </c>
      <c r="N872" s="72" t="n">
        <v>350</v>
      </c>
      <c r="O872" s="72">
        <f>ROUND(N872*(1+$F$10),2)</f>
        <v/>
      </c>
      <c r="P872" s="73">
        <f>ROUND(K872*N872,2)</f>
        <v/>
      </c>
      <c r="Q872" s="74">
        <f>ROUND(L872*N872,2)</f>
        <v/>
      </c>
      <c r="R872" s="75" t="n"/>
      <c r="S872" s="76" t="n"/>
      <c r="T872" s="77">
        <f>K872-L872</f>
        <v/>
      </c>
      <c r="U872" s="77">
        <f>P872-Q872</f>
        <v/>
      </c>
      <c r="V872" s="77">
        <f>ABS(U872)</f>
        <v/>
      </c>
      <c r="W872" s="78">
        <f>T872/L872</f>
        <v/>
      </c>
      <c r="X872" s="79">
        <f>ABS(W872)</f>
        <v/>
      </c>
      <c r="AH872" s="80" t="inlineStr">
        <is>
          <t>调整</t>
        </is>
      </c>
    </row>
    <row r="873" ht="11.4" customHeight="1">
      <c r="A873" s="67" t="inlineStr">
        <is>
          <t>73</t>
        </is>
      </c>
      <c r="B873" s="67" t="inlineStr">
        <is>
          <t>1071</t>
        </is>
      </c>
      <c r="C873" s="67" t="inlineStr">
        <is>
          <t>1614</t>
        </is>
      </c>
      <c r="D873" s="68" t="inlineStr">
        <is>
          <t>01</t>
        </is>
      </c>
      <c r="E873" s="68" t="inlineStr">
        <is>
          <t>6 物业施工费</t>
        </is>
      </c>
      <c r="F873" s="68" t="inlineStr">
        <is>
          <t>6.1 总承包工程</t>
        </is>
      </c>
      <c r="G873" s="68" t="inlineStr">
        <is>
          <t>6.1.4 空调通风工程</t>
        </is>
      </c>
      <c r="H873" s="68" t="inlineStr">
        <is>
          <t>空调冷媒管(含保温、吊杆）</t>
        </is>
      </c>
      <c r="I873" s="69" t="inlineStr">
        <is>
          <t>1000022007</t>
        </is>
      </c>
      <c r="J873" s="69" t="inlineStr">
        <is>
          <t>连接25匹分体空调内、外机的一对(两根)冷媒管</t>
        </is>
      </c>
      <c r="K873" s="70" t="n"/>
      <c r="L873" s="70" t="n"/>
      <c r="M873" s="71" t="inlineStr">
        <is>
          <t>米</t>
        </is>
      </c>
      <c r="N873" s="72" t="n">
        <v>230.44</v>
      </c>
      <c r="O873" s="72">
        <f>ROUND(N873*(1+$F$10),2)</f>
        <v/>
      </c>
      <c r="P873" s="73">
        <f>ROUND(K873*N873,2)</f>
        <v/>
      </c>
      <c r="Q873" s="74">
        <f>ROUND(L873*N873,2)</f>
        <v/>
      </c>
      <c r="R873" s="75" t="n"/>
      <c r="S873" s="76" t="n"/>
      <c r="T873" s="77">
        <f>K873-L873</f>
        <v/>
      </c>
      <c r="U873" s="77">
        <f>P873-Q873</f>
        <v/>
      </c>
      <c r="V873" s="77">
        <f>ABS(U873)</f>
        <v/>
      </c>
      <c r="W873" s="78">
        <f>T873/L873</f>
        <v/>
      </c>
      <c r="X873" s="79">
        <f>ABS(W873)</f>
        <v/>
      </c>
      <c r="AH873" s="6" t="inlineStr">
        <is>
          <t>技术原因暂无解决方案</t>
        </is>
      </c>
    </row>
    <row r="874" ht="11.4" customHeight="1">
      <c r="A874" s="67" t="inlineStr">
        <is>
          <t>73</t>
        </is>
      </c>
      <c r="B874" s="67" t="inlineStr">
        <is>
          <t>1071</t>
        </is>
      </c>
      <c r="C874" s="67" t="inlineStr">
        <is>
          <t>1614</t>
        </is>
      </c>
      <c r="D874" s="68" t="inlineStr">
        <is>
          <t>01</t>
        </is>
      </c>
      <c r="E874" s="68" t="inlineStr">
        <is>
          <t>6 物业施工费</t>
        </is>
      </c>
      <c r="F874" s="68" t="inlineStr">
        <is>
          <t>6.1 总承包工程</t>
        </is>
      </c>
      <c r="G874" s="68" t="inlineStr">
        <is>
          <t>6.1.4 空调通风工程</t>
        </is>
      </c>
      <c r="H874" s="68" t="inlineStr">
        <is>
          <t>空调冷媒管(含保温、吊杆）</t>
        </is>
      </c>
      <c r="I874" s="69" t="inlineStr">
        <is>
          <t>1000022008</t>
        </is>
      </c>
      <c r="J874" s="88" t="inlineStr">
        <is>
          <t>连接15 - 20匹分体空调内、外机的一对(两根)冷媒管</t>
        </is>
      </c>
      <c r="K874" s="86">
        <f>L874</f>
        <v/>
      </c>
      <c r="L874" s="70" t="n">
        <v>15.93</v>
      </c>
      <c r="M874" s="71" t="inlineStr">
        <is>
          <t>米</t>
        </is>
      </c>
      <c r="N874" s="72" t="n">
        <v>199.42</v>
      </c>
      <c r="O874" s="72">
        <f>ROUND(N874*(1+$F$10),2)</f>
        <v/>
      </c>
      <c r="P874" s="73">
        <f>ROUND(K874*N874,2)</f>
        <v/>
      </c>
      <c r="Q874" s="74">
        <f>ROUND(L874*N874,2)</f>
        <v/>
      </c>
      <c r="R874" s="75" t="n"/>
      <c r="S874" s="76" t="n"/>
      <c r="T874" s="77">
        <f>K874-L874</f>
        <v/>
      </c>
      <c r="U874" s="77">
        <f>P874-Q874</f>
        <v/>
      </c>
      <c r="V874" s="77">
        <f>ABS(U874)</f>
        <v/>
      </c>
      <c r="W874" s="78">
        <f>T874/L874</f>
        <v/>
      </c>
      <c r="X874" s="79">
        <f>ABS(W874)</f>
        <v/>
      </c>
      <c r="Y874" s="87" t="inlineStr">
        <is>
          <t>技术原因</t>
        </is>
      </c>
    </row>
    <row r="875" ht="11.4" customHeight="1">
      <c r="A875" s="67" t="inlineStr">
        <is>
          <t>73</t>
        </is>
      </c>
      <c r="B875" s="67" t="inlineStr">
        <is>
          <t>1071</t>
        </is>
      </c>
      <c r="C875" s="67" t="inlineStr">
        <is>
          <t>1614</t>
        </is>
      </c>
      <c r="D875" s="68" t="inlineStr">
        <is>
          <t>01</t>
        </is>
      </c>
      <c r="E875" s="68" t="inlineStr">
        <is>
          <t>6 物业施工费</t>
        </is>
      </c>
      <c r="F875" s="68" t="inlineStr">
        <is>
          <t>6.1 总承包工程</t>
        </is>
      </c>
      <c r="G875" s="68" t="inlineStr">
        <is>
          <t>6.1.4 空调通风工程</t>
        </is>
      </c>
      <c r="H875" s="68" t="inlineStr">
        <is>
          <t>空调冷媒管(含保温、吊杆）</t>
        </is>
      </c>
      <c r="I875" s="69" t="inlineStr">
        <is>
          <t>1000022009</t>
        </is>
      </c>
      <c r="J875" s="88" t="inlineStr">
        <is>
          <t>连接8 - 12.5匹空调内、外机的一对(两根)冷媒管</t>
        </is>
      </c>
      <c r="K875" s="86">
        <f>L875</f>
        <v/>
      </c>
      <c r="L875" s="70" t="n">
        <v>31</v>
      </c>
      <c r="M875" s="71" t="inlineStr">
        <is>
          <t>米</t>
        </is>
      </c>
      <c r="N875" s="72" t="n">
        <v>187.87</v>
      </c>
      <c r="O875" s="72">
        <f>ROUND(N875*(1+$F$10),2)</f>
        <v/>
      </c>
      <c r="P875" s="73">
        <f>ROUND(K875*N875,2)</f>
        <v/>
      </c>
      <c r="Q875" s="74">
        <f>ROUND(L875*N875,2)</f>
        <v/>
      </c>
      <c r="R875" s="75" t="n"/>
      <c r="S875" s="76" t="n"/>
      <c r="T875" s="77">
        <f>K875-L875</f>
        <v/>
      </c>
      <c r="U875" s="77">
        <f>P875-Q875</f>
        <v/>
      </c>
      <c r="V875" s="77">
        <f>ABS(U875)</f>
        <v/>
      </c>
      <c r="W875" s="78">
        <f>T875/L875</f>
        <v/>
      </c>
      <c r="X875" s="79">
        <f>ABS(W875)</f>
        <v/>
      </c>
      <c r="Y875" s="87" t="inlineStr">
        <is>
          <t>技术原因</t>
        </is>
      </c>
    </row>
    <row r="876" ht="11.4" customHeight="1">
      <c r="A876" s="67" t="inlineStr">
        <is>
          <t>73</t>
        </is>
      </c>
      <c r="B876" s="67" t="inlineStr">
        <is>
          <t>1071</t>
        </is>
      </c>
      <c r="C876" s="67" t="inlineStr">
        <is>
          <t>1614</t>
        </is>
      </c>
      <c r="D876" s="68" t="inlineStr">
        <is>
          <t>01</t>
        </is>
      </c>
      <c r="E876" s="68" t="inlineStr">
        <is>
          <t>6 物业施工费</t>
        </is>
      </c>
      <c r="F876" s="68" t="inlineStr">
        <is>
          <t>6.1 总承包工程</t>
        </is>
      </c>
      <c r="G876" s="68" t="inlineStr">
        <is>
          <t>6.1.4 空调通风工程</t>
        </is>
      </c>
      <c r="H876" s="68" t="inlineStr">
        <is>
          <t>空调冷媒管(含保温、吊杆）</t>
        </is>
      </c>
      <c r="I876" s="69" t="inlineStr">
        <is>
          <t>1000022010</t>
        </is>
      </c>
      <c r="J876" s="69" t="inlineStr">
        <is>
          <t>连接7匹空调内、外机的一对(两根)冷媒管</t>
        </is>
      </c>
      <c r="K876" s="70" t="n"/>
      <c r="L876" s="70" t="n"/>
      <c r="M876" s="71" t="inlineStr">
        <is>
          <t>米</t>
        </is>
      </c>
      <c r="N876" s="72" t="n">
        <v>175.55</v>
      </c>
      <c r="O876" s="72">
        <f>ROUND(N876*(1+$F$10),2)</f>
        <v/>
      </c>
      <c r="P876" s="73">
        <f>ROUND(K876*N876,2)</f>
        <v/>
      </c>
      <c r="Q876" s="74">
        <f>ROUND(L876*N876,2)</f>
        <v/>
      </c>
      <c r="R876" s="75" t="n"/>
      <c r="S876" s="76" t="n"/>
      <c r="T876" s="77">
        <f>K876-L876</f>
        <v/>
      </c>
      <c r="U876" s="77">
        <f>P876-Q876</f>
        <v/>
      </c>
      <c r="V876" s="77">
        <f>ABS(U876)</f>
        <v/>
      </c>
      <c r="W876" s="78">
        <f>T876/L876</f>
        <v/>
      </c>
      <c r="X876" s="79">
        <f>ABS(W876)</f>
        <v/>
      </c>
      <c r="AH876" s="6" t="inlineStr">
        <is>
          <t>技术原因暂无解决方案</t>
        </is>
      </c>
    </row>
    <row r="877" ht="11.4" customHeight="1">
      <c r="A877" s="67" t="inlineStr">
        <is>
          <t>73</t>
        </is>
      </c>
      <c r="B877" s="67" t="inlineStr">
        <is>
          <t>1071</t>
        </is>
      </c>
      <c r="C877" s="67" t="inlineStr">
        <is>
          <t>1614</t>
        </is>
      </c>
      <c r="D877" s="68" t="inlineStr">
        <is>
          <t>01</t>
        </is>
      </c>
      <c r="E877" s="68" t="inlineStr">
        <is>
          <t>6 物业施工费</t>
        </is>
      </c>
      <c r="F877" s="68" t="inlineStr">
        <is>
          <t>6.1 总承包工程</t>
        </is>
      </c>
      <c r="G877" s="68" t="inlineStr">
        <is>
          <t>6.1.4 空调通风工程</t>
        </is>
      </c>
      <c r="H877" s="68" t="inlineStr">
        <is>
          <t>空调冷媒管(含保温、吊杆）</t>
        </is>
      </c>
      <c r="I877" s="69" t="inlineStr">
        <is>
          <t>1000022011</t>
        </is>
      </c>
      <c r="J877" s="88" t="inlineStr">
        <is>
          <t>连接5 - 6匹空调内、外机的一对(两根)冷媒管</t>
        </is>
      </c>
      <c r="K877" s="86">
        <f>L877</f>
        <v/>
      </c>
      <c r="L877" s="70" t="n">
        <v>16.25</v>
      </c>
      <c r="M877" s="71" t="inlineStr">
        <is>
          <t>米</t>
        </is>
      </c>
      <c r="N877" s="72" t="n">
        <v>156.85</v>
      </c>
      <c r="O877" s="72">
        <f>ROUND(N877*(1+$F$10),2)</f>
        <v/>
      </c>
      <c r="P877" s="73">
        <f>ROUND(K877*N877,2)</f>
        <v/>
      </c>
      <c r="Q877" s="74">
        <f>ROUND(L877*N877,2)</f>
        <v/>
      </c>
      <c r="R877" s="75" t="n"/>
      <c r="S877" s="76" t="n"/>
      <c r="T877" s="77">
        <f>K877-L877</f>
        <v/>
      </c>
      <c r="U877" s="77">
        <f>P877-Q877</f>
        <v/>
      </c>
      <c r="V877" s="77">
        <f>ABS(U877)</f>
        <v/>
      </c>
      <c r="W877" s="78">
        <f>T877/L877</f>
        <v/>
      </c>
      <c r="X877" s="79">
        <f>ABS(W877)</f>
        <v/>
      </c>
      <c r="Y877" s="87" t="inlineStr">
        <is>
          <t>技术原因</t>
        </is>
      </c>
    </row>
    <row r="878" ht="11.4" customHeight="1">
      <c r="A878" s="67" t="inlineStr">
        <is>
          <t>73</t>
        </is>
      </c>
      <c r="B878" s="67" t="inlineStr">
        <is>
          <t>1071</t>
        </is>
      </c>
      <c r="C878" s="67" t="inlineStr">
        <is>
          <t>1614</t>
        </is>
      </c>
      <c r="D878" s="68" t="inlineStr">
        <is>
          <t>01</t>
        </is>
      </c>
      <c r="E878" s="68" t="inlineStr">
        <is>
          <t>6 物业施工费</t>
        </is>
      </c>
      <c r="F878" s="68" t="inlineStr">
        <is>
          <t>6.1 总承包工程</t>
        </is>
      </c>
      <c r="G878" s="68" t="inlineStr">
        <is>
          <t>6.1.4 空调通风工程</t>
        </is>
      </c>
      <c r="H878" s="68" t="inlineStr">
        <is>
          <t>空调冷媒管(含保温、吊杆）</t>
        </is>
      </c>
      <c r="I878" s="69" t="inlineStr">
        <is>
          <t>1000022012</t>
        </is>
      </c>
      <c r="J878" s="69" t="inlineStr">
        <is>
          <t>连接3匹空调内、外机的一对(两根)冷媒管</t>
        </is>
      </c>
      <c r="K878" s="70" t="n"/>
      <c r="L878" s="70" t="n"/>
      <c r="M878" s="71" t="inlineStr">
        <is>
          <t>米</t>
        </is>
      </c>
      <c r="N878" s="72" t="n">
        <v>122.2</v>
      </c>
      <c r="O878" s="72">
        <f>ROUND(N878*(1+$F$10),2)</f>
        <v/>
      </c>
      <c r="P878" s="73">
        <f>ROUND(K878*N878,2)</f>
        <v/>
      </c>
      <c r="Q878" s="74">
        <f>ROUND(L878*N878,2)</f>
        <v/>
      </c>
      <c r="R878" s="75" t="n"/>
      <c r="S878" s="76" t="n"/>
      <c r="T878" s="77">
        <f>K878-L878</f>
        <v/>
      </c>
      <c r="U878" s="77">
        <f>P878-Q878</f>
        <v/>
      </c>
      <c r="V878" s="77">
        <f>ABS(U878)</f>
        <v/>
      </c>
      <c r="W878" s="78">
        <f>T878/L878</f>
        <v/>
      </c>
      <c r="X878" s="79">
        <f>ABS(W878)</f>
        <v/>
      </c>
      <c r="AH878" s="6" t="inlineStr">
        <is>
          <t>技术原因暂无解决方案</t>
        </is>
      </c>
    </row>
    <row r="879" ht="11.4" customHeight="1">
      <c r="A879" s="67" t="inlineStr">
        <is>
          <t>73</t>
        </is>
      </c>
      <c r="B879" s="67" t="inlineStr">
        <is>
          <t>1071</t>
        </is>
      </c>
      <c r="C879" s="67" t="inlineStr">
        <is>
          <t>1614</t>
        </is>
      </c>
      <c r="D879" s="68" t="inlineStr">
        <is>
          <t>01</t>
        </is>
      </c>
      <c r="E879" s="68" t="inlineStr">
        <is>
          <t>6 物业施工费</t>
        </is>
      </c>
      <c r="F879" s="68" t="inlineStr">
        <is>
          <t>6.1 总承包工程</t>
        </is>
      </c>
      <c r="G879" s="68" t="inlineStr">
        <is>
          <t>6.1.4 空调通风工程</t>
        </is>
      </c>
      <c r="H879" s="68" t="inlineStr">
        <is>
          <t>空调冷媒管(含保温、吊杆）</t>
        </is>
      </c>
      <c r="I879" s="69" t="inlineStr">
        <is>
          <t>1000022013</t>
        </is>
      </c>
      <c r="J879" s="69" t="inlineStr">
        <is>
          <t>屋面冷媒铜管保护槽</t>
        </is>
      </c>
      <c r="K879" s="70" t="n">
        <v>1</v>
      </c>
      <c r="L879" s="70" t="n">
        <v>1</v>
      </c>
      <c r="M879" s="71" t="inlineStr">
        <is>
          <t>项</t>
        </is>
      </c>
      <c r="N879" s="72" t="n">
        <v>4616.45</v>
      </c>
      <c r="O879" s="72">
        <f>ROUND(N879*(1+$F$10),2)</f>
        <v/>
      </c>
      <c r="P879" s="73">
        <f>ROUND(K879*N879,2)</f>
        <v/>
      </c>
      <c r="Q879" s="74">
        <f>ROUND(L879*N879,2)</f>
        <v/>
      </c>
      <c r="R879" s="75" t="n"/>
      <c r="S879" s="76" t="n"/>
      <c r="T879" s="77">
        <f>K879-L879</f>
        <v/>
      </c>
      <c r="U879" s="77">
        <f>P879-Q879</f>
        <v/>
      </c>
      <c r="V879" s="77">
        <f>ABS(U879)</f>
        <v/>
      </c>
      <c r="W879" s="78">
        <f>T879/L879</f>
        <v/>
      </c>
      <c r="X879" s="79">
        <f>ABS(W879)</f>
        <v/>
      </c>
      <c r="AH879" s="6" t="inlineStr">
        <is>
          <t>餐厅常规配置</t>
        </is>
      </c>
    </row>
    <row r="880" ht="11.4" customHeight="1">
      <c r="A880" s="67" t="inlineStr">
        <is>
          <t>73</t>
        </is>
      </c>
      <c r="B880" s="67" t="inlineStr">
        <is>
          <t>1071</t>
        </is>
      </c>
      <c r="C880" s="67" t="inlineStr">
        <is>
          <t>1614</t>
        </is>
      </c>
      <c r="D880" s="68" t="inlineStr">
        <is>
          <t>01</t>
        </is>
      </c>
      <c r="E880" s="68" t="inlineStr">
        <is>
          <t>6 物业施工费</t>
        </is>
      </c>
      <c r="F880" s="68" t="inlineStr">
        <is>
          <t>6.1 总承包工程</t>
        </is>
      </c>
      <c r="G880" s="68" t="inlineStr">
        <is>
          <t>6.1.4 空调通风工程</t>
        </is>
      </c>
      <c r="H880" s="68" t="inlineStr">
        <is>
          <t>空调冷媒管(含保温、吊杆）</t>
        </is>
      </c>
      <c r="I880" s="69" t="inlineStr">
        <is>
          <t>1000022014</t>
        </is>
      </c>
      <c r="J880" s="69" t="inlineStr">
        <is>
          <t>水冷空调镀锌管含保温DN100</t>
        </is>
      </c>
      <c r="K880" s="70" t="n"/>
      <c r="L880" s="70" t="n"/>
      <c r="M880" s="71" t="inlineStr">
        <is>
          <t>米</t>
        </is>
      </c>
      <c r="N880" s="72" t="n">
        <v>180.37</v>
      </c>
      <c r="O880" s="72">
        <f>ROUND(N880*(1+$F$10),2)</f>
        <v/>
      </c>
      <c r="P880" s="73">
        <f>ROUND(K880*N880,2)</f>
        <v/>
      </c>
      <c r="Q880" s="74">
        <f>ROUND(L880*N880,2)</f>
        <v/>
      </c>
      <c r="R880" s="75" t="n"/>
      <c r="S880" s="76" t="n"/>
      <c r="T880" s="77">
        <f>K880-L880</f>
        <v/>
      </c>
      <c r="U880" s="77">
        <f>P880-Q880</f>
        <v/>
      </c>
      <c r="V880" s="77">
        <f>ABS(U880)</f>
        <v/>
      </c>
      <c r="W880" s="78">
        <f>T880/L880</f>
        <v/>
      </c>
      <c r="X880" s="79">
        <f>ABS(W880)</f>
        <v/>
      </c>
      <c r="AH880" s="80" t="inlineStr">
        <is>
          <t>待定</t>
        </is>
      </c>
    </row>
    <row r="881" ht="11.4" customHeight="1">
      <c r="A881" s="67" t="inlineStr">
        <is>
          <t>73</t>
        </is>
      </c>
      <c r="B881" s="67" t="inlineStr">
        <is>
          <t>1071</t>
        </is>
      </c>
      <c r="C881" s="67" t="inlineStr">
        <is>
          <t>1614</t>
        </is>
      </c>
      <c r="D881" s="68" t="inlineStr">
        <is>
          <t>01</t>
        </is>
      </c>
      <c r="E881" s="68" t="inlineStr">
        <is>
          <t>6 物业施工费</t>
        </is>
      </c>
      <c r="F881" s="68" t="inlineStr">
        <is>
          <t>6.1 总承包工程</t>
        </is>
      </c>
      <c r="G881" s="68" t="inlineStr">
        <is>
          <t>6.1.4 空调通风工程</t>
        </is>
      </c>
      <c r="H881" s="68" t="inlineStr">
        <is>
          <t>空调冷媒管(含保温、吊杆）</t>
        </is>
      </c>
      <c r="I881" s="69" t="inlineStr">
        <is>
          <t>1000022015</t>
        </is>
      </c>
      <c r="J881" s="69" t="inlineStr">
        <is>
          <t>水冷空调镀锌管含保温DN80</t>
        </is>
      </c>
      <c r="K881" s="70" t="n"/>
      <c r="L881" s="70" t="n"/>
      <c r="M881" s="71" t="inlineStr">
        <is>
          <t>米</t>
        </is>
      </c>
      <c r="N881" s="72" t="n">
        <v>146.92</v>
      </c>
      <c r="O881" s="72">
        <f>ROUND(N881*(1+$F$10),2)</f>
        <v/>
      </c>
      <c r="P881" s="73">
        <f>ROUND(K881*N881,2)</f>
        <v/>
      </c>
      <c r="Q881" s="74">
        <f>ROUND(L881*N881,2)</f>
        <v/>
      </c>
      <c r="R881" s="75" t="n"/>
      <c r="S881" s="76" t="n"/>
      <c r="T881" s="77">
        <f>K881-L881</f>
        <v/>
      </c>
      <c r="U881" s="77">
        <f>P881-Q881</f>
        <v/>
      </c>
      <c r="V881" s="77">
        <f>ABS(U881)</f>
        <v/>
      </c>
      <c r="W881" s="78">
        <f>T881/L881</f>
        <v/>
      </c>
      <c r="X881" s="79">
        <f>ABS(W881)</f>
        <v/>
      </c>
      <c r="AH881" s="80" t="inlineStr">
        <is>
          <t>待定</t>
        </is>
      </c>
    </row>
    <row r="882" ht="11.4" customHeight="1">
      <c r="A882" s="67" t="inlineStr">
        <is>
          <t>73</t>
        </is>
      </c>
      <c r="B882" s="67" t="inlineStr">
        <is>
          <t>1071</t>
        </is>
      </c>
      <c r="C882" s="67" t="inlineStr">
        <is>
          <t>1614</t>
        </is>
      </c>
      <c r="D882" s="68" t="inlineStr">
        <is>
          <t>01</t>
        </is>
      </c>
      <c r="E882" s="68" t="inlineStr">
        <is>
          <t>6 物业施工费</t>
        </is>
      </c>
      <c r="F882" s="68" t="inlineStr">
        <is>
          <t>6.1 总承包工程</t>
        </is>
      </c>
      <c r="G882" s="68" t="inlineStr">
        <is>
          <t>6.1.4 空调通风工程</t>
        </is>
      </c>
      <c r="H882" s="68" t="inlineStr">
        <is>
          <t>空调冷媒管(含保温、吊杆）</t>
        </is>
      </c>
      <c r="I882" s="69" t="inlineStr">
        <is>
          <t>1000022016</t>
        </is>
      </c>
      <c r="J882" s="69" t="inlineStr">
        <is>
          <t>水冷空调镀锌管含保温DN70</t>
        </is>
      </c>
      <c r="K882" s="70" t="n"/>
      <c r="L882" s="70" t="n"/>
      <c r="M882" s="71" t="inlineStr">
        <is>
          <t>米</t>
        </is>
      </c>
      <c r="N882" s="72" t="n">
        <v>126.78</v>
      </c>
      <c r="O882" s="72">
        <f>ROUND(N882*(1+$F$10),2)</f>
        <v/>
      </c>
      <c r="P882" s="73">
        <f>ROUND(K882*N882,2)</f>
        <v/>
      </c>
      <c r="Q882" s="74">
        <f>ROUND(L882*N882,2)</f>
        <v/>
      </c>
      <c r="R882" s="75" t="n"/>
      <c r="S882" s="76" t="n"/>
      <c r="T882" s="77">
        <f>K882-L882</f>
        <v/>
      </c>
      <c r="U882" s="77">
        <f>P882-Q882</f>
        <v/>
      </c>
      <c r="V882" s="77">
        <f>ABS(U882)</f>
        <v/>
      </c>
      <c r="W882" s="78">
        <f>T882/L882</f>
        <v/>
      </c>
      <c r="X882" s="79">
        <f>ABS(W882)</f>
        <v/>
      </c>
      <c r="AH882" s="80" t="inlineStr">
        <is>
          <t>待定</t>
        </is>
      </c>
    </row>
    <row r="883" ht="11.4" customHeight="1">
      <c r="A883" s="67" t="inlineStr">
        <is>
          <t>73</t>
        </is>
      </c>
      <c r="B883" s="67" t="inlineStr">
        <is>
          <t>1071</t>
        </is>
      </c>
      <c r="C883" s="67" t="inlineStr">
        <is>
          <t>1614</t>
        </is>
      </c>
      <c r="D883" s="68" t="inlineStr">
        <is>
          <t>01</t>
        </is>
      </c>
      <c r="E883" s="68" t="inlineStr">
        <is>
          <t>6 物业施工费</t>
        </is>
      </c>
      <c r="F883" s="68" t="inlineStr">
        <is>
          <t>6.1 总承包工程</t>
        </is>
      </c>
      <c r="G883" s="68" t="inlineStr">
        <is>
          <t>6.1.4 空调通风工程</t>
        </is>
      </c>
      <c r="H883" s="68" t="inlineStr">
        <is>
          <t>空调冷媒管(含保温、吊杆）</t>
        </is>
      </c>
      <c r="I883" s="69" t="inlineStr">
        <is>
          <t>1000022017</t>
        </is>
      </c>
      <c r="J883" s="69" t="inlineStr">
        <is>
          <t>水冷空调镀锌管含保温DN50</t>
        </is>
      </c>
      <c r="K883" s="70" t="n"/>
      <c r="L883" s="70" t="n"/>
      <c r="M883" s="71" t="inlineStr">
        <is>
          <t>米</t>
        </is>
      </c>
      <c r="N883" s="72" t="n">
        <v>109.45</v>
      </c>
      <c r="O883" s="72">
        <f>ROUND(N883*(1+$F$10),2)</f>
        <v/>
      </c>
      <c r="P883" s="73">
        <f>ROUND(K883*N883,2)</f>
        <v/>
      </c>
      <c r="Q883" s="74">
        <f>ROUND(L883*N883,2)</f>
        <v/>
      </c>
      <c r="R883" s="75" t="n"/>
      <c r="S883" s="76" t="n"/>
      <c r="T883" s="77">
        <f>K883-L883</f>
        <v/>
      </c>
      <c r="U883" s="77">
        <f>P883-Q883</f>
        <v/>
      </c>
      <c r="V883" s="77">
        <f>ABS(U883)</f>
        <v/>
      </c>
      <c r="W883" s="78">
        <f>T883/L883</f>
        <v/>
      </c>
      <c r="X883" s="79">
        <f>ABS(W883)</f>
        <v/>
      </c>
      <c r="AH883" s="80" t="inlineStr">
        <is>
          <t>待定</t>
        </is>
      </c>
    </row>
    <row r="884" ht="11.4" customHeight="1">
      <c r="A884" s="67" t="inlineStr">
        <is>
          <t>73</t>
        </is>
      </c>
      <c r="B884" s="67" t="inlineStr">
        <is>
          <t>1071</t>
        </is>
      </c>
      <c r="C884" s="67" t="inlineStr">
        <is>
          <t>1614</t>
        </is>
      </c>
      <c r="D884" s="68" t="inlineStr">
        <is>
          <t>01</t>
        </is>
      </c>
      <c r="E884" s="68" t="inlineStr">
        <is>
          <t>6 物业施工费</t>
        </is>
      </c>
      <c r="F884" s="68" t="inlineStr">
        <is>
          <t>6.1 总承包工程</t>
        </is>
      </c>
      <c r="G884" s="68" t="inlineStr">
        <is>
          <t>6.1.4 空调通风工程</t>
        </is>
      </c>
      <c r="H884" s="68" t="inlineStr">
        <is>
          <t>空调冷媒管(含保温、吊杆）</t>
        </is>
      </c>
      <c r="I884" s="69" t="inlineStr">
        <is>
          <t>1000022018</t>
        </is>
      </c>
      <c r="J884" s="69" t="inlineStr">
        <is>
          <t>水冷空调镀锌管含保温DN40</t>
        </is>
      </c>
      <c r="K884" s="70" t="n"/>
      <c r="L884" s="70" t="n"/>
      <c r="M884" s="71" t="inlineStr">
        <is>
          <t>米</t>
        </is>
      </c>
      <c r="N884" s="72" t="n">
        <v>95.83</v>
      </c>
      <c r="O884" s="72">
        <f>ROUND(N884*(1+$F$10),2)</f>
        <v/>
      </c>
      <c r="P884" s="73">
        <f>ROUND(K884*N884,2)</f>
        <v/>
      </c>
      <c r="Q884" s="74">
        <f>ROUND(L884*N884,2)</f>
        <v/>
      </c>
      <c r="R884" s="75" t="n"/>
      <c r="S884" s="76" t="n"/>
      <c r="T884" s="77">
        <f>K884-L884</f>
        <v/>
      </c>
      <c r="U884" s="77">
        <f>P884-Q884</f>
        <v/>
      </c>
      <c r="V884" s="77">
        <f>ABS(U884)</f>
        <v/>
      </c>
      <c r="W884" s="78">
        <f>T884/L884</f>
        <v/>
      </c>
      <c r="X884" s="79">
        <f>ABS(W884)</f>
        <v/>
      </c>
      <c r="AH884" s="80" t="inlineStr">
        <is>
          <t>待定</t>
        </is>
      </c>
    </row>
    <row r="885" ht="11.4" customHeight="1">
      <c r="A885" s="67" t="inlineStr">
        <is>
          <t>73</t>
        </is>
      </c>
      <c r="B885" s="67" t="inlineStr">
        <is>
          <t>1071</t>
        </is>
      </c>
      <c r="C885" s="67" t="inlineStr">
        <is>
          <t>1614</t>
        </is>
      </c>
      <c r="D885" s="68" t="inlineStr">
        <is>
          <t>01</t>
        </is>
      </c>
      <c r="E885" s="68" t="inlineStr">
        <is>
          <t>6 物业施工费</t>
        </is>
      </c>
      <c r="F885" s="68" t="inlineStr">
        <is>
          <t>6.1 总承包工程</t>
        </is>
      </c>
      <c r="G885" s="68" t="inlineStr">
        <is>
          <t>6.1.4 空调通风工程</t>
        </is>
      </c>
      <c r="H885" s="68" t="inlineStr">
        <is>
          <t>空调冷媒管(含保温、吊杆）</t>
        </is>
      </c>
      <c r="I885" s="69" t="inlineStr">
        <is>
          <t>1000022019</t>
        </is>
      </c>
      <c r="J885" s="69" t="inlineStr">
        <is>
          <t>水冷空调镀锌管含保温DN32</t>
        </is>
      </c>
      <c r="K885" s="70" t="n"/>
      <c r="L885" s="70" t="n"/>
      <c r="M885" s="71" t="inlineStr">
        <is>
          <t>米</t>
        </is>
      </c>
      <c r="N885" s="72" t="n">
        <v>82.51000000000001</v>
      </c>
      <c r="O885" s="72">
        <f>ROUND(N885*(1+$F$10),2)</f>
        <v/>
      </c>
      <c r="P885" s="73">
        <f>ROUND(K885*N885,2)</f>
        <v/>
      </c>
      <c r="Q885" s="74">
        <f>ROUND(L885*N885,2)</f>
        <v/>
      </c>
      <c r="R885" s="75" t="n"/>
      <c r="S885" s="76" t="n"/>
      <c r="T885" s="77">
        <f>K885-L885</f>
        <v/>
      </c>
      <c r="U885" s="77">
        <f>P885-Q885</f>
        <v/>
      </c>
      <c r="V885" s="77">
        <f>ABS(U885)</f>
        <v/>
      </c>
      <c r="W885" s="78">
        <f>T885/L885</f>
        <v/>
      </c>
      <c r="X885" s="79">
        <f>ABS(W885)</f>
        <v/>
      </c>
      <c r="AH885" s="80" t="inlineStr">
        <is>
          <t>待定</t>
        </is>
      </c>
    </row>
    <row r="886" ht="11.4" customHeight="1">
      <c r="A886" s="67" t="inlineStr">
        <is>
          <t>73</t>
        </is>
      </c>
      <c r="B886" s="67" t="inlineStr">
        <is>
          <t>1071</t>
        </is>
      </c>
      <c r="C886" s="67" t="inlineStr">
        <is>
          <t>1614</t>
        </is>
      </c>
      <c r="D886" s="68" t="inlineStr">
        <is>
          <t>01</t>
        </is>
      </c>
      <c r="E886" s="68" t="inlineStr">
        <is>
          <t>6 物业施工费</t>
        </is>
      </c>
      <c r="F886" s="68" t="inlineStr">
        <is>
          <t>6.1 总承包工程</t>
        </is>
      </c>
      <c r="G886" s="68" t="inlineStr">
        <is>
          <t>6.1.4 空调通风工程</t>
        </is>
      </c>
      <c r="H886" s="68" t="inlineStr">
        <is>
          <t>空调冷媒管(含保温、吊杆）</t>
        </is>
      </c>
      <c r="I886" s="69" t="inlineStr">
        <is>
          <t>1000022020</t>
        </is>
      </c>
      <c r="J886" s="69" t="inlineStr">
        <is>
          <t>水冷空调镀锌管含保温DN25</t>
        </is>
      </c>
      <c r="K886" s="70" t="n"/>
      <c r="L886" s="70" t="n"/>
      <c r="M886" s="71" t="inlineStr">
        <is>
          <t>米</t>
        </is>
      </c>
      <c r="N886" s="72" t="n">
        <v>75.09</v>
      </c>
      <c r="O886" s="72">
        <f>ROUND(N886*(1+$F$10),2)</f>
        <v/>
      </c>
      <c r="P886" s="73">
        <f>ROUND(K886*N886,2)</f>
        <v/>
      </c>
      <c r="Q886" s="74">
        <f>ROUND(L886*N886,2)</f>
        <v/>
      </c>
      <c r="R886" s="75" t="n"/>
      <c r="S886" s="76" t="n"/>
      <c r="T886" s="77">
        <f>K886-L886</f>
        <v/>
      </c>
      <c r="U886" s="77">
        <f>P886-Q886</f>
        <v/>
      </c>
      <c r="V886" s="77">
        <f>ABS(U886)</f>
        <v/>
      </c>
      <c r="W886" s="78">
        <f>T886/L886</f>
        <v/>
      </c>
      <c r="X886" s="79">
        <f>ABS(W886)</f>
        <v/>
      </c>
      <c r="AH886" s="80" t="inlineStr">
        <is>
          <t>待定</t>
        </is>
      </c>
    </row>
    <row r="887" ht="11.4" customHeight="1">
      <c r="A887" s="67" t="inlineStr">
        <is>
          <t>73</t>
        </is>
      </c>
      <c r="B887" s="67" t="inlineStr">
        <is>
          <t>1071</t>
        </is>
      </c>
      <c r="C887" s="67" t="inlineStr">
        <is>
          <t>1614</t>
        </is>
      </c>
      <c r="D887" s="68" t="inlineStr">
        <is>
          <t>01</t>
        </is>
      </c>
      <c r="E887" s="68" t="inlineStr">
        <is>
          <t>6 物业施工费</t>
        </is>
      </c>
      <c r="F887" s="68" t="inlineStr">
        <is>
          <t>6.1 总承包工程</t>
        </is>
      </c>
      <c r="G887" s="68" t="inlineStr">
        <is>
          <t>6.1.4 空调通风工程</t>
        </is>
      </c>
      <c r="H887" s="68" t="inlineStr">
        <is>
          <t>空调冷媒管(含保温、吊杆）</t>
        </is>
      </c>
      <c r="I887" s="69" t="inlineStr">
        <is>
          <t>1000022021</t>
        </is>
      </c>
      <c r="J887" s="69" t="inlineStr">
        <is>
          <t>水冷空调镀锌管含保温DN20</t>
        </is>
      </c>
      <c r="K887" s="70" t="n"/>
      <c r="L887" s="70" t="n"/>
      <c r="M887" s="71" t="inlineStr">
        <is>
          <t>米</t>
        </is>
      </c>
      <c r="N887" s="72" t="n">
        <v>64.90000000000001</v>
      </c>
      <c r="O887" s="72">
        <f>ROUND(N887*(1+$F$10),2)</f>
        <v/>
      </c>
      <c r="P887" s="73">
        <f>ROUND(K887*N887,2)</f>
        <v/>
      </c>
      <c r="Q887" s="74">
        <f>ROUND(L887*N887,2)</f>
        <v/>
      </c>
      <c r="R887" s="75" t="n"/>
      <c r="S887" s="76" t="n"/>
      <c r="T887" s="77">
        <f>K887-L887</f>
        <v/>
      </c>
      <c r="U887" s="77">
        <f>P887-Q887</f>
        <v/>
      </c>
      <c r="V887" s="77">
        <f>ABS(U887)</f>
        <v/>
      </c>
      <c r="W887" s="78">
        <f>T887/L887</f>
        <v/>
      </c>
      <c r="X887" s="79">
        <f>ABS(W887)</f>
        <v/>
      </c>
      <c r="AH887" s="80" t="inlineStr">
        <is>
          <t>待定</t>
        </is>
      </c>
    </row>
    <row r="888" ht="11.4" customHeight="1">
      <c r="A888" s="67" t="inlineStr">
        <is>
          <t>73</t>
        </is>
      </c>
      <c r="B888" s="67" t="inlineStr">
        <is>
          <t>1071</t>
        </is>
      </c>
      <c r="C888" s="67" t="inlineStr">
        <is>
          <t>1614</t>
        </is>
      </c>
      <c r="D888" s="68" t="inlineStr">
        <is>
          <t>01</t>
        </is>
      </c>
      <c r="E888" s="68" t="inlineStr">
        <is>
          <t>6 物业施工费</t>
        </is>
      </c>
      <c r="F888" s="68" t="inlineStr">
        <is>
          <t>6.1 总承包工程</t>
        </is>
      </c>
      <c r="G888" s="68" t="inlineStr">
        <is>
          <t>6.1.4 空调通风工程</t>
        </is>
      </c>
      <c r="H888" s="68" t="inlineStr">
        <is>
          <t>风口</t>
        </is>
      </c>
      <c r="I888" s="69" t="inlineStr">
        <is>
          <t>1000022022</t>
        </is>
      </c>
      <c r="J888" s="69" t="inlineStr">
        <is>
          <t>600x600散流器</t>
        </is>
      </c>
      <c r="K888" s="70" t="n">
        <v>2</v>
      </c>
      <c r="L888" s="70" t="n">
        <v>2</v>
      </c>
      <c r="M888" s="71" t="inlineStr">
        <is>
          <t>只</t>
        </is>
      </c>
      <c r="N888" s="72" t="n">
        <v>418.43</v>
      </c>
      <c r="O888" s="72">
        <f>ROUND(N888*(1+$F$10),2)</f>
        <v/>
      </c>
      <c r="P888" s="73">
        <f>ROUND(K888*N888,2)</f>
        <v/>
      </c>
      <c r="Q888" s="74">
        <f>ROUND(L888*N888,2)</f>
        <v/>
      </c>
      <c r="R888" s="75" t="n"/>
      <c r="S888" s="76" t="n"/>
      <c r="T888" s="77">
        <f>K888-L888</f>
        <v/>
      </c>
      <c r="U888" s="77">
        <f>P888-Q888</f>
        <v/>
      </c>
      <c r="V888" s="77">
        <f>ABS(U888)</f>
        <v/>
      </c>
      <c r="W888" s="78">
        <f>T888/L888</f>
        <v/>
      </c>
      <c r="X888" s="79">
        <f>ABS(W888)</f>
        <v/>
      </c>
      <c r="AG888" s="80" t="inlineStr">
        <is>
          <t>个数</t>
        </is>
      </c>
    </row>
    <row r="889" ht="11.4" customHeight="1">
      <c r="A889" s="67" t="inlineStr">
        <is>
          <t>73</t>
        </is>
      </c>
      <c r="B889" s="67" t="inlineStr">
        <is>
          <t>1071</t>
        </is>
      </c>
      <c r="C889" s="67" t="inlineStr">
        <is>
          <t>1614</t>
        </is>
      </c>
      <c r="D889" s="68" t="inlineStr">
        <is>
          <t>01</t>
        </is>
      </c>
      <c r="E889" s="68" t="inlineStr">
        <is>
          <t>6 物业施工费</t>
        </is>
      </c>
      <c r="F889" s="68" t="inlineStr">
        <is>
          <t>6.1 总承包工程</t>
        </is>
      </c>
      <c r="G889" s="68" t="inlineStr">
        <is>
          <t>6.1.4 空调通风工程</t>
        </is>
      </c>
      <c r="H889" s="68" t="inlineStr">
        <is>
          <t>风口</t>
        </is>
      </c>
      <c r="I889" s="69" t="inlineStr">
        <is>
          <t>1000022023</t>
        </is>
      </c>
      <c r="J889" s="69" t="inlineStr">
        <is>
          <t>400x400散流器</t>
        </is>
      </c>
      <c r="K889" s="70" t="n">
        <v>1</v>
      </c>
      <c r="L889" s="70" t="n">
        <v>1</v>
      </c>
      <c r="M889" s="71" t="inlineStr">
        <is>
          <t>只</t>
        </is>
      </c>
      <c r="N889" s="72" t="n">
        <v>360.13</v>
      </c>
      <c r="O889" s="72">
        <f>ROUND(N889*(1+$F$10),2)</f>
        <v/>
      </c>
      <c r="P889" s="73">
        <f>ROUND(K889*N889,2)</f>
        <v/>
      </c>
      <c r="Q889" s="74">
        <f>ROUND(L889*N889,2)</f>
        <v/>
      </c>
      <c r="R889" s="75" t="n"/>
      <c r="S889" s="76" t="n"/>
      <c r="T889" s="77">
        <f>K889-L889</f>
        <v/>
      </c>
      <c r="U889" s="77">
        <f>P889-Q889</f>
        <v/>
      </c>
      <c r="V889" s="77">
        <f>ABS(U889)</f>
        <v/>
      </c>
      <c r="W889" s="78">
        <f>T889/L889</f>
        <v/>
      </c>
      <c r="X889" s="79">
        <f>ABS(W889)</f>
        <v/>
      </c>
      <c r="AG889" s="80" t="inlineStr">
        <is>
          <t>个数</t>
        </is>
      </c>
    </row>
    <row r="890" ht="11.4" customHeight="1">
      <c r="A890" s="67" t="inlineStr">
        <is>
          <t>73</t>
        </is>
      </c>
      <c r="B890" s="67" t="inlineStr">
        <is>
          <t>1071</t>
        </is>
      </c>
      <c r="C890" s="67" t="inlineStr">
        <is>
          <t>1614</t>
        </is>
      </c>
      <c r="D890" s="68" t="inlineStr">
        <is>
          <t>01</t>
        </is>
      </c>
      <c r="E890" s="68" t="inlineStr">
        <is>
          <t>6 物业施工费</t>
        </is>
      </c>
      <c r="F890" s="68" t="inlineStr">
        <is>
          <t>6.1 总承包工程</t>
        </is>
      </c>
      <c r="G890" s="68" t="inlineStr">
        <is>
          <t>6.1.4 空调通风工程</t>
        </is>
      </c>
      <c r="H890" s="68" t="inlineStr">
        <is>
          <t>风口</t>
        </is>
      </c>
      <c r="I890" s="69" t="inlineStr">
        <is>
          <t>1000022024</t>
        </is>
      </c>
      <c r="J890" s="69" t="inlineStr">
        <is>
          <t>300x300散流器</t>
        </is>
      </c>
      <c r="K890" s="70" t="n"/>
      <c r="L890" s="70" t="n"/>
      <c r="M890" s="71" t="inlineStr">
        <is>
          <t>只</t>
        </is>
      </c>
      <c r="N890" s="72" t="n">
        <v>297.43</v>
      </c>
      <c r="O890" s="72">
        <f>ROUND(N890*(1+$F$10),2)</f>
        <v/>
      </c>
      <c r="P890" s="73">
        <f>ROUND(K890*N890,2)</f>
        <v/>
      </c>
      <c r="Q890" s="74">
        <f>ROUND(L890*N890,2)</f>
        <v/>
      </c>
      <c r="R890" s="75" t="n"/>
      <c r="S890" s="76" t="n"/>
      <c r="T890" s="77">
        <f>K890-L890</f>
        <v/>
      </c>
      <c r="U890" s="77">
        <f>P890-Q890</f>
        <v/>
      </c>
      <c r="V890" s="77">
        <f>ABS(U890)</f>
        <v/>
      </c>
      <c r="W890" s="78">
        <f>T890/L890</f>
        <v/>
      </c>
      <c r="X890" s="79">
        <f>ABS(W890)</f>
        <v/>
      </c>
      <c r="AG890" s="80" t="inlineStr">
        <is>
          <t>个数</t>
        </is>
      </c>
    </row>
    <row r="891" ht="11.4" customHeight="1">
      <c r="A891" s="67" t="inlineStr">
        <is>
          <t>73</t>
        </is>
      </c>
      <c r="B891" s="67" t="inlineStr">
        <is>
          <t>1071</t>
        </is>
      </c>
      <c r="C891" s="67" t="inlineStr">
        <is>
          <t>1614</t>
        </is>
      </c>
      <c r="D891" s="68" t="inlineStr">
        <is>
          <t>01</t>
        </is>
      </c>
      <c r="E891" s="68" t="inlineStr">
        <is>
          <t>6 物业施工费</t>
        </is>
      </c>
      <c r="F891" s="68" t="inlineStr">
        <is>
          <t>6.1 总承包工程</t>
        </is>
      </c>
      <c r="G891" s="68" t="inlineStr">
        <is>
          <t>6.1.4 空调通风工程</t>
        </is>
      </c>
      <c r="H891" s="68" t="inlineStr">
        <is>
          <t>风口</t>
        </is>
      </c>
      <c r="I891" s="69" t="inlineStr">
        <is>
          <t>1000022025</t>
        </is>
      </c>
      <c r="J891" s="69" t="inlineStr">
        <is>
          <t>Φ600圆形散流器</t>
        </is>
      </c>
      <c r="K891" s="70" t="n"/>
      <c r="L891" s="70" t="n"/>
      <c r="M891" s="71" t="inlineStr">
        <is>
          <t>只</t>
        </is>
      </c>
      <c r="N891" s="72" t="n">
        <v>412.93</v>
      </c>
      <c r="O891" s="72">
        <f>ROUND(N891*(1+$F$10),2)</f>
        <v/>
      </c>
      <c r="P891" s="73">
        <f>ROUND(K891*N891,2)</f>
        <v/>
      </c>
      <c r="Q891" s="74">
        <f>ROUND(L891*N891,2)</f>
        <v/>
      </c>
      <c r="R891" s="75" t="n"/>
      <c r="S891" s="76" t="n"/>
      <c r="T891" s="77">
        <f>K891-L891</f>
        <v/>
      </c>
      <c r="U891" s="77">
        <f>P891-Q891</f>
        <v/>
      </c>
      <c r="V891" s="77">
        <f>ABS(U891)</f>
        <v/>
      </c>
      <c r="W891" s="78">
        <f>T891/L891</f>
        <v/>
      </c>
      <c r="X891" s="79">
        <f>ABS(W891)</f>
        <v/>
      </c>
      <c r="AG891" s="80" t="inlineStr">
        <is>
          <t>个数</t>
        </is>
      </c>
    </row>
    <row r="892" ht="11.4" customHeight="1">
      <c r="A892" s="67" t="inlineStr">
        <is>
          <t>73</t>
        </is>
      </c>
      <c r="B892" s="67" t="inlineStr">
        <is>
          <t>1071</t>
        </is>
      </c>
      <c r="C892" s="67" t="inlineStr">
        <is>
          <t>1614</t>
        </is>
      </c>
      <c r="D892" s="68" t="inlineStr">
        <is>
          <t>01</t>
        </is>
      </c>
      <c r="E892" s="68" t="inlineStr">
        <is>
          <t>6 物业施工费</t>
        </is>
      </c>
      <c r="F892" s="68" t="inlineStr">
        <is>
          <t>6.1 总承包工程</t>
        </is>
      </c>
      <c r="G892" s="68" t="inlineStr">
        <is>
          <t>6.1.4 空调通风工程</t>
        </is>
      </c>
      <c r="H892" s="68" t="inlineStr">
        <is>
          <t>风口</t>
        </is>
      </c>
      <c r="I892" s="69" t="inlineStr">
        <is>
          <t>1000022026</t>
        </is>
      </c>
      <c r="J892" s="69" t="inlineStr">
        <is>
          <t>Φ400圆形散流器</t>
        </is>
      </c>
      <c r="K892" s="70" t="n"/>
      <c r="L892" s="70" t="n"/>
      <c r="M892" s="71" t="inlineStr">
        <is>
          <t>只</t>
        </is>
      </c>
      <c r="N892" s="72" t="n">
        <v>363.43</v>
      </c>
      <c r="O892" s="72">
        <f>ROUND(N892*(1+$F$10),2)</f>
        <v/>
      </c>
      <c r="P892" s="73">
        <f>ROUND(K892*N892,2)</f>
        <v/>
      </c>
      <c r="Q892" s="74">
        <f>ROUND(L892*N892,2)</f>
        <v/>
      </c>
      <c r="R892" s="75" t="n"/>
      <c r="S892" s="76" t="n"/>
      <c r="T892" s="77">
        <f>K892-L892</f>
        <v/>
      </c>
      <c r="U892" s="77">
        <f>P892-Q892</f>
        <v/>
      </c>
      <c r="V892" s="77">
        <f>ABS(U892)</f>
        <v/>
      </c>
      <c r="W892" s="78">
        <f>T892/L892</f>
        <v/>
      </c>
      <c r="X892" s="79">
        <f>ABS(W892)</f>
        <v/>
      </c>
      <c r="AG892" s="80" t="inlineStr">
        <is>
          <t>个数</t>
        </is>
      </c>
    </row>
    <row r="893" ht="11.4" customHeight="1">
      <c r="A893" s="67" t="inlineStr">
        <is>
          <t>73</t>
        </is>
      </c>
      <c r="B893" s="67" t="inlineStr">
        <is>
          <t>1071</t>
        </is>
      </c>
      <c r="C893" s="67" t="inlineStr">
        <is>
          <t>1614</t>
        </is>
      </c>
      <c r="D893" s="68" t="inlineStr">
        <is>
          <t>01</t>
        </is>
      </c>
      <c r="E893" s="68" t="inlineStr">
        <is>
          <t>6 物业施工费</t>
        </is>
      </c>
      <c r="F893" s="68" t="inlineStr">
        <is>
          <t>6.1 总承包工程</t>
        </is>
      </c>
      <c r="G893" s="68" t="inlineStr">
        <is>
          <t>6.1.4 空调通风工程</t>
        </is>
      </c>
      <c r="H893" s="68" t="inlineStr">
        <is>
          <t>风口</t>
        </is>
      </c>
      <c r="I893" s="69" t="inlineStr">
        <is>
          <t>1000022027</t>
        </is>
      </c>
      <c r="J893" s="69" t="inlineStr">
        <is>
          <t>Φ300圆形散流器</t>
        </is>
      </c>
      <c r="K893" s="70" t="n"/>
      <c r="L893" s="70" t="n"/>
      <c r="M893" s="71" t="inlineStr">
        <is>
          <t>只</t>
        </is>
      </c>
      <c r="N893" s="72" t="n">
        <v>348.03</v>
      </c>
      <c r="O893" s="72">
        <f>ROUND(N893*(1+$F$10),2)</f>
        <v/>
      </c>
      <c r="P893" s="73">
        <f>ROUND(K893*N893,2)</f>
        <v/>
      </c>
      <c r="Q893" s="74">
        <f>ROUND(L893*N893,2)</f>
        <v/>
      </c>
      <c r="R893" s="75" t="n"/>
      <c r="S893" s="76" t="n"/>
      <c r="T893" s="77">
        <f>K893-L893</f>
        <v/>
      </c>
      <c r="U893" s="77">
        <f>P893-Q893</f>
        <v/>
      </c>
      <c r="V893" s="77">
        <f>ABS(U893)</f>
        <v/>
      </c>
      <c r="W893" s="78">
        <f>T893/L893</f>
        <v/>
      </c>
      <c r="X893" s="79">
        <f>ABS(W893)</f>
        <v/>
      </c>
      <c r="AG893" s="80" t="inlineStr">
        <is>
          <t>个数</t>
        </is>
      </c>
    </row>
    <row r="894" ht="11.4" customHeight="1">
      <c r="A894" s="67" t="inlineStr">
        <is>
          <t>73</t>
        </is>
      </c>
      <c r="B894" s="67" t="inlineStr">
        <is>
          <t>1071</t>
        </is>
      </c>
      <c r="C894" s="67" t="inlineStr">
        <is>
          <t>1614</t>
        </is>
      </c>
      <c r="D894" s="68" t="inlineStr">
        <is>
          <t>01</t>
        </is>
      </c>
      <c r="E894" s="68" t="inlineStr">
        <is>
          <t>6 物业施工费</t>
        </is>
      </c>
      <c r="F894" s="68" t="inlineStr">
        <is>
          <t>6.1 总承包工程</t>
        </is>
      </c>
      <c r="G894" s="68" t="inlineStr">
        <is>
          <t>6.1.4 空调通风工程</t>
        </is>
      </c>
      <c r="H894" s="68" t="inlineStr">
        <is>
          <t>风口</t>
        </is>
      </c>
      <c r="I894" s="69" t="inlineStr">
        <is>
          <t>1000022028</t>
        </is>
      </c>
      <c r="J894" s="69" t="inlineStr">
        <is>
          <t>条形散流器</t>
        </is>
      </c>
      <c r="K894" s="70" t="n">
        <v>8.4</v>
      </c>
      <c r="L894" s="70" t="n">
        <v>8.4</v>
      </c>
      <c r="M894" s="71" t="inlineStr">
        <is>
          <t>米</t>
        </is>
      </c>
      <c r="N894" s="72" t="n">
        <v>212.29</v>
      </c>
      <c r="O894" s="72">
        <f>ROUND(N894*(1+$F$10),2)</f>
        <v/>
      </c>
      <c r="P894" s="73">
        <f>ROUND(K894*N894,2)</f>
        <v/>
      </c>
      <c r="Q894" s="74">
        <f>ROUND(L894*N894,2)</f>
        <v/>
      </c>
      <c r="R894" s="75" t="n"/>
      <c r="S894" s="76" t="n"/>
      <c r="T894" s="77">
        <f>K894-L894</f>
        <v/>
      </c>
      <c r="U894" s="77">
        <f>P894-Q894</f>
        <v/>
      </c>
      <c r="V894" s="77">
        <f>ABS(U894)</f>
        <v/>
      </c>
      <c r="W894" s="78">
        <f>T894/L894</f>
        <v/>
      </c>
      <c r="X894" s="79">
        <f>ABS(W894)</f>
        <v/>
      </c>
      <c r="AG894" s="80" t="inlineStr">
        <is>
          <t>总长度（无法用插件计算）</t>
        </is>
      </c>
    </row>
    <row r="895" ht="11.4" customHeight="1">
      <c r="A895" s="67" t="inlineStr">
        <is>
          <t>73</t>
        </is>
      </c>
      <c r="B895" s="67" t="inlineStr">
        <is>
          <t>1071</t>
        </is>
      </c>
      <c r="C895" s="67" t="inlineStr">
        <is>
          <t>1614</t>
        </is>
      </c>
      <c r="D895" s="68" t="inlineStr">
        <is>
          <t>01</t>
        </is>
      </c>
      <c r="E895" s="68" t="inlineStr">
        <is>
          <t>6 物业施工费</t>
        </is>
      </c>
      <c r="F895" s="68" t="inlineStr">
        <is>
          <t>6.1 总承包工程</t>
        </is>
      </c>
      <c r="G895" s="68" t="inlineStr">
        <is>
          <t>6.1.4 空调通风工程</t>
        </is>
      </c>
      <c r="H895" s="68" t="inlineStr">
        <is>
          <t>风口</t>
        </is>
      </c>
      <c r="I895" s="69" t="inlineStr">
        <is>
          <t>1000022029</t>
        </is>
      </c>
      <c r="J895" s="69" t="inlineStr">
        <is>
          <t>600x600孔板厨房送风口</t>
        </is>
      </c>
      <c r="K895" s="70" t="n">
        <v>7</v>
      </c>
      <c r="L895" s="70" t="n">
        <v>7</v>
      </c>
      <c r="M895" s="71" t="inlineStr">
        <is>
          <t>只</t>
        </is>
      </c>
      <c r="N895" s="72" t="n">
        <v>488.83</v>
      </c>
      <c r="O895" s="72">
        <f>ROUND(N895*(1+$F$10),2)</f>
        <v/>
      </c>
      <c r="P895" s="73">
        <f>ROUND(K895*N895,2)</f>
        <v/>
      </c>
      <c r="Q895" s="74">
        <f>ROUND(L895*N895,2)</f>
        <v/>
      </c>
      <c r="R895" s="75" t="n"/>
      <c r="S895" s="76" t="n"/>
      <c r="T895" s="77">
        <f>K895-L895</f>
        <v/>
      </c>
      <c r="U895" s="77">
        <f>P895-Q895</f>
        <v/>
      </c>
      <c r="V895" s="77">
        <f>ABS(U895)</f>
        <v/>
      </c>
      <c r="W895" s="78">
        <f>T895/L895</f>
        <v/>
      </c>
      <c r="X895" s="79">
        <f>ABS(W895)</f>
        <v/>
      </c>
      <c r="AG895" s="80" t="inlineStr">
        <is>
          <t>个数</t>
        </is>
      </c>
    </row>
    <row r="896" ht="11.4" customHeight="1">
      <c r="A896" s="67" t="inlineStr">
        <is>
          <t>73</t>
        </is>
      </c>
      <c r="B896" s="67" t="inlineStr">
        <is>
          <t>1071</t>
        </is>
      </c>
      <c r="C896" s="67" t="inlineStr">
        <is>
          <t>1614</t>
        </is>
      </c>
      <c r="D896" s="68" t="inlineStr">
        <is>
          <t>01</t>
        </is>
      </c>
      <c r="E896" s="68" t="inlineStr">
        <is>
          <t>6 物业施工费</t>
        </is>
      </c>
      <c r="F896" s="68" t="inlineStr">
        <is>
          <t>6.1 总承包工程</t>
        </is>
      </c>
      <c r="G896" s="68" t="inlineStr">
        <is>
          <t>6.1.4 空调通风工程</t>
        </is>
      </c>
      <c r="H896" s="68" t="inlineStr">
        <is>
          <t>风口</t>
        </is>
      </c>
      <c r="I896" s="69" t="inlineStr">
        <is>
          <t>1000022030</t>
        </is>
      </c>
      <c r="J896" s="69" t="inlineStr">
        <is>
          <t>其它送风口(截面 ≤ 0.13m2)</t>
        </is>
      </c>
      <c r="K896" s="70" t="n">
        <v>2</v>
      </c>
      <c r="L896" s="70" t="n">
        <v>2</v>
      </c>
      <c r="M896" s="71" t="inlineStr">
        <is>
          <t>只</t>
        </is>
      </c>
      <c r="N896" s="72" t="n">
        <v>277.63</v>
      </c>
      <c r="O896" s="72">
        <f>ROUND(N896*(1+$F$10),2)</f>
        <v/>
      </c>
      <c r="P896" s="73">
        <f>ROUND(K896*N896,2)</f>
        <v/>
      </c>
      <c r="Q896" s="74">
        <f>ROUND(L896*N896,2)</f>
        <v/>
      </c>
      <c r="R896" s="75" t="n"/>
      <c r="S896" s="76" t="n"/>
      <c r="T896" s="77">
        <f>K896-L896</f>
        <v/>
      </c>
      <c r="U896" s="77">
        <f>P896-Q896</f>
        <v/>
      </c>
      <c r="V896" s="77">
        <f>ABS(U896)</f>
        <v/>
      </c>
      <c r="W896" s="78">
        <f>T896/L896</f>
        <v/>
      </c>
      <c r="X896" s="79">
        <f>ABS(W896)</f>
        <v/>
      </c>
      <c r="AG896" s="80" t="inlineStr">
        <is>
          <t>个数</t>
        </is>
      </c>
    </row>
    <row r="897" ht="11.4" customHeight="1">
      <c r="A897" s="67" t="inlineStr">
        <is>
          <t>73</t>
        </is>
      </c>
      <c r="B897" s="67" t="inlineStr">
        <is>
          <t>1071</t>
        </is>
      </c>
      <c r="C897" s="67" t="inlineStr">
        <is>
          <t>1614</t>
        </is>
      </c>
      <c r="D897" s="68" t="inlineStr">
        <is>
          <t>01</t>
        </is>
      </c>
      <c r="E897" s="68" t="inlineStr">
        <is>
          <t>6 物业施工费</t>
        </is>
      </c>
      <c r="F897" s="68" t="inlineStr">
        <is>
          <t>6.1 总承包工程</t>
        </is>
      </c>
      <c r="G897" s="68" t="inlineStr">
        <is>
          <t>6.1.4 空调通风工程</t>
        </is>
      </c>
      <c r="H897" s="68" t="inlineStr">
        <is>
          <t>风口</t>
        </is>
      </c>
      <c r="I897" s="69" t="inlineStr">
        <is>
          <t>1000022031</t>
        </is>
      </c>
      <c r="J897" s="69" t="inlineStr">
        <is>
          <t>595x595带滤网回风百叶</t>
        </is>
      </c>
      <c r="K897" s="70" t="n">
        <v>8</v>
      </c>
      <c r="L897" s="70" t="n">
        <v>8</v>
      </c>
      <c r="M897" s="71" t="inlineStr">
        <is>
          <t>只</t>
        </is>
      </c>
      <c r="N897" s="72" t="n">
        <v>430.53</v>
      </c>
      <c r="O897" s="72">
        <f>ROUND(N897*(1+$F$10),2)</f>
        <v/>
      </c>
      <c r="P897" s="73">
        <f>ROUND(K897*N897,2)</f>
        <v/>
      </c>
      <c r="Q897" s="74">
        <f>ROUND(L897*N897,2)</f>
        <v/>
      </c>
      <c r="R897" s="75" t="n"/>
      <c r="S897" s="76" t="n"/>
      <c r="T897" s="77">
        <f>K897-L897</f>
        <v/>
      </c>
      <c r="U897" s="77">
        <f>P897-Q897</f>
        <v/>
      </c>
      <c r="V897" s="77">
        <f>ABS(U897)</f>
        <v/>
      </c>
      <c r="W897" s="78">
        <f>T897/L897</f>
        <v/>
      </c>
      <c r="X897" s="79">
        <f>ABS(W897)</f>
        <v/>
      </c>
      <c r="AG897" s="80" t="inlineStr">
        <is>
          <t>个数</t>
        </is>
      </c>
    </row>
    <row r="898" ht="11.4" customHeight="1">
      <c r="A898" s="67" t="inlineStr">
        <is>
          <t>73</t>
        </is>
      </c>
      <c r="B898" s="67" t="inlineStr">
        <is>
          <t>1071</t>
        </is>
      </c>
      <c r="C898" s="67" t="inlineStr">
        <is>
          <t>1614</t>
        </is>
      </c>
      <c r="D898" s="68" t="inlineStr">
        <is>
          <t>01</t>
        </is>
      </c>
      <c r="E898" s="68" t="inlineStr">
        <is>
          <t>6 物业施工费</t>
        </is>
      </c>
      <c r="F898" s="68" t="inlineStr">
        <is>
          <t>6.1 总承包工程</t>
        </is>
      </c>
      <c r="G898" s="68" t="inlineStr">
        <is>
          <t>6.1.4 空调通风工程</t>
        </is>
      </c>
      <c r="H898" s="68" t="inlineStr">
        <is>
          <t>风口</t>
        </is>
      </c>
      <c r="I898" s="69" t="inlineStr">
        <is>
          <t>1000022032</t>
        </is>
      </c>
      <c r="J898" s="69" t="inlineStr">
        <is>
          <t>1200x600带滤网门绞回风百叶</t>
        </is>
      </c>
      <c r="K898" s="70" t="n"/>
      <c r="L898" s="70" t="n"/>
      <c r="M898" s="71" t="inlineStr">
        <is>
          <t>只</t>
        </is>
      </c>
      <c r="N898" s="72" t="n">
        <v>720.0599999999999</v>
      </c>
      <c r="O898" s="72">
        <f>ROUND(N898*(1+$F$10),2)</f>
        <v/>
      </c>
      <c r="P898" s="73">
        <f>ROUND(K898*N898,2)</f>
        <v/>
      </c>
      <c r="Q898" s="74">
        <f>ROUND(L898*N898,2)</f>
        <v/>
      </c>
      <c r="R898" s="75" t="n"/>
      <c r="S898" s="76" t="n"/>
      <c r="T898" s="77">
        <f>K898-L898</f>
        <v/>
      </c>
      <c r="U898" s="77">
        <f>P898-Q898</f>
        <v/>
      </c>
      <c r="V898" s="77">
        <f>ABS(U898)</f>
        <v/>
      </c>
      <c r="W898" s="78">
        <f>T898/L898</f>
        <v/>
      </c>
      <c r="X898" s="79">
        <f>ABS(W898)</f>
        <v/>
      </c>
      <c r="AG898" s="80" t="inlineStr">
        <is>
          <t>个数</t>
        </is>
      </c>
    </row>
    <row r="899" ht="11.4" customHeight="1">
      <c r="A899" s="67" t="inlineStr">
        <is>
          <t>73</t>
        </is>
      </c>
      <c r="B899" s="67" t="inlineStr">
        <is>
          <t>1071</t>
        </is>
      </c>
      <c r="C899" s="67" t="inlineStr">
        <is>
          <t>1614</t>
        </is>
      </c>
      <c r="D899" s="68" t="inlineStr">
        <is>
          <t>01</t>
        </is>
      </c>
      <c r="E899" s="68" t="inlineStr">
        <is>
          <t>6 物业施工费</t>
        </is>
      </c>
      <c r="F899" s="68" t="inlineStr">
        <is>
          <t>6.1 总承包工程</t>
        </is>
      </c>
      <c r="G899" s="68" t="inlineStr">
        <is>
          <t>6.1.4 空调通风工程</t>
        </is>
      </c>
      <c r="H899" s="68" t="inlineStr">
        <is>
          <t>风口</t>
        </is>
      </c>
      <c r="I899" s="69" t="inlineStr">
        <is>
          <t>1000022033</t>
        </is>
      </c>
      <c r="J899" s="69" t="inlineStr">
        <is>
          <t>防雨排风百叶(截面 ≤  0.25m2)</t>
        </is>
      </c>
      <c r="K899" s="70" t="n"/>
      <c r="L899" s="70" t="n"/>
      <c r="M899" s="71" t="inlineStr">
        <is>
          <t>只</t>
        </is>
      </c>
      <c r="N899" s="72" t="n">
        <v>358.38</v>
      </c>
      <c r="O899" s="72">
        <f>ROUND(N899*(1+$F$10),2)</f>
        <v/>
      </c>
      <c r="P899" s="73">
        <f>ROUND(K899*N899,2)</f>
        <v/>
      </c>
      <c r="Q899" s="74">
        <f>ROUND(L899*N899,2)</f>
        <v/>
      </c>
      <c r="R899" s="75" t="n"/>
      <c r="S899" s="76" t="n"/>
      <c r="T899" s="77">
        <f>K899-L899</f>
        <v/>
      </c>
      <c r="U899" s="77">
        <f>P899-Q899</f>
        <v/>
      </c>
      <c r="V899" s="77">
        <f>ABS(U899)</f>
        <v/>
      </c>
      <c r="W899" s="78">
        <f>T899/L899</f>
        <v/>
      </c>
      <c r="X899" s="79">
        <f>ABS(W899)</f>
        <v/>
      </c>
      <c r="AG899" s="80" t="inlineStr">
        <is>
          <t>根据百叶面积判断清单范围记取个数</t>
        </is>
      </c>
    </row>
    <row r="900" ht="11.4" customHeight="1">
      <c r="A900" s="67" t="inlineStr">
        <is>
          <t>73</t>
        </is>
      </c>
      <c r="B900" s="67" t="inlineStr">
        <is>
          <t>1071</t>
        </is>
      </c>
      <c r="C900" s="67" t="inlineStr">
        <is>
          <t>1614</t>
        </is>
      </c>
      <c r="D900" s="68" t="inlineStr">
        <is>
          <t>01</t>
        </is>
      </c>
      <c r="E900" s="68" t="inlineStr">
        <is>
          <t>6 物业施工费</t>
        </is>
      </c>
      <c r="F900" s="68" t="inlineStr">
        <is>
          <t>6.1 总承包工程</t>
        </is>
      </c>
      <c r="G900" s="68" t="inlineStr">
        <is>
          <t>6.1.4 空调通风工程</t>
        </is>
      </c>
      <c r="H900" s="68" t="inlineStr">
        <is>
          <t>风口</t>
        </is>
      </c>
      <c r="I900" s="69" t="inlineStr">
        <is>
          <t>1000022034</t>
        </is>
      </c>
      <c r="J900" s="69" t="inlineStr">
        <is>
          <t>防雨排风百叶( 0.25m2 &lt;截面 ≤  0.5m2)</t>
        </is>
      </c>
      <c r="K900" s="70" t="n"/>
      <c r="L900" s="70" t="n"/>
      <c r="M900" s="71" t="inlineStr">
        <is>
          <t>只</t>
        </is>
      </c>
      <c r="N900" s="72" t="n">
        <v>597.73</v>
      </c>
      <c r="O900" s="72">
        <f>ROUND(N900*(1+$F$10),2)</f>
        <v/>
      </c>
      <c r="P900" s="73">
        <f>ROUND(K900*N900,2)</f>
        <v/>
      </c>
      <c r="Q900" s="74">
        <f>ROUND(L900*N900,2)</f>
        <v/>
      </c>
      <c r="R900" s="75" t="n"/>
      <c r="S900" s="76" t="n"/>
      <c r="T900" s="77">
        <f>K900-L900</f>
        <v/>
      </c>
      <c r="U900" s="77">
        <f>P900-Q900</f>
        <v/>
      </c>
      <c r="V900" s="77">
        <f>ABS(U900)</f>
        <v/>
      </c>
      <c r="W900" s="78">
        <f>T900/L900</f>
        <v/>
      </c>
      <c r="X900" s="79">
        <f>ABS(W900)</f>
        <v/>
      </c>
      <c r="AG900" s="80" t="inlineStr">
        <is>
          <t>根据百叶面积判断清单范围记取个数</t>
        </is>
      </c>
    </row>
    <row r="901" ht="11.4" customHeight="1">
      <c r="A901" s="67" t="inlineStr">
        <is>
          <t>73</t>
        </is>
      </c>
      <c r="B901" s="67" t="inlineStr">
        <is>
          <t>1071</t>
        </is>
      </c>
      <c r="C901" s="67" t="inlineStr">
        <is>
          <t>1614</t>
        </is>
      </c>
      <c r="D901" s="68" t="inlineStr">
        <is>
          <t>01</t>
        </is>
      </c>
      <c r="E901" s="68" t="inlineStr">
        <is>
          <t>6 物业施工费</t>
        </is>
      </c>
      <c r="F901" s="68" t="inlineStr">
        <is>
          <t>6.1 总承包工程</t>
        </is>
      </c>
      <c r="G901" s="68" t="inlineStr">
        <is>
          <t>6.1.4 空调通风工程</t>
        </is>
      </c>
      <c r="H901" s="68" t="inlineStr">
        <is>
          <t>风口</t>
        </is>
      </c>
      <c r="I901" s="69" t="inlineStr">
        <is>
          <t>1000022035</t>
        </is>
      </c>
      <c r="J901" s="69" t="inlineStr">
        <is>
          <t>防雨新风百叶(截面 ≤  0.25m2)</t>
        </is>
      </c>
      <c r="K901" s="70" t="n"/>
      <c r="L901" s="70" t="n"/>
      <c r="M901" s="71" t="inlineStr">
        <is>
          <t>只</t>
        </is>
      </c>
      <c r="N901" s="72" t="n">
        <v>368.83</v>
      </c>
      <c r="O901" s="72">
        <f>ROUND(N901*(1+$F$10),2)</f>
        <v/>
      </c>
      <c r="P901" s="73">
        <f>ROUND(K901*N901,2)</f>
        <v/>
      </c>
      <c r="Q901" s="74">
        <f>ROUND(L901*N901,2)</f>
        <v/>
      </c>
      <c r="R901" s="75" t="n"/>
      <c r="S901" s="76" t="n"/>
      <c r="T901" s="77">
        <f>K901-L901</f>
        <v/>
      </c>
      <c r="U901" s="77">
        <f>P901-Q901</f>
        <v/>
      </c>
      <c r="V901" s="77">
        <f>ABS(U901)</f>
        <v/>
      </c>
      <c r="W901" s="78">
        <f>T901/L901</f>
        <v/>
      </c>
      <c r="X901" s="79">
        <f>ABS(W901)</f>
        <v/>
      </c>
      <c r="AG901" s="80" t="inlineStr">
        <is>
          <t>根据百叶面积判断清单范围记取个数</t>
        </is>
      </c>
    </row>
    <row r="902" ht="11.4" customHeight="1">
      <c r="A902" s="67" t="inlineStr">
        <is>
          <t>73</t>
        </is>
      </c>
      <c r="B902" s="67" t="inlineStr">
        <is>
          <t>1071</t>
        </is>
      </c>
      <c r="C902" s="67" t="inlineStr">
        <is>
          <t>1614</t>
        </is>
      </c>
      <c r="D902" s="68" t="inlineStr">
        <is>
          <t>01</t>
        </is>
      </c>
      <c r="E902" s="68" t="inlineStr">
        <is>
          <t>6 物业施工费</t>
        </is>
      </c>
      <c r="F902" s="68" t="inlineStr">
        <is>
          <t>6.1 总承包工程</t>
        </is>
      </c>
      <c r="G902" s="68" t="inlineStr">
        <is>
          <t>6.1.4 空调通风工程</t>
        </is>
      </c>
      <c r="H902" s="68" t="inlineStr">
        <is>
          <t>风口</t>
        </is>
      </c>
      <c r="I902" s="69" t="inlineStr">
        <is>
          <t>1000022036</t>
        </is>
      </c>
      <c r="J902" s="69" t="inlineStr">
        <is>
          <t>防雨新风百叶( 0.25m2 &lt;截面 ≤  0.5m2)</t>
        </is>
      </c>
      <c r="K902" s="70" t="n"/>
      <c r="L902" s="70" t="n"/>
      <c r="M902" s="71" t="inlineStr">
        <is>
          <t>只</t>
        </is>
      </c>
      <c r="N902" s="72" t="n">
        <v>623.03</v>
      </c>
      <c r="O902" s="72">
        <f>ROUND(N902*(1+$F$10),2)</f>
        <v/>
      </c>
      <c r="P902" s="73">
        <f>ROUND(K902*N902,2)</f>
        <v/>
      </c>
      <c r="Q902" s="74">
        <f>ROUND(L902*N902,2)</f>
        <v/>
      </c>
      <c r="R902" s="75" t="n"/>
      <c r="S902" s="76" t="n"/>
      <c r="T902" s="77">
        <f>K902-L902</f>
        <v/>
      </c>
      <c r="U902" s="77">
        <f>P902-Q902</f>
        <v/>
      </c>
      <c r="V902" s="77">
        <f>ABS(U902)</f>
        <v/>
      </c>
      <c r="W902" s="78">
        <f>T902/L902</f>
        <v/>
      </c>
      <c r="X902" s="79">
        <f>ABS(W902)</f>
        <v/>
      </c>
      <c r="AG902" s="80" t="inlineStr">
        <is>
          <t>根据百叶面积判断清单范围记取个数</t>
        </is>
      </c>
    </row>
    <row r="903" ht="11.4" customHeight="1">
      <c r="A903" s="67" t="inlineStr">
        <is>
          <t>73</t>
        </is>
      </c>
      <c r="B903" s="67" t="inlineStr">
        <is>
          <t>1071</t>
        </is>
      </c>
      <c r="C903" s="67" t="inlineStr">
        <is>
          <t>1614</t>
        </is>
      </c>
      <c r="D903" s="68" t="inlineStr">
        <is>
          <t>01</t>
        </is>
      </c>
      <c r="E903" s="68" t="inlineStr">
        <is>
          <t>6 物业施工费</t>
        </is>
      </c>
      <c r="F903" s="68" t="inlineStr">
        <is>
          <t>6.1 总承包工程</t>
        </is>
      </c>
      <c r="G903" s="68" t="inlineStr">
        <is>
          <t>6.1.4 空调通风工程</t>
        </is>
      </c>
      <c r="H903" s="68" t="inlineStr">
        <is>
          <t>风口</t>
        </is>
      </c>
      <c r="I903" s="69" t="inlineStr">
        <is>
          <t>1000022037</t>
        </is>
      </c>
      <c r="J903" s="69" t="inlineStr">
        <is>
          <t>防雨新风百叶( 0.5m2 &lt;截面 ≤  0.75m2)</t>
        </is>
      </c>
      <c r="K903" s="70" t="n"/>
      <c r="L903" s="70" t="n"/>
      <c r="M903" s="71" t="inlineStr">
        <is>
          <t>只</t>
        </is>
      </c>
      <c r="N903" s="72" t="n">
        <v>894.62</v>
      </c>
      <c r="O903" s="72">
        <f>ROUND(N903*(1+$F$10),2)</f>
        <v/>
      </c>
      <c r="P903" s="73">
        <f>ROUND(K903*N903,2)</f>
        <v/>
      </c>
      <c r="Q903" s="74">
        <f>ROUND(L903*N903,2)</f>
        <v/>
      </c>
      <c r="R903" s="75" t="n"/>
      <c r="S903" s="76" t="n"/>
      <c r="T903" s="77">
        <f>K903-L903</f>
        <v/>
      </c>
      <c r="U903" s="77">
        <f>P903-Q903</f>
        <v/>
      </c>
      <c r="V903" s="77">
        <f>ABS(U903)</f>
        <v/>
      </c>
      <c r="W903" s="78">
        <f>T903/L903</f>
        <v/>
      </c>
      <c r="X903" s="79">
        <f>ABS(W903)</f>
        <v/>
      </c>
      <c r="AG903" s="80" t="inlineStr">
        <is>
          <t>根据百叶面积判断清单范围记取个数</t>
        </is>
      </c>
    </row>
    <row r="904" ht="11.4" customHeight="1">
      <c r="A904" s="67" t="inlineStr">
        <is>
          <t>73</t>
        </is>
      </c>
      <c r="B904" s="67" t="inlineStr">
        <is>
          <t>1071</t>
        </is>
      </c>
      <c r="C904" s="67" t="inlineStr">
        <is>
          <t>1614</t>
        </is>
      </c>
      <c r="D904" s="68" t="inlineStr">
        <is>
          <t>01</t>
        </is>
      </c>
      <c r="E904" s="68" t="inlineStr">
        <is>
          <t>6 物业施工费</t>
        </is>
      </c>
      <c r="F904" s="68" t="inlineStr">
        <is>
          <t>6.1 总承包工程</t>
        </is>
      </c>
      <c r="G904" s="68" t="inlineStr">
        <is>
          <t>6.1.4 空调通风工程</t>
        </is>
      </c>
      <c r="H904" s="68" t="inlineStr">
        <is>
          <t>风口</t>
        </is>
      </c>
      <c r="I904" s="69" t="inlineStr">
        <is>
          <t>1000022038</t>
        </is>
      </c>
      <c r="J904" s="69" t="inlineStr">
        <is>
          <t>防雨新风百叶( 0.75m2 &lt;截面 ≤  1.0m2)</t>
        </is>
      </c>
      <c r="K904" s="70" t="n"/>
      <c r="L904" s="70" t="n"/>
      <c r="M904" s="71" t="inlineStr">
        <is>
          <t>只</t>
        </is>
      </c>
      <c r="N904" s="72" t="n">
        <v>1213.85</v>
      </c>
      <c r="O904" s="72">
        <f>ROUND(N904*(1+$F$10),2)</f>
        <v/>
      </c>
      <c r="P904" s="73">
        <f>ROUND(K904*N904,2)</f>
        <v/>
      </c>
      <c r="Q904" s="74">
        <f>ROUND(L904*N904,2)</f>
        <v/>
      </c>
      <c r="R904" s="75" t="n"/>
      <c r="S904" s="76" t="n"/>
      <c r="T904" s="77">
        <f>K904-L904</f>
        <v/>
      </c>
      <c r="U904" s="77">
        <f>P904-Q904</f>
        <v/>
      </c>
      <c r="V904" s="77">
        <f>ABS(U904)</f>
        <v/>
      </c>
      <c r="W904" s="78">
        <f>T904/L904</f>
        <v/>
      </c>
      <c r="X904" s="79">
        <f>ABS(W904)</f>
        <v/>
      </c>
      <c r="AG904" s="80" t="inlineStr">
        <is>
          <t>根据百叶面积判断清单范围记取个数</t>
        </is>
      </c>
    </row>
    <row r="905" ht="11.4" customHeight="1">
      <c r="A905" s="67" t="inlineStr">
        <is>
          <t>73</t>
        </is>
      </c>
      <c r="B905" s="67" t="inlineStr">
        <is>
          <t>1071</t>
        </is>
      </c>
      <c r="C905" s="67" t="inlineStr">
        <is>
          <t>1614</t>
        </is>
      </c>
      <c r="D905" s="68" t="inlineStr">
        <is>
          <t>01</t>
        </is>
      </c>
      <c r="E905" s="68" t="inlineStr">
        <is>
          <t>6 物业施工费</t>
        </is>
      </c>
      <c r="F905" s="68" t="inlineStr">
        <is>
          <t>6.1 总承包工程</t>
        </is>
      </c>
      <c r="G905" s="68" t="inlineStr">
        <is>
          <t>6.1.4 空调通风工程</t>
        </is>
      </c>
      <c r="H905" s="68" t="inlineStr">
        <is>
          <t>风口</t>
        </is>
      </c>
      <c r="I905" s="69" t="inlineStr">
        <is>
          <t>1000022039</t>
        </is>
      </c>
      <c r="J905" s="69" t="inlineStr">
        <is>
          <t>300*300百叶排风</t>
        </is>
      </c>
      <c r="K905" s="70" t="n">
        <v>4</v>
      </c>
      <c r="L905" s="70" t="n">
        <v>4</v>
      </c>
      <c r="M905" s="71" t="inlineStr">
        <is>
          <t>只</t>
        </is>
      </c>
      <c r="N905" s="72" t="n">
        <v>232.43</v>
      </c>
      <c r="O905" s="72">
        <f>ROUND(N905*(1+$F$10),2)</f>
        <v/>
      </c>
      <c r="P905" s="73">
        <f>ROUND(K905*N905,2)</f>
        <v/>
      </c>
      <c r="Q905" s="74">
        <f>ROUND(L905*N905,2)</f>
        <v/>
      </c>
      <c r="R905" s="75" t="n"/>
      <c r="S905" s="76" t="n"/>
      <c r="T905" s="77">
        <f>K905-L905</f>
        <v/>
      </c>
      <c r="U905" s="77">
        <f>P905-Q905</f>
        <v/>
      </c>
      <c r="V905" s="77">
        <f>ABS(U905)</f>
        <v/>
      </c>
      <c r="W905" s="78">
        <f>T905/L905</f>
        <v/>
      </c>
      <c r="X905" s="79">
        <f>ABS(W905)</f>
        <v/>
      </c>
      <c r="AG905" s="80" t="inlineStr">
        <is>
          <t>个数</t>
        </is>
      </c>
    </row>
    <row r="906" ht="11.4" customHeight="1">
      <c r="A906" s="67" t="inlineStr">
        <is>
          <t>73</t>
        </is>
      </c>
      <c r="B906" s="67" t="inlineStr">
        <is>
          <t>1071</t>
        </is>
      </c>
      <c r="C906" s="67" t="inlineStr">
        <is>
          <t>1614</t>
        </is>
      </c>
      <c r="D906" s="68" t="inlineStr">
        <is>
          <t>01</t>
        </is>
      </c>
      <c r="E906" s="68" t="inlineStr">
        <is>
          <t>6 物业施工费</t>
        </is>
      </c>
      <c r="F906" s="68" t="inlineStr">
        <is>
          <t>6.1 总承包工程</t>
        </is>
      </c>
      <c r="G906" s="68" t="inlineStr">
        <is>
          <t>6.1.4 空调通风工程</t>
        </is>
      </c>
      <c r="H906" s="68" t="inlineStr">
        <is>
          <t>风口</t>
        </is>
      </c>
      <c r="I906" s="69" t="inlineStr">
        <is>
          <t>1000040114</t>
        </is>
      </c>
      <c r="J906" s="69" t="inlineStr">
        <is>
          <t>风口翻新</t>
        </is>
      </c>
      <c r="K906" s="70" t="n"/>
      <c r="L906" s="70" t="n"/>
      <c r="M906" s="71" t="inlineStr">
        <is>
          <t>项</t>
        </is>
      </c>
      <c r="N906" s="72" t="n"/>
      <c r="O906" s="72">
        <f>ROUND(N906*(1+$F$10),2)</f>
        <v/>
      </c>
      <c r="P906" s="73">
        <f>ROUND(K906*N906,2)</f>
        <v/>
      </c>
      <c r="Q906" s="74">
        <f>ROUND(L906*N906,2)</f>
        <v/>
      </c>
      <c r="R906" s="75" t="n"/>
      <c r="S906" s="76" t="n"/>
      <c r="T906" s="77">
        <f>K906-L906</f>
        <v/>
      </c>
      <c r="U906" s="77">
        <f>P906-Q906</f>
        <v/>
      </c>
      <c r="V906" s="77">
        <f>ABS(U906)</f>
        <v/>
      </c>
      <c r="W906" s="78">
        <f>T906/L906</f>
        <v/>
      </c>
      <c r="X906" s="79">
        <f>ABS(W906)</f>
        <v/>
      </c>
      <c r="AG906" s="80" t="n"/>
      <c r="AH906" s="80" t="inlineStr">
        <is>
          <t>委托书</t>
        </is>
      </c>
    </row>
    <row r="907" ht="11.4" customHeight="1">
      <c r="A907" s="67" t="inlineStr">
        <is>
          <t>73</t>
        </is>
      </c>
      <c r="B907" s="67" t="inlineStr">
        <is>
          <t>1071</t>
        </is>
      </c>
      <c r="C907" s="67" t="inlineStr">
        <is>
          <t>1614</t>
        </is>
      </c>
      <c r="D907" s="68" t="inlineStr">
        <is>
          <t>01</t>
        </is>
      </c>
      <c r="E907" s="68" t="inlineStr">
        <is>
          <t>6 物业施工费</t>
        </is>
      </c>
      <c r="F907" s="68" t="inlineStr">
        <is>
          <t>6.1 总承包工程</t>
        </is>
      </c>
      <c r="G907" s="68" t="inlineStr">
        <is>
          <t>6.1.4 空调通风工程</t>
        </is>
      </c>
      <c r="H907" s="68" t="inlineStr">
        <is>
          <t>风口</t>
        </is>
      </c>
      <c r="I907" s="69" t="inlineStr">
        <is>
          <t>1000040115</t>
        </is>
      </c>
      <c r="J907" s="69" t="inlineStr">
        <is>
          <t>风管保温修补（含风口移位的风管接驳费）</t>
        </is>
      </c>
      <c r="K907" s="70" t="n"/>
      <c r="L907" s="70" t="n"/>
      <c r="M907" s="71" t="inlineStr">
        <is>
          <t>项</t>
        </is>
      </c>
      <c r="N907" s="72" t="n"/>
      <c r="O907" s="72">
        <f>ROUND(N907*(1+$F$10),2)</f>
        <v/>
      </c>
      <c r="P907" s="73">
        <f>ROUND(K907*N907,2)</f>
        <v/>
      </c>
      <c r="Q907" s="74">
        <f>ROUND(L907*N907,2)</f>
        <v/>
      </c>
      <c r="R907" s="75" t="n"/>
      <c r="S907" s="76" t="n"/>
      <c r="T907" s="77">
        <f>K907-L907</f>
        <v/>
      </c>
      <c r="U907" s="77">
        <f>P907-Q907</f>
        <v/>
      </c>
      <c r="V907" s="77">
        <f>ABS(U907)</f>
        <v/>
      </c>
      <c r="W907" s="78">
        <f>T907/L907</f>
        <v/>
      </c>
      <c r="X907" s="79">
        <f>ABS(W907)</f>
        <v/>
      </c>
      <c r="AH907" s="80" t="inlineStr">
        <is>
          <t>委托书</t>
        </is>
      </c>
    </row>
    <row r="908" ht="11.4" customHeight="1">
      <c r="A908" s="67" t="inlineStr">
        <is>
          <t>73</t>
        </is>
      </c>
      <c r="B908" s="67" t="inlineStr">
        <is>
          <t>1071</t>
        </is>
      </c>
      <c r="C908" s="67" t="inlineStr">
        <is>
          <t>1614</t>
        </is>
      </c>
      <c r="D908" s="68" t="inlineStr">
        <is>
          <t>01</t>
        </is>
      </c>
      <c r="E908" s="68" t="inlineStr">
        <is>
          <t>6 物业施工费</t>
        </is>
      </c>
      <c r="F908" s="68" t="inlineStr">
        <is>
          <t>6.1 总承包工程</t>
        </is>
      </c>
      <c r="G908" s="68" t="inlineStr">
        <is>
          <t>6.1.4 空调通风工程</t>
        </is>
      </c>
      <c r="H908" s="68" t="inlineStr">
        <is>
          <t>设备安装</t>
        </is>
      </c>
      <c r="I908" s="69" t="inlineStr">
        <is>
          <t>1000021925</t>
        </is>
      </c>
      <c r="J908" s="69" t="inlineStr">
        <is>
          <t>智能变频通风系统安装</t>
        </is>
      </c>
      <c r="K908" s="70" t="n">
        <v>1</v>
      </c>
      <c r="L908" s="70" t="n">
        <v>1</v>
      </c>
      <c r="M908" s="71" t="inlineStr">
        <is>
          <t>项</t>
        </is>
      </c>
      <c r="N908" s="72" t="n">
        <v>2345</v>
      </c>
      <c r="O908" s="72">
        <f>ROUND(N908*(1+$F$10),2)</f>
        <v/>
      </c>
      <c r="P908" s="73">
        <f>ROUND(K908*N908,2)</f>
        <v/>
      </c>
      <c r="Q908" s="74">
        <f>ROUND(L908*N908,2)</f>
        <v/>
      </c>
      <c r="R908" s="75" t="n"/>
      <c r="S908" s="76" t="n"/>
      <c r="T908" s="77">
        <f>K908-L908</f>
        <v/>
      </c>
      <c r="U908" s="77">
        <f>P908-Q908</f>
        <v/>
      </c>
      <c r="V908" s="77">
        <f>ABS(U908)</f>
        <v/>
      </c>
      <c r="W908" s="78">
        <f>T908/L908</f>
        <v/>
      </c>
      <c r="X908" s="79">
        <f>ABS(W908)</f>
        <v/>
      </c>
      <c r="AH908" s="6" t="inlineStr">
        <is>
          <t>委托书\市场特性</t>
        </is>
      </c>
    </row>
    <row r="909" ht="11.4" customHeight="1">
      <c r="A909" s="67" t="inlineStr">
        <is>
          <t>73</t>
        </is>
      </c>
      <c r="B909" s="67" t="inlineStr">
        <is>
          <t>1071</t>
        </is>
      </c>
      <c r="C909" s="67" t="inlineStr">
        <is>
          <t>1614</t>
        </is>
      </c>
      <c r="D909" s="68" t="inlineStr">
        <is>
          <t>01</t>
        </is>
      </c>
      <c r="E909" s="68" t="inlineStr">
        <is>
          <t>6 物业施工费</t>
        </is>
      </c>
      <c r="F909" s="68" t="inlineStr">
        <is>
          <t>6.1 总承包工程</t>
        </is>
      </c>
      <c r="G909" s="68" t="inlineStr">
        <is>
          <t>6.1.4 空调通风工程</t>
        </is>
      </c>
      <c r="H909" s="68" t="inlineStr">
        <is>
          <t>设备安装</t>
        </is>
      </c>
      <c r="I909" s="69" t="inlineStr">
        <is>
          <t>1000022040</t>
        </is>
      </c>
      <c r="J909" s="69" t="inlineStr">
        <is>
          <t>F6+G4空气过滤系统安装（PM2.5&gt;35城市配备）</t>
        </is>
      </c>
      <c r="K909" s="70" t="n">
        <v>2</v>
      </c>
      <c r="L909" s="70" t="n">
        <v>2</v>
      </c>
      <c r="M909" s="71" t="inlineStr">
        <is>
          <t>套</t>
        </is>
      </c>
      <c r="N909" s="72" t="n">
        <v>649.73</v>
      </c>
      <c r="O909" s="72">
        <f>ROUND(N909*(1+$F$10),2)</f>
        <v/>
      </c>
      <c r="P909" s="73">
        <f>ROUND(K909*N909,2)</f>
        <v/>
      </c>
      <c r="Q909" s="74">
        <f>ROUND(L909*N909,2)</f>
        <v/>
      </c>
      <c r="R909" s="75" t="n"/>
      <c r="S909" s="76" t="n"/>
      <c r="T909" s="77">
        <f>K909-L909</f>
        <v/>
      </c>
      <c r="U909" s="77">
        <f>P909-Q909</f>
        <v/>
      </c>
      <c r="V909" s="77">
        <f>ABS(U909)</f>
        <v/>
      </c>
      <c r="W909" s="78">
        <f>T909/L909</f>
        <v/>
      </c>
      <c r="X909" s="79">
        <f>ABS(W909)</f>
        <v/>
      </c>
      <c r="AG909" s="80" t="inlineStr">
        <is>
          <t>个数</t>
        </is>
      </c>
    </row>
    <row r="910" ht="11.4" customHeight="1">
      <c r="A910" s="67" t="inlineStr">
        <is>
          <t>76</t>
        </is>
      </c>
      <c r="B910" s="67" t="inlineStr">
        <is>
          <t>1074</t>
        </is>
      </c>
      <c r="C910" s="67" t="inlineStr">
        <is>
          <t>1622</t>
        </is>
      </c>
      <c r="D910" s="68" t="inlineStr">
        <is>
          <t>01</t>
        </is>
      </c>
      <c r="E910" s="68" t="inlineStr">
        <is>
          <t>6 物业施工费</t>
        </is>
      </c>
      <c r="F910" s="68" t="inlineStr">
        <is>
          <t>6.2 消防系统</t>
        </is>
      </c>
      <c r="G910" s="68" t="inlineStr">
        <is>
          <t>消防工程</t>
        </is>
      </c>
      <c r="H910" s="68" t="inlineStr">
        <is>
          <t>消防工程(火灾自动报警系统)</t>
        </is>
      </c>
      <c r="I910" s="69" t="inlineStr">
        <is>
          <t>1000040049</t>
        </is>
      </c>
      <c r="J910" s="69" t="inlineStr">
        <is>
          <t>编码感烟探测器（含线管）</t>
        </is>
      </c>
      <c r="K910" s="70" t="n"/>
      <c r="L910" s="70" t="n"/>
      <c r="M910" s="71" t="inlineStr">
        <is>
          <t>只</t>
        </is>
      </c>
      <c r="N910" s="72" t="n">
        <v>510.81</v>
      </c>
      <c r="O910" s="72">
        <f>ROUND(N910*(1+$F$10),2)</f>
        <v/>
      </c>
      <c r="P910" s="73">
        <f>ROUND(K910*N910,2)</f>
        <v/>
      </c>
      <c r="Q910" s="74">
        <f>ROUND(L910*N910,2)</f>
        <v/>
      </c>
      <c r="R910" s="75" t="n"/>
      <c r="S910" s="76" t="n"/>
      <c r="T910" s="77">
        <f>K910-L910</f>
        <v/>
      </c>
      <c r="U910" s="77">
        <f>P910-Q910</f>
        <v/>
      </c>
      <c r="V910" s="77">
        <f>ABS(U910)</f>
        <v/>
      </c>
      <c r="W910" s="78">
        <f>T910/L910</f>
        <v/>
      </c>
      <c r="X910" s="79">
        <f>ABS(W910)</f>
        <v/>
      </c>
      <c r="AH910" s="80" t="inlineStr">
        <is>
          <t>待定</t>
        </is>
      </c>
    </row>
    <row r="911" ht="11.4" customHeight="1">
      <c r="A911" s="67" t="inlineStr">
        <is>
          <t>76</t>
        </is>
      </c>
      <c r="B911" s="67" t="inlineStr">
        <is>
          <t>1074</t>
        </is>
      </c>
      <c r="C911" s="67" t="inlineStr">
        <is>
          <t>1622</t>
        </is>
      </c>
      <c r="D911" s="68" t="inlineStr">
        <is>
          <t>01</t>
        </is>
      </c>
      <c r="E911" s="68" t="inlineStr">
        <is>
          <t>6 物业施工费</t>
        </is>
      </c>
      <c r="F911" s="68" t="inlineStr">
        <is>
          <t>6.2 消防系统</t>
        </is>
      </c>
      <c r="G911" s="68" t="inlineStr">
        <is>
          <t>消防工程</t>
        </is>
      </c>
      <c r="H911" s="68" t="inlineStr">
        <is>
          <t>消防工程(火灾自动报警系统)</t>
        </is>
      </c>
      <c r="I911" s="69" t="inlineStr">
        <is>
          <t>1000040050</t>
        </is>
      </c>
      <c r="J911" s="69" t="inlineStr">
        <is>
          <t>编码感温探测器（含线管）</t>
        </is>
      </c>
      <c r="K911" s="70" t="n"/>
      <c r="L911" s="70" t="n"/>
      <c r="M911" s="71" t="inlineStr">
        <is>
          <t>只</t>
        </is>
      </c>
      <c r="N911" s="72" t="n">
        <v>509.91</v>
      </c>
      <c r="O911" s="72">
        <f>ROUND(N911*(1+$F$10),2)</f>
        <v/>
      </c>
      <c r="P911" s="73">
        <f>ROUND(K911*N911,2)</f>
        <v/>
      </c>
      <c r="Q911" s="74">
        <f>ROUND(L911*N911,2)</f>
        <v/>
      </c>
      <c r="R911" s="75" t="n"/>
      <c r="S911" s="76" t="n"/>
      <c r="T911" s="77">
        <f>K911-L911</f>
        <v/>
      </c>
      <c r="U911" s="77">
        <f>P911-Q911</f>
        <v/>
      </c>
      <c r="V911" s="77">
        <f>ABS(U911)</f>
        <v/>
      </c>
      <c r="W911" s="78">
        <f>T911/L911</f>
        <v/>
      </c>
      <c r="X911" s="79">
        <f>ABS(W911)</f>
        <v/>
      </c>
      <c r="AH911" s="80" t="inlineStr">
        <is>
          <t>待定</t>
        </is>
      </c>
    </row>
    <row r="912" ht="11.4" customHeight="1">
      <c r="A912" s="67" t="inlineStr">
        <is>
          <t>76</t>
        </is>
      </c>
      <c r="B912" s="67" t="inlineStr">
        <is>
          <t>1074</t>
        </is>
      </c>
      <c r="C912" s="67" t="inlineStr">
        <is>
          <t>1622</t>
        </is>
      </c>
      <c r="D912" s="68" t="inlineStr">
        <is>
          <t>01</t>
        </is>
      </c>
      <c r="E912" s="68" t="inlineStr">
        <is>
          <t>6 物业施工费</t>
        </is>
      </c>
      <c r="F912" s="68" t="inlineStr">
        <is>
          <t>6.2 消防系统</t>
        </is>
      </c>
      <c r="G912" s="68" t="inlineStr">
        <is>
          <t>消防工程</t>
        </is>
      </c>
      <c r="H912" s="68" t="inlineStr">
        <is>
          <t>消防工程(火灾自动报警系统)</t>
        </is>
      </c>
      <c r="I912" s="69" t="inlineStr">
        <is>
          <t>1000040051</t>
        </is>
      </c>
      <c r="J912" s="69" t="inlineStr">
        <is>
          <t>消火栓按钮</t>
        </is>
      </c>
      <c r="K912" s="70" t="n"/>
      <c r="L912" s="70" t="n"/>
      <c r="M912" s="71" t="inlineStr">
        <is>
          <t>只</t>
        </is>
      </c>
      <c r="N912" s="72" t="n">
        <v>339.64</v>
      </c>
      <c r="O912" s="72">
        <f>ROUND(N912*(1+$F$10),2)</f>
        <v/>
      </c>
      <c r="P912" s="73">
        <f>ROUND(K912*N912,2)</f>
        <v/>
      </c>
      <c r="Q912" s="74">
        <f>ROUND(L912*N912,2)</f>
        <v/>
      </c>
      <c r="R912" s="75" t="n"/>
      <c r="S912" s="76" t="n"/>
      <c r="T912" s="77">
        <f>K912-L912</f>
        <v/>
      </c>
      <c r="U912" s="77">
        <f>P912-Q912</f>
        <v/>
      </c>
      <c r="V912" s="77">
        <f>ABS(U912)</f>
        <v/>
      </c>
      <c r="W912" s="78">
        <f>T912/L912</f>
        <v/>
      </c>
      <c r="X912" s="79">
        <f>ABS(W912)</f>
        <v/>
      </c>
      <c r="AH912" s="80" t="inlineStr">
        <is>
          <t>待定</t>
        </is>
      </c>
    </row>
    <row r="913" ht="11.4" customHeight="1">
      <c r="A913" s="67" t="inlineStr">
        <is>
          <t>76</t>
        </is>
      </c>
      <c r="B913" s="67" t="inlineStr">
        <is>
          <t>1074</t>
        </is>
      </c>
      <c r="C913" s="67" t="inlineStr">
        <is>
          <t>1622</t>
        </is>
      </c>
      <c r="D913" s="68" t="inlineStr">
        <is>
          <t>01</t>
        </is>
      </c>
      <c r="E913" s="68" t="inlineStr">
        <is>
          <t>6 物业施工费</t>
        </is>
      </c>
      <c r="F913" s="68" t="inlineStr">
        <is>
          <t>6.2 消防系统</t>
        </is>
      </c>
      <c r="G913" s="68" t="inlineStr">
        <is>
          <t>消防工程</t>
        </is>
      </c>
      <c r="H913" s="68" t="inlineStr">
        <is>
          <t>消防工程(火灾自动报警系统)</t>
        </is>
      </c>
      <c r="I913" s="69" t="inlineStr">
        <is>
          <t>1000040052</t>
        </is>
      </c>
      <c r="J913" s="69" t="inlineStr">
        <is>
          <t>手动报警按钮</t>
        </is>
      </c>
      <c r="K913" s="70" t="n"/>
      <c r="L913" s="70" t="n"/>
      <c r="M913" s="71" t="inlineStr">
        <is>
          <t>只</t>
        </is>
      </c>
      <c r="N913" s="72" t="n">
        <v>339.64</v>
      </c>
      <c r="O913" s="72">
        <f>ROUND(N913*(1+$F$10),2)</f>
        <v/>
      </c>
      <c r="P913" s="73">
        <f>ROUND(K913*N913,2)</f>
        <v/>
      </c>
      <c r="Q913" s="74">
        <f>ROUND(L913*N913,2)</f>
        <v/>
      </c>
      <c r="R913" s="75" t="n"/>
      <c r="S913" s="76" t="n"/>
      <c r="T913" s="77">
        <f>K913-L913</f>
        <v/>
      </c>
      <c r="U913" s="77">
        <f>P913-Q913</f>
        <v/>
      </c>
      <c r="V913" s="77">
        <f>ABS(U913)</f>
        <v/>
      </c>
      <c r="W913" s="78">
        <f>T913/L913</f>
        <v/>
      </c>
      <c r="X913" s="79">
        <f>ABS(W913)</f>
        <v/>
      </c>
      <c r="AH913" s="80" t="inlineStr">
        <is>
          <t>待定</t>
        </is>
      </c>
    </row>
    <row r="914" ht="11.4" customHeight="1">
      <c r="A914" s="67" t="inlineStr">
        <is>
          <t>76</t>
        </is>
      </c>
      <c r="B914" s="67" t="inlineStr">
        <is>
          <t>1074</t>
        </is>
      </c>
      <c r="C914" s="67" t="inlineStr">
        <is>
          <t>1622</t>
        </is>
      </c>
      <c r="D914" s="68" t="inlineStr">
        <is>
          <t>01</t>
        </is>
      </c>
      <c r="E914" s="68" t="inlineStr">
        <is>
          <t>6 物业施工费</t>
        </is>
      </c>
      <c r="F914" s="68" t="inlineStr">
        <is>
          <t>6.2 消防系统</t>
        </is>
      </c>
      <c r="G914" s="68" t="inlineStr">
        <is>
          <t>消防工程</t>
        </is>
      </c>
      <c r="H914" s="68" t="inlineStr">
        <is>
          <t>消防工程(火灾自动报警系统)</t>
        </is>
      </c>
      <c r="I914" s="69" t="inlineStr">
        <is>
          <t>1000040053</t>
        </is>
      </c>
      <c r="J914" s="69" t="inlineStr">
        <is>
          <t>警铃</t>
        </is>
      </c>
      <c r="K914" s="70" t="n"/>
      <c r="L914" s="70" t="n"/>
      <c r="M914" s="71" t="inlineStr">
        <is>
          <t>台</t>
        </is>
      </c>
      <c r="N914" s="72" t="n">
        <v>311.71</v>
      </c>
      <c r="O914" s="72">
        <f>ROUND(N914*(1+$F$10),2)</f>
        <v/>
      </c>
      <c r="P914" s="73">
        <f>ROUND(K914*N914,2)</f>
        <v/>
      </c>
      <c r="Q914" s="74">
        <f>ROUND(L914*N914,2)</f>
        <v/>
      </c>
      <c r="R914" s="75" t="n"/>
      <c r="S914" s="76" t="n"/>
      <c r="T914" s="77">
        <f>K914-L914</f>
        <v/>
      </c>
      <c r="U914" s="77">
        <f>P914-Q914</f>
        <v/>
      </c>
      <c r="V914" s="77">
        <f>ABS(U914)</f>
        <v/>
      </c>
      <c r="W914" s="78">
        <f>T914/L914</f>
        <v/>
      </c>
      <c r="X914" s="79">
        <f>ABS(W914)</f>
        <v/>
      </c>
      <c r="AH914" s="80" t="inlineStr">
        <is>
          <t>待定</t>
        </is>
      </c>
    </row>
    <row r="915" ht="11.4" customHeight="1">
      <c r="A915" s="67" t="inlineStr">
        <is>
          <t>76</t>
        </is>
      </c>
      <c r="B915" s="67" t="inlineStr">
        <is>
          <t>1074</t>
        </is>
      </c>
      <c r="C915" s="67" t="inlineStr">
        <is>
          <t>1622</t>
        </is>
      </c>
      <c r="D915" s="68" t="inlineStr">
        <is>
          <t>01</t>
        </is>
      </c>
      <c r="E915" s="68" t="inlineStr">
        <is>
          <t>6 物业施工费</t>
        </is>
      </c>
      <c r="F915" s="68" t="inlineStr">
        <is>
          <t>6.2 消防系统</t>
        </is>
      </c>
      <c r="G915" s="68" t="inlineStr">
        <is>
          <t>消防工程</t>
        </is>
      </c>
      <c r="H915" s="68" t="inlineStr">
        <is>
          <t>消防工程(火灾自动报警系统)</t>
        </is>
      </c>
      <c r="I915" s="69" t="inlineStr">
        <is>
          <t>1000040054</t>
        </is>
      </c>
      <c r="J915" s="69" t="inlineStr">
        <is>
          <t>总线控制模块</t>
        </is>
      </c>
      <c r="K915" s="70" t="n"/>
      <c r="L915" s="70" t="n"/>
      <c r="M915" s="71" t="inlineStr">
        <is>
          <t>只</t>
        </is>
      </c>
      <c r="N915" s="72" t="n">
        <v>625.23</v>
      </c>
      <c r="O915" s="72">
        <f>ROUND(N915*(1+$F$10),2)</f>
        <v/>
      </c>
      <c r="P915" s="73">
        <f>ROUND(K915*N915,2)</f>
        <v/>
      </c>
      <c r="Q915" s="74">
        <f>ROUND(L915*N915,2)</f>
        <v/>
      </c>
      <c r="R915" s="75" t="n"/>
      <c r="S915" s="76" t="n"/>
      <c r="T915" s="77">
        <f>K915-L915</f>
        <v/>
      </c>
      <c r="U915" s="77">
        <f>P915-Q915</f>
        <v/>
      </c>
      <c r="V915" s="77">
        <f>ABS(U915)</f>
        <v/>
      </c>
      <c r="W915" s="78">
        <f>T915/L915</f>
        <v/>
      </c>
      <c r="X915" s="79">
        <f>ABS(W915)</f>
        <v/>
      </c>
      <c r="AH915" s="80" t="inlineStr">
        <is>
          <t>待定</t>
        </is>
      </c>
    </row>
    <row r="916" ht="11.4" customHeight="1">
      <c r="A916" s="67" t="inlineStr">
        <is>
          <t>76</t>
        </is>
      </c>
      <c r="B916" s="67" t="inlineStr">
        <is>
          <t>1074</t>
        </is>
      </c>
      <c r="C916" s="67" t="inlineStr">
        <is>
          <t>1622</t>
        </is>
      </c>
      <c r="D916" s="68" t="inlineStr">
        <is>
          <t>01</t>
        </is>
      </c>
      <c r="E916" s="68" t="inlineStr">
        <is>
          <t>6 物业施工费</t>
        </is>
      </c>
      <c r="F916" s="68" t="inlineStr">
        <is>
          <t>6.2 消防系统</t>
        </is>
      </c>
      <c r="G916" s="68" t="inlineStr">
        <is>
          <t>消防工程</t>
        </is>
      </c>
      <c r="H916" s="68" t="inlineStr">
        <is>
          <t>消防工程(火灾自动报警系统)</t>
        </is>
      </c>
      <c r="I916" s="69" t="inlineStr">
        <is>
          <t>1000040055</t>
        </is>
      </c>
      <c r="J916" s="69" t="inlineStr">
        <is>
          <t>消防箱（端子箱）</t>
        </is>
      </c>
      <c r="K916" s="70" t="n"/>
      <c r="L916" s="70" t="n"/>
      <c r="M916" s="71" t="inlineStr">
        <is>
          <t>套</t>
        </is>
      </c>
      <c r="N916" s="72" t="n">
        <v>556.76</v>
      </c>
      <c r="O916" s="72">
        <f>ROUND(N916*(1+$F$10),2)</f>
        <v/>
      </c>
      <c r="P916" s="73">
        <f>ROUND(K916*N916,2)</f>
        <v/>
      </c>
      <c r="Q916" s="74">
        <f>ROUND(L916*N916,2)</f>
        <v/>
      </c>
      <c r="R916" s="75" t="n"/>
      <c r="S916" s="76" t="n"/>
      <c r="T916" s="77">
        <f>K916-L916</f>
        <v/>
      </c>
      <c r="U916" s="77">
        <f>P916-Q916</f>
        <v/>
      </c>
      <c r="V916" s="77">
        <f>ABS(U916)</f>
        <v/>
      </c>
      <c r="W916" s="78">
        <f>T916/L916</f>
        <v/>
      </c>
      <c r="X916" s="79">
        <f>ABS(W916)</f>
        <v/>
      </c>
      <c r="AH916" s="80" t="inlineStr">
        <is>
          <t>待定</t>
        </is>
      </c>
    </row>
    <row r="917" ht="11.4" customHeight="1">
      <c r="A917" s="67" t="inlineStr">
        <is>
          <t>76</t>
        </is>
      </c>
      <c r="B917" s="67" t="inlineStr">
        <is>
          <t>1074</t>
        </is>
      </c>
      <c r="C917" s="67" t="inlineStr">
        <is>
          <t>1622</t>
        </is>
      </c>
      <c r="D917" s="68" t="inlineStr">
        <is>
          <t>01</t>
        </is>
      </c>
      <c r="E917" s="68" t="inlineStr">
        <is>
          <t>6 物业施工费</t>
        </is>
      </c>
      <c r="F917" s="68" t="inlineStr">
        <is>
          <t>6.2 消防系统</t>
        </is>
      </c>
      <c r="G917" s="68" t="inlineStr">
        <is>
          <t>消防工程</t>
        </is>
      </c>
      <c r="H917" s="68" t="inlineStr">
        <is>
          <t>消防工程(火灾自动报警系统)</t>
        </is>
      </c>
      <c r="I917" s="69" t="inlineStr">
        <is>
          <t>1000040056</t>
        </is>
      </c>
      <c r="J917" s="69" t="inlineStr">
        <is>
          <t>自动报警系统装置调试</t>
        </is>
      </c>
      <c r="K917" s="70" t="n"/>
      <c r="L917" s="70" t="n"/>
      <c r="M917" s="71" t="inlineStr">
        <is>
          <t>系统</t>
        </is>
      </c>
      <c r="N917" s="72" t="n">
        <v>3112.61</v>
      </c>
      <c r="O917" s="72">
        <f>ROUND(N917*(1+$F$10),2)</f>
        <v/>
      </c>
      <c r="P917" s="73">
        <f>ROUND(K917*N917,2)</f>
        <v/>
      </c>
      <c r="Q917" s="74">
        <f>ROUND(L917*N917,2)</f>
        <v/>
      </c>
      <c r="R917" s="75" t="n"/>
      <c r="S917" s="76" t="n"/>
      <c r="T917" s="77">
        <f>K917-L917</f>
        <v/>
      </c>
      <c r="U917" s="77">
        <f>P917-Q917</f>
        <v/>
      </c>
      <c r="V917" s="77">
        <f>ABS(U917)</f>
        <v/>
      </c>
      <c r="W917" s="78">
        <f>T917/L917</f>
        <v/>
      </c>
      <c r="X917" s="79">
        <f>ABS(W917)</f>
        <v/>
      </c>
      <c r="AH917" s="80" t="inlineStr">
        <is>
          <t>待定</t>
        </is>
      </c>
    </row>
    <row r="918" ht="11.4" customHeight="1">
      <c r="A918" s="67" t="inlineStr">
        <is>
          <t>76</t>
        </is>
      </c>
      <c r="B918" s="67" t="inlineStr">
        <is>
          <t>1074</t>
        </is>
      </c>
      <c r="C918" s="67" t="inlineStr">
        <is>
          <t>1622</t>
        </is>
      </c>
      <c r="D918" s="68" t="inlineStr">
        <is>
          <t>01</t>
        </is>
      </c>
      <c r="E918" s="68" t="inlineStr">
        <is>
          <t>6 物业施工费</t>
        </is>
      </c>
      <c r="F918" s="68" t="inlineStr">
        <is>
          <t>6.2 消防系统</t>
        </is>
      </c>
      <c r="G918" s="68" t="inlineStr">
        <is>
          <t>消防工程</t>
        </is>
      </c>
      <c r="H918" s="68" t="inlineStr">
        <is>
          <t>消防工程(火灾自动报警系统)</t>
        </is>
      </c>
      <c r="I918" s="69" t="inlineStr">
        <is>
          <t>1000040057</t>
        </is>
      </c>
      <c r="J918" s="69" t="inlineStr">
        <is>
          <t>防火阀</t>
        </is>
      </c>
      <c r="K918" s="70" t="n"/>
      <c r="L918" s="70" t="n"/>
      <c r="M918" s="71" t="inlineStr">
        <is>
          <t>只</t>
        </is>
      </c>
      <c r="N918" s="72" t="n">
        <v>290.09</v>
      </c>
      <c r="O918" s="72">
        <f>ROUND(N918*(1+$F$10),2)</f>
        <v/>
      </c>
      <c r="P918" s="73">
        <f>ROUND(K918*N918,2)</f>
        <v/>
      </c>
      <c r="Q918" s="74">
        <f>ROUND(L918*N918,2)</f>
        <v/>
      </c>
      <c r="R918" s="75" t="n"/>
      <c r="S918" s="76" t="n"/>
      <c r="T918" s="77">
        <f>K918-L918</f>
        <v/>
      </c>
      <c r="U918" s="77">
        <f>P918-Q918</f>
        <v/>
      </c>
      <c r="V918" s="77">
        <f>ABS(U918)</f>
        <v/>
      </c>
      <c r="W918" s="78">
        <f>T918/L918</f>
        <v/>
      </c>
      <c r="X918" s="79">
        <f>ABS(W918)</f>
        <v/>
      </c>
      <c r="AH918" s="80" t="inlineStr">
        <is>
          <t>待定</t>
        </is>
      </c>
    </row>
    <row r="919" ht="11.4" customHeight="1">
      <c r="A919" s="67" t="inlineStr">
        <is>
          <t>76</t>
        </is>
      </c>
      <c r="B919" s="67" t="inlineStr">
        <is>
          <t>1074</t>
        </is>
      </c>
      <c r="C919" s="67" t="inlineStr">
        <is>
          <t>1622</t>
        </is>
      </c>
      <c r="D919" s="68" t="inlineStr">
        <is>
          <t>01</t>
        </is>
      </c>
      <c r="E919" s="68" t="inlineStr">
        <is>
          <t>6 物业施工费</t>
        </is>
      </c>
      <c r="F919" s="68" t="inlineStr">
        <is>
          <t>6.2 消防系统</t>
        </is>
      </c>
      <c r="G919" s="68" t="inlineStr">
        <is>
          <t>消防工程</t>
        </is>
      </c>
      <c r="H919" s="68" t="inlineStr">
        <is>
          <t>消防工程(消防广播系统系统)</t>
        </is>
      </c>
      <c r="I919" s="69" t="inlineStr">
        <is>
          <t>1000040058</t>
        </is>
      </c>
      <c r="J919" s="69" t="inlineStr">
        <is>
          <t>消防切换模块</t>
        </is>
      </c>
      <c r="K919" s="70" t="n"/>
      <c r="L919" s="70" t="n"/>
      <c r="M919" s="71" t="inlineStr">
        <is>
          <t>只</t>
        </is>
      </c>
      <c r="N919" s="72" t="n">
        <v>271.17</v>
      </c>
      <c r="O919" s="72">
        <f>ROUND(N919*(1+$F$10),2)</f>
        <v/>
      </c>
      <c r="P919" s="73">
        <f>ROUND(K919*N919,2)</f>
        <v/>
      </c>
      <c r="Q919" s="74">
        <f>ROUND(L919*N919,2)</f>
        <v/>
      </c>
      <c r="R919" s="75" t="n"/>
      <c r="S919" s="76" t="n"/>
      <c r="T919" s="77">
        <f>K919-L919</f>
        <v/>
      </c>
      <c r="U919" s="77">
        <f>P919-Q919</f>
        <v/>
      </c>
      <c r="V919" s="77">
        <f>ABS(U919)</f>
        <v/>
      </c>
      <c r="W919" s="78">
        <f>T919/L919</f>
        <v/>
      </c>
      <c r="X919" s="79">
        <f>ABS(W919)</f>
        <v/>
      </c>
      <c r="AH919" s="80" t="inlineStr">
        <is>
          <t>待定</t>
        </is>
      </c>
    </row>
    <row r="920" ht="11.4" customHeight="1">
      <c r="A920" s="67" t="inlineStr">
        <is>
          <t>76</t>
        </is>
      </c>
      <c r="B920" s="67" t="inlineStr">
        <is>
          <t>1074</t>
        </is>
      </c>
      <c r="C920" s="67" t="inlineStr">
        <is>
          <t>1622</t>
        </is>
      </c>
      <c r="D920" s="68" t="inlineStr">
        <is>
          <t>01</t>
        </is>
      </c>
      <c r="E920" s="68" t="inlineStr">
        <is>
          <t>6 物业施工费</t>
        </is>
      </c>
      <c r="F920" s="68" t="inlineStr">
        <is>
          <t>6.2 消防系统</t>
        </is>
      </c>
      <c r="G920" s="68" t="inlineStr">
        <is>
          <t>消防工程</t>
        </is>
      </c>
      <c r="H920" s="68" t="inlineStr">
        <is>
          <t>消防工程(消防广播系统系统)</t>
        </is>
      </c>
      <c r="I920" s="69" t="inlineStr">
        <is>
          <t>1000040059</t>
        </is>
      </c>
      <c r="J920" s="69" t="inlineStr">
        <is>
          <t>广播驱动模块(音响主机)</t>
        </is>
      </c>
      <c r="K920" s="70" t="n"/>
      <c r="L920" s="70" t="n"/>
      <c r="M920" s="71" t="inlineStr">
        <is>
          <t>套</t>
        </is>
      </c>
      <c r="N920" s="72" t="n">
        <v>1794.59</v>
      </c>
      <c r="O920" s="72">
        <f>ROUND(N920*(1+$F$10),2)</f>
        <v/>
      </c>
      <c r="P920" s="73">
        <f>ROUND(K920*N920,2)</f>
        <v/>
      </c>
      <c r="Q920" s="74">
        <f>ROUND(L920*N920,2)</f>
        <v/>
      </c>
      <c r="R920" s="75" t="n"/>
      <c r="S920" s="76" t="n"/>
      <c r="T920" s="77">
        <f>K920-L920</f>
        <v/>
      </c>
      <c r="U920" s="77">
        <f>P920-Q920</f>
        <v/>
      </c>
      <c r="V920" s="77">
        <f>ABS(U920)</f>
        <v/>
      </c>
      <c r="W920" s="78">
        <f>T920/L920</f>
        <v/>
      </c>
      <c r="X920" s="79">
        <f>ABS(W920)</f>
        <v/>
      </c>
      <c r="AH920" s="80" t="inlineStr">
        <is>
          <t>待定</t>
        </is>
      </c>
    </row>
    <row r="921" ht="11.4" customHeight="1">
      <c r="A921" s="67" t="inlineStr">
        <is>
          <t>76</t>
        </is>
      </c>
      <c r="B921" s="67" t="inlineStr">
        <is>
          <t>1074</t>
        </is>
      </c>
      <c r="C921" s="67" t="inlineStr">
        <is>
          <t>1622</t>
        </is>
      </c>
      <c r="D921" s="68" t="inlineStr">
        <is>
          <t>01</t>
        </is>
      </c>
      <c r="E921" s="68" t="inlineStr">
        <is>
          <t>6 物业施工费</t>
        </is>
      </c>
      <c r="F921" s="68" t="inlineStr">
        <is>
          <t>6.2 消防系统</t>
        </is>
      </c>
      <c r="G921" s="68" t="inlineStr">
        <is>
          <t>消防工程</t>
        </is>
      </c>
      <c r="H921" s="68" t="inlineStr">
        <is>
          <t>消防工程(消防广播系统系统)</t>
        </is>
      </c>
      <c r="I921" s="69" t="inlineStr">
        <is>
          <t>1000040060</t>
        </is>
      </c>
      <c r="J921" s="69" t="inlineStr">
        <is>
          <t>消防广播系统调试</t>
        </is>
      </c>
      <c r="K921" s="70" t="n"/>
      <c r="L921" s="70" t="n"/>
      <c r="M921" s="71" t="inlineStr">
        <is>
          <t>项</t>
        </is>
      </c>
      <c r="N921" s="72" t="n">
        <v>2774.77</v>
      </c>
      <c r="O921" s="72">
        <f>ROUND(N921*(1+$F$10),2)</f>
        <v/>
      </c>
      <c r="P921" s="73">
        <f>ROUND(K921*N921,2)</f>
        <v/>
      </c>
      <c r="Q921" s="74">
        <f>ROUND(L921*N921,2)</f>
        <v/>
      </c>
      <c r="R921" s="75" t="n"/>
      <c r="S921" s="76" t="n"/>
      <c r="T921" s="77">
        <f>K921-L921</f>
        <v/>
      </c>
      <c r="U921" s="77">
        <f>P921-Q921</f>
        <v/>
      </c>
      <c r="V921" s="77">
        <f>ABS(U921)</f>
        <v/>
      </c>
      <c r="W921" s="78">
        <f>T921/L921</f>
        <v/>
      </c>
      <c r="X921" s="79">
        <f>ABS(W921)</f>
        <v/>
      </c>
      <c r="AH921" s="80" t="inlineStr">
        <is>
          <t>待定</t>
        </is>
      </c>
    </row>
    <row r="922" ht="11.4" customHeight="1">
      <c r="A922" s="67" t="inlineStr">
        <is>
          <t>76</t>
        </is>
      </c>
      <c r="B922" s="67" t="inlineStr">
        <is>
          <t>1074</t>
        </is>
      </c>
      <c r="C922" s="67" t="inlineStr">
        <is>
          <t>1622</t>
        </is>
      </c>
      <c r="D922" s="68" t="inlineStr">
        <is>
          <t>01</t>
        </is>
      </c>
      <c r="E922" s="68" t="inlineStr">
        <is>
          <t>6 物业施工费</t>
        </is>
      </c>
      <c r="F922" s="68" t="inlineStr">
        <is>
          <t>6.2 消防系统</t>
        </is>
      </c>
      <c r="G922" s="68" t="inlineStr">
        <is>
          <t>消防工程</t>
        </is>
      </c>
      <c r="H922" s="68" t="inlineStr">
        <is>
          <t>消防工程(水灭火系统)</t>
        </is>
      </c>
      <c r="I922" s="69" t="inlineStr">
        <is>
          <t>1000040061</t>
        </is>
      </c>
      <c r="J922" s="69" t="inlineStr">
        <is>
          <t>水喷头(普通型)</t>
        </is>
      </c>
      <c r="K922" s="70" t="n"/>
      <c r="L922" s="70" t="n"/>
      <c r="M922" s="71" t="inlineStr">
        <is>
          <t>个</t>
        </is>
      </c>
      <c r="N922" s="72" t="n">
        <v>63.96</v>
      </c>
      <c r="O922" s="72">
        <f>ROUND(N922*(1+$F$10),2)</f>
        <v/>
      </c>
      <c r="P922" s="73">
        <f>ROUND(K922*N922,2)</f>
        <v/>
      </c>
      <c r="Q922" s="74">
        <f>ROUND(L922*N922,2)</f>
        <v/>
      </c>
      <c r="R922" s="75" t="n"/>
      <c r="S922" s="76" t="n"/>
      <c r="T922" s="77">
        <f>K922-L922</f>
        <v/>
      </c>
      <c r="U922" s="77">
        <f>P922-Q922</f>
        <v/>
      </c>
      <c r="V922" s="77">
        <f>ABS(U922)</f>
        <v/>
      </c>
      <c r="W922" s="78">
        <f>T922/L922</f>
        <v/>
      </c>
      <c r="X922" s="79">
        <f>ABS(W922)</f>
        <v/>
      </c>
      <c r="AH922" s="80" t="inlineStr">
        <is>
          <t>待定</t>
        </is>
      </c>
    </row>
    <row r="923" ht="11.4" customHeight="1">
      <c r="A923" s="67" t="inlineStr">
        <is>
          <t>76</t>
        </is>
      </c>
      <c r="B923" s="67" t="inlineStr">
        <is>
          <t>1074</t>
        </is>
      </c>
      <c r="C923" s="67" t="inlineStr">
        <is>
          <t>1622</t>
        </is>
      </c>
      <c r="D923" s="68" t="inlineStr">
        <is>
          <t>01</t>
        </is>
      </c>
      <c r="E923" s="68" t="inlineStr">
        <is>
          <t>6 物业施工费</t>
        </is>
      </c>
      <c r="F923" s="68" t="inlineStr">
        <is>
          <t>6.2 消防系统</t>
        </is>
      </c>
      <c r="G923" s="68" t="inlineStr">
        <is>
          <t>消防工程</t>
        </is>
      </c>
      <c r="H923" s="68" t="inlineStr">
        <is>
          <t>消防工程(水灭火系统)</t>
        </is>
      </c>
      <c r="I923" s="69" t="inlineStr">
        <is>
          <t>1000040062</t>
        </is>
      </c>
      <c r="J923" s="69" t="inlineStr">
        <is>
          <t>水喷头防护罩</t>
        </is>
      </c>
      <c r="K923" s="70" t="n"/>
      <c r="L923" s="70" t="n"/>
      <c r="M923" s="71" t="inlineStr">
        <is>
          <t>个</t>
        </is>
      </c>
      <c r="N923" s="72" t="n">
        <v>17.35</v>
      </c>
      <c r="O923" s="72">
        <f>ROUND(N923*(1+$F$10),2)</f>
        <v/>
      </c>
      <c r="P923" s="73">
        <f>ROUND(K923*N923,2)</f>
        <v/>
      </c>
      <c r="Q923" s="74">
        <f>ROUND(L923*N923,2)</f>
        <v/>
      </c>
      <c r="R923" s="75" t="n"/>
      <c r="S923" s="76" t="n"/>
      <c r="T923" s="77">
        <f>K923-L923</f>
        <v/>
      </c>
      <c r="U923" s="77">
        <f>P923-Q923</f>
        <v/>
      </c>
      <c r="V923" s="77">
        <f>ABS(U923)</f>
        <v/>
      </c>
      <c r="W923" s="78">
        <f>T923/L923</f>
        <v/>
      </c>
      <c r="X923" s="79">
        <f>ABS(W923)</f>
        <v/>
      </c>
      <c r="AH923" s="80" t="inlineStr">
        <is>
          <t>待定</t>
        </is>
      </c>
    </row>
    <row r="924" ht="11.4" customHeight="1">
      <c r="A924" s="67" t="inlineStr">
        <is>
          <t>76</t>
        </is>
      </c>
      <c r="B924" s="67" t="inlineStr">
        <is>
          <t>1074</t>
        </is>
      </c>
      <c r="C924" s="67" t="inlineStr">
        <is>
          <t>1622</t>
        </is>
      </c>
      <c r="D924" s="68" t="inlineStr">
        <is>
          <t>01</t>
        </is>
      </c>
      <c r="E924" s="68" t="inlineStr">
        <is>
          <t>6 物业施工费</t>
        </is>
      </c>
      <c r="F924" s="68" t="inlineStr">
        <is>
          <t>6.2 消防系统</t>
        </is>
      </c>
      <c r="G924" s="68" t="inlineStr">
        <is>
          <t>消防工程</t>
        </is>
      </c>
      <c r="H924" s="68" t="inlineStr">
        <is>
          <t>消防工程(水灭火系统)</t>
        </is>
      </c>
      <c r="I924" s="69" t="inlineStr">
        <is>
          <t>1000040063</t>
        </is>
      </c>
      <c r="J924" s="69" t="inlineStr">
        <is>
          <t>水喷淋镀锌钢管DN25</t>
        </is>
      </c>
      <c r="K924" s="70" t="n"/>
      <c r="L924" s="70" t="n"/>
      <c r="M924" s="71" t="inlineStr">
        <is>
          <t>米</t>
        </is>
      </c>
      <c r="N924" s="72" t="n">
        <v>44</v>
      </c>
      <c r="O924" s="72">
        <f>ROUND(N924*(1+$F$10),2)</f>
        <v/>
      </c>
      <c r="P924" s="73">
        <f>ROUND(K924*N924,2)</f>
        <v/>
      </c>
      <c r="Q924" s="74">
        <f>ROUND(L924*N924,2)</f>
        <v/>
      </c>
      <c r="R924" s="75" t="n"/>
      <c r="S924" s="76" t="n"/>
      <c r="T924" s="77">
        <f>K924-L924</f>
        <v/>
      </c>
      <c r="U924" s="77">
        <f>P924-Q924</f>
        <v/>
      </c>
      <c r="V924" s="77">
        <f>ABS(U924)</f>
        <v/>
      </c>
      <c r="W924" s="78">
        <f>T924/L924</f>
        <v/>
      </c>
      <c r="X924" s="79">
        <f>ABS(W924)</f>
        <v/>
      </c>
      <c r="AH924" s="80" t="inlineStr">
        <is>
          <t>待定</t>
        </is>
      </c>
    </row>
    <row r="925" ht="11.4" customHeight="1">
      <c r="A925" s="67" t="inlineStr">
        <is>
          <t>76</t>
        </is>
      </c>
      <c r="B925" s="67" t="inlineStr">
        <is>
          <t>1074</t>
        </is>
      </c>
      <c r="C925" s="67" t="inlineStr">
        <is>
          <t>1622</t>
        </is>
      </c>
      <c r="D925" s="68" t="inlineStr">
        <is>
          <t>01</t>
        </is>
      </c>
      <c r="E925" s="68" t="inlineStr">
        <is>
          <t>6 物业施工费</t>
        </is>
      </c>
      <c r="F925" s="68" t="inlineStr">
        <is>
          <t>6.2 消防系统</t>
        </is>
      </c>
      <c r="G925" s="68" t="inlineStr">
        <is>
          <t>消防工程</t>
        </is>
      </c>
      <c r="H925" s="68" t="inlineStr">
        <is>
          <t>消防工程(水灭火系统)</t>
        </is>
      </c>
      <c r="I925" s="69" t="inlineStr">
        <is>
          <t>1000040064</t>
        </is>
      </c>
      <c r="J925" s="69" t="inlineStr">
        <is>
          <t>水喷淋镀锌钢管DN32</t>
        </is>
      </c>
      <c r="K925" s="70" t="n"/>
      <c r="L925" s="70" t="n"/>
      <c r="M925" s="71" t="inlineStr">
        <is>
          <t>米</t>
        </is>
      </c>
      <c r="N925" s="72" t="n">
        <v>55.86</v>
      </c>
      <c r="O925" s="72">
        <f>ROUND(N925*(1+$F$10),2)</f>
        <v/>
      </c>
      <c r="P925" s="73">
        <f>ROUND(K925*N925,2)</f>
        <v/>
      </c>
      <c r="Q925" s="74">
        <f>ROUND(L925*N925,2)</f>
        <v/>
      </c>
      <c r="R925" s="75" t="n"/>
      <c r="S925" s="76" t="n"/>
      <c r="T925" s="77">
        <f>K925-L925</f>
        <v/>
      </c>
      <c r="U925" s="77">
        <f>P925-Q925</f>
        <v/>
      </c>
      <c r="V925" s="77">
        <f>ABS(U925)</f>
        <v/>
      </c>
      <c r="W925" s="78">
        <f>T925/L925</f>
        <v/>
      </c>
      <c r="X925" s="79">
        <f>ABS(W925)</f>
        <v/>
      </c>
      <c r="AH925" s="80" t="inlineStr">
        <is>
          <t>待定</t>
        </is>
      </c>
    </row>
    <row r="926" ht="11.4" customHeight="1">
      <c r="A926" s="67" t="inlineStr">
        <is>
          <t>76</t>
        </is>
      </c>
      <c r="B926" s="67" t="inlineStr">
        <is>
          <t>1074</t>
        </is>
      </c>
      <c r="C926" s="67" t="inlineStr">
        <is>
          <t>1622</t>
        </is>
      </c>
      <c r="D926" s="68" t="inlineStr">
        <is>
          <t>01</t>
        </is>
      </c>
      <c r="E926" s="68" t="inlineStr">
        <is>
          <t>6 物业施工费</t>
        </is>
      </c>
      <c r="F926" s="68" t="inlineStr">
        <is>
          <t>6.2 消防系统</t>
        </is>
      </c>
      <c r="G926" s="68" t="inlineStr">
        <is>
          <t>消防工程</t>
        </is>
      </c>
      <c r="H926" s="68" t="inlineStr">
        <is>
          <t>消防工程(水灭火系统)</t>
        </is>
      </c>
      <c r="I926" s="69" t="inlineStr">
        <is>
          <t>1000040065</t>
        </is>
      </c>
      <c r="J926" s="69" t="inlineStr">
        <is>
          <t>水喷淋镀锌钢管DN40</t>
        </is>
      </c>
      <c r="K926" s="70" t="n"/>
      <c r="L926" s="70" t="n"/>
      <c r="M926" s="71" t="inlineStr">
        <is>
          <t>米</t>
        </is>
      </c>
      <c r="N926" s="72" t="n">
        <v>70.27</v>
      </c>
      <c r="O926" s="72">
        <f>ROUND(N926*(1+$F$10),2)</f>
        <v/>
      </c>
      <c r="P926" s="73">
        <f>ROUND(K926*N926,2)</f>
        <v/>
      </c>
      <c r="Q926" s="74">
        <f>ROUND(L926*N926,2)</f>
        <v/>
      </c>
      <c r="R926" s="75" t="n"/>
      <c r="S926" s="76" t="n"/>
      <c r="T926" s="77">
        <f>K926-L926</f>
        <v/>
      </c>
      <c r="U926" s="77">
        <f>P926-Q926</f>
        <v/>
      </c>
      <c r="V926" s="77">
        <f>ABS(U926)</f>
        <v/>
      </c>
      <c r="W926" s="78">
        <f>T926/L926</f>
        <v/>
      </c>
      <c r="X926" s="79">
        <f>ABS(W926)</f>
        <v/>
      </c>
      <c r="AH926" s="80" t="inlineStr">
        <is>
          <t>待定</t>
        </is>
      </c>
    </row>
    <row r="927" ht="11.4" customHeight="1">
      <c r="A927" s="67" t="inlineStr">
        <is>
          <t>76</t>
        </is>
      </c>
      <c r="B927" s="67" t="inlineStr">
        <is>
          <t>1074</t>
        </is>
      </c>
      <c r="C927" s="67" t="inlineStr">
        <is>
          <t>1622</t>
        </is>
      </c>
      <c r="D927" s="68" t="inlineStr">
        <is>
          <t>01</t>
        </is>
      </c>
      <c r="E927" s="68" t="inlineStr">
        <is>
          <t>6 物业施工费</t>
        </is>
      </c>
      <c r="F927" s="68" t="inlineStr">
        <is>
          <t>6.2 消防系统</t>
        </is>
      </c>
      <c r="G927" s="68" t="inlineStr">
        <is>
          <t>消防工程</t>
        </is>
      </c>
      <c r="H927" s="68" t="inlineStr">
        <is>
          <t>消防工程(水灭火系统)</t>
        </is>
      </c>
      <c r="I927" s="69" t="inlineStr">
        <is>
          <t>1000040066</t>
        </is>
      </c>
      <c r="J927" s="69" t="inlineStr">
        <is>
          <t>水喷淋镀锌钢管DN50</t>
        </is>
      </c>
      <c r="K927" s="70" t="n"/>
      <c r="L927" s="70" t="n"/>
      <c r="M927" s="71" t="inlineStr">
        <is>
          <t>米</t>
        </is>
      </c>
      <c r="N927" s="72" t="n">
        <v>101.8</v>
      </c>
      <c r="O927" s="72">
        <f>ROUND(N927*(1+$F$10),2)</f>
        <v/>
      </c>
      <c r="P927" s="73">
        <f>ROUND(K927*N927,2)</f>
        <v/>
      </c>
      <c r="Q927" s="74">
        <f>ROUND(L927*N927,2)</f>
        <v/>
      </c>
      <c r="R927" s="75" t="n"/>
      <c r="S927" s="76" t="n"/>
      <c r="T927" s="77">
        <f>K927-L927</f>
        <v/>
      </c>
      <c r="U927" s="77">
        <f>P927-Q927</f>
        <v/>
      </c>
      <c r="V927" s="77">
        <f>ABS(U927)</f>
        <v/>
      </c>
      <c r="W927" s="78">
        <f>T927/L927</f>
        <v/>
      </c>
      <c r="X927" s="79">
        <f>ABS(W927)</f>
        <v/>
      </c>
      <c r="AH927" s="80" t="inlineStr">
        <is>
          <t>待定</t>
        </is>
      </c>
    </row>
    <row r="928" ht="11.4" customHeight="1">
      <c r="A928" s="67" t="inlineStr">
        <is>
          <t>76</t>
        </is>
      </c>
      <c r="B928" s="67" t="inlineStr">
        <is>
          <t>1074</t>
        </is>
      </c>
      <c r="C928" s="67" t="inlineStr">
        <is>
          <t>1622</t>
        </is>
      </c>
      <c r="D928" s="68" t="inlineStr">
        <is>
          <t>01</t>
        </is>
      </c>
      <c r="E928" s="68" t="inlineStr">
        <is>
          <t>6 物业施工费</t>
        </is>
      </c>
      <c r="F928" s="68" t="inlineStr">
        <is>
          <t>6.2 消防系统</t>
        </is>
      </c>
      <c r="G928" s="68" t="inlineStr">
        <is>
          <t>消防工程</t>
        </is>
      </c>
      <c r="H928" s="68" t="inlineStr">
        <is>
          <t>消防工程(水灭火系统)</t>
        </is>
      </c>
      <c r="I928" s="69" t="inlineStr">
        <is>
          <t>1000040067</t>
        </is>
      </c>
      <c r="J928" s="69" t="inlineStr">
        <is>
          <t>水喷淋镀锌钢管DN70</t>
        </is>
      </c>
      <c r="K928" s="70" t="n"/>
      <c r="L928" s="70" t="n"/>
      <c r="M928" s="71" t="inlineStr">
        <is>
          <t>米</t>
        </is>
      </c>
      <c r="N928" s="72" t="n">
        <v>118.02</v>
      </c>
      <c r="O928" s="72">
        <f>ROUND(N928*(1+$F$10),2)</f>
        <v/>
      </c>
      <c r="P928" s="73">
        <f>ROUND(K928*N928,2)</f>
        <v/>
      </c>
      <c r="Q928" s="74">
        <f>ROUND(L928*N928,2)</f>
        <v/>
      </c>
      <c r="R928" s="75" t="n"/>
      <c r="S928" s="76" t="n"/>
      <c r="T928" s="77">
        <f>K928-L928</f>
        <v/>
      </c>
      <c r="U928" s="77">
        <f>P928-Q928</f>
        <v/>
      </c>
      <c r="V928" s="77">
        <f>ABS(U928)</f>
        <v/>
      </c>
      <c r="W928" s="78">
        <f>T928/L928</f>
        <v/>
      </c>
      <c r="X928" s="79">
        <f>ABS(W928)</f>
        <v/>
      </c>
      <c r="AH928" s="80" t="inlineStr">
        <is>
          <t>待定</t>
        </is>
      </c>
    </row>
    <row r="929" ht="11.4" customHeight="1">
      <c r="A929" s="67" t="inlineStr">
        <is>
          <t>76</t>
        </is>
      </c>
      <c r="B929" s="67" t="inlineStr">
        <is>
          <t>1074</t>
        </is>
      </c>
      <c r="C929" s="67" t="inlineStr">
        <is>
          <t>1622</t>
        </is>
      </c>
      <c r="D929" s="68" t="inlineStr">
        <is>
          <t>01</t>
        </is>
      </c>
      <c r="E929" s="68" t="inlineStr">
        <is>
          <t>6 物业施工费</t>
        </is>
      </c>
      <c r="F929" s="68" t="inlineStr">
        <is>
          <t>6.2 消防系统</t>
        </is>
      </c>
      <c r="G929" s="68" t="inlineStr">
        <is>
          <t>消防工程</t>
        </is>
      </c>
      <c r="H929" s="68" t="inlineStr">
        <is>
          <t>消防工程(水灭火系统)</t>
        </is>
      </c>
      <c r="I929" s="69" t="inlineStr">
        <is>
          <t>1000040068</t>
        </is>
      </c>
      <c r="J929" s="69" t="inlineStr">
        <is>
          <t>水喷淋镀锌钢管DN80</t>
        </is>
      </c>
      <c r="K929" s="70" t="n"/>
      <c r="L929" s="70" t="n"/>
      <c r="M929" s="71" t="inlineStr">
        <is>
          <t>米</t>
        </is>
      </c>
      <c r="N929" s="72" t="n">
        <v>136.04</v>
      </c>
      <c r="O929" s="72">
        <f>ROUND(N929*(1+$F$10),2)</f>
        <v/>
      </c>
      <c r="P929" s="73">
        <f>ROUND(K929*N929,2)</f>
        <v/>
      </c>
      <c r="Q929" s="74">
        <f>ROUND(L929*N929,2)</f>
        <v/>
      </c>
      <c r="R929" s="75" t="n"/>
      <c r="S929" s="76" t="n"/>
      <c r="T929" s="77">
        <f>K929-L929</f>
        <v/>
      </c>
      <c r="U929" s="77">
        <f>P929-Q929</f>
        <v/>
      </c>
      <c r="V929" s="77">
        <f>ABS(U929)</f>
        <v/>
      </c>
      <c r="W929" s="78">
        <f>T929/L929</f>
        <v/>
      </c>
      <c r="X929" s="79">
        <f>ABS(W929)</f>
        <v/>
      </c>
      <c r="AH929" s="80" t="inlineStr">
        <is>
          <t>待定</t>
        </is>
      </c>
    </row>
    <row r="930" ht="11.4" customHeight="1">
      <c r="A930" s="67" t="inlineStr">
        <is>
          <t>76</t>
        </is>
      </c>
      <c r="B930" s="67" t="inlineStr">
        <is>
          <t>1074</t>
        </is>
      </c>
      <c r="C930" s="67" t="inlineStr">
        <is>
          <t>1622</t>
        </is>
      </c>
      <c r="D930" s="68" t="inlineStr">
        <is>
          <t>01</t>
        </is>
      </c>
      <c r="E930" s="68" t="inlineStr">
        <is>
          <t>6 物业施工费</t>
        </is>
      </c>
      <c r="F930" s="68" t="inlineStr">
        <is>
          <t>6.2 消防系统</t>
        </is>
      </c>
      <c r="G930" s="68" t="inlineStr">
        <is>
          <t>消防工程</t>
        </is>
      </c>
      <c r="H930" s="68" t="inlineStr">
        <is>
          <t>消防工程(水灭火系统)</t>
        </is>
      </c>
      <c r="I930" s="69" t="inlineStr">
        <is>
          <t>1000040080</t>
        </is>
      </c>
      <c r="J930" s="69" t="inlineStr">
        <is>
          <t>水喷淋镀锌钢管DN100</t>
        </is>
      </c>
      <c r="K930" s="70" t="n"/>
      <c r="L930" s="70" t="n"/>
      <c r="M930" s="71" t="inlineStr">
        <is>
          <t>米</t>
        </is>
      </c>
      <c r="N930" s="72" t="n">
        <v>182.88</v>
      </c>
      <c r="O930" s="72">
        <f>ROUND(N930*(1+$F$10),2)</f>
        <v/>
      </c>
      <c r="P930" s="73">
        <f>ROUND(K930*N930,2)</f>
        <v/>
      </c>
      <c r="Q930" s="74">
        <f>ROUND(L930*N930,2)</f>
        <v/>
      </c>
      <c r="R930" s="75" t="n"/>
      <c r="S930" s="76" t="n"/>
      <c r="T930" s="77">
        <f>K930-L930</f>
        <v/>
      </c>
      <c r="U930" s="77">
        <f>P930-Q930</f>
        <v/>
      </c>
      <c r="V930" s="77">
        <f>ABS(U930)</f>
        <v/>
      </c>
      <c r="W930" s="78">
        <f>T930/L930</f>
        <v/>
      </c>
      <c r="X930" s="79">
        <f>ABS(W930)</f>
        <v/>
      </c>
      <c r="AH930" s="80" t="inlineStr">
        <is>
          <t>待定</t>
        </is>
      </c>
    </row>
    <row r="931" ht="11.4" customHeight="1">
      <c r="A931" s="67" t="inlineStr">
        <is>
          <t>76</t>
        </is>
      </c>
      <c r="B931" s="67" t="inlineStr">
        <is>
          <t>1074</t>
        </is>
      </c>
      <c r="C931" s="67" t="inlineStr">
        <is>
          <t>1622</t>
        </is>
      </c>
      <c r="D931" s="68" t="inlineStr">
        <is>
          <t>01</t>
        </is>
      </c>
      <c r="E931" s="68" t="inlineStr">
        <is>
          <t>6 物业施工费</t>
        </is>
      </c>
      <c r="F931" s="68" t="inlineStr">
        <is>
          <t>6.2 消防系统</t>
        </is>
      </c>
      <c r="G931" s="68" t="inlineStr">
        <is>
          <t>消防工程</t>
        </is>
      </c>
      <c r="H931" s="68" t="inlineStr">
        <is>
          <t>消防工程(水灭火系统)</t>
        </is>
      </c>
      <c r="I931" s="69" t="inlineStr">
        <is>
          <t>1000040069</t>
        </is>
      </c>
      <c r="J931" s="69" t="inlineStr">
        <is>
          <t>信号蝶阀DN80</t>
        </is>
      </c>
      <c r="K931" s="70" t="n"/>
      <c r="L931" s="70" t="n"/>
      <c r="M931" s="71" t="inlineStr">
        <is>
          <t>个</t>
        </is>
      </c>
      <c r="N931" s="72" t="n">
        <v>489.12</v>
      </c>
      <c r="O931" s="72">
        <f>ROUND(N931*(1+$F$10),2)</f>
        <v/>
      </c>
      <c r="P931" s="73">
        <f>ROUND(K931*N931,2)</f>
        <v/>
      </c>
      <c r="Q931" s="74">
        <f>ROUND(L931*N931,2)</f>
        <v/>
      </c>
      <c r="R931" s="75" t="n"/>
      <c r="S931" s="76" t="n"/>
      <c r="T931" s="77">
        <f>K931-L931</f>
        <v/>
      </c>
      <c r="U931" s="77">
        <f>P931-Q931</f>
        <v/>
      </c>
      <c r="V931" s="77">
        <f>ABS(U931)</f>
        <v/>
      </c>
      <c r="W931" s="78">
        <f>T931/L931</f>
        <v/>
      </c>
      <c r="X931" s="79">
        <f>ABS(W931)</f>
        <v/>
      </c>
      <c r="AH931" s="80" t="inlineStr">
        <is>
          <t>待定</t>
        </is>
      </c>
    </row>
    <row r="932" ht="11.4" customHeight="1">
      <c r="A932" s="67" t="inlineStr">
        <is>
          <t>76</t>
        </is>
      </c>
      <c r="B932" s="67" t="inlineStr">
        <is>
          <t>1074</t>
        </is>
      </c>
      <c r="C932" s="67" t="inlineStr">
        <is>
          <t>1622</t>
        </is>
      </c>
      <c r="D932" s="68" t="inlineStr">
        <is>
          <t>01</t>
        </is>
      </c>
      <c r="E932" s="68" t="inlineStr">
        <is>
          <t>6 物业施工费</t>
        </is>
      </c>
      <c r="F932" s="68" t="inlineStr">
        <is>
          <t>6.2 消防系统</t>
        </is>
      </c>
      <c r="G932" s="68" t="inlineStr">
        <is>
          <t>消防工程</t>
        </is>
      </c>
      <c r="H932" s="68" t="inlineStr">
        <is>
          <t>消防工程(水灭火系统)</t>
        </is>
      </c>
      <c r="I932" s="69" t="inlineStr">
        <is>
          <t>1000040081</t>
        </is>
      </c>
      <c r="J932" s="69" t="inlineStr">
        <is>
          <t>信号蝶阀DN100</t>
        </is>
      </c>
      <c r="K932" s="70" t="n"/>
      <c r="L932" s="70" t="n"/>
      <c r="M932" s="71" t="inlineStr">
        <is>
          <t>个</t>
        </is>
      </c>
      <c r="N932" s="72" t="n">
        <v>909.48</v>
      </c>
      <c r="O932" s="72">
        <f>ROUND(N932*(1+$F$10),2)</f>
        <v/>
      </c>
      <c r="P932" s="73">
        <f>ROUND(K932*N932,2)</f>
        <v/>
      </c>
      <c r="Q932" s="74">
        <f>ROUND(L932*N932,2)</f>
        <v/>
      </c>
      <c r="R932" s="75" t="n"/>
      <c r="S932" s="76" t="n"/>
      <c r="T932" s="77">
        <f>K932-L932</f>
        <v/>
      </c>
      <c r="U932" s="77">
        <f>P932-Q932</f>
        <v/>
      </c>
      <c r="V932" s="77">
        <f>ABS(U932)</f>
        <v/>
      </c>
      <c r="W932" s="78">
        <f>T932/L932</f>
        <v/>
      </c>
      <c r="X932" s="79">
        <f>ABS(W932)</f>
        <v/>
      </c>
      <c r="AH932" s="80" t="inlineStr">
        <is>
          <t>待定</t>
        </is>
      </c>
    </row>
    <row r="933" ht="11.4" customHeight="1">
      <c r="A933" s="67" t="inlineStr">
        <is>
          <t>76</t>
        </is>
      </c>
      <c r="B933" s="67" t="inlineStr">
        <is>
          <t>1074</t>
        </is>
      </c>
      <c r="C933" s="67" t="inlineStr">
        <is>
          <t>1622</t>
        </is>
      </c>
      <c r="D933" s="68" t="inlineStr">
        <is>
          <t>01</t>
        </is>
      </c>
      <c r="E933" s="68" t="inlineStr">
        <is>
          <t>6 物业施工费</t>
        </is>
      </c>
      <c r="F933" s="68" t="inlineStr">
        <is>
          <t>6.2 消防系统</t>
        </is>
      </c>
      <c r="G933" s="68" t="inlineStr">
        <is>
          <t>消防工程</t>
        </is>
      </c>
      <c r="H933" s="68" t="inlineStr">
        <is>
          <t>消防工程(水灭火系统)</t>
        </is>
      </c>
      <c r="I933" s="69" t="inlineStr">
        <is>
          <t>1000040070</t>
        </is>
      </c>
      <c r="J933" s="69" t="inlineStr">
        <is>
          <t>压力表</t>
        </is>
      </c>
      <c r="K933" s="70" t="n"/>
      <c r="L933" s="70" t="n"/>
      <c r="M933" s="71" t="inlineStr">
        <is>
          <t>个</t>
        </is>
      </c>
      <c r="N933" s="72" t="n">
        <v>240.54</v>
      </c>
      <c r="O933" s="72">
        <f>ROUND(N933*(1+$F$10),2)</f>
        <v/>
      </c>
      <c r="P933" s="73">
        <f>ROUND(K933*N933,2)</f>
        <v/>
      </c>
      <c r="Q933" s="74">
        <f>ROUND(L933*N933,2)</f>
        <v/>
      </c>
      <c r="R933" s="75" t="n"/>
      <c r="S933" s="76" t="n"/>
      <c r="T933" s="77">
        <f>K933-L933</f>
        <v/>
      </c>
      <c r="U933" s="77">
        <f>P933-Q933</f>
        <v/>
      </c>
      <c r="V933" s="77">
        <f>ABS(U933)</f>
        <v/>
      </c>
      <c r="W933" s="78">
        <f>T933/L933</f>
        <v/>
      </c>
      <c r="X933" s="79">
        <f>ABS(W933)</f>
        <v/>
      </c>
      <c r="AH933" s="80" t="inlineStr">
        <is>
          <t>待定</t>
        </is>
      </c>
    </row>
    <row r="934" ht="11.4" customHeight="1">
      <c r="A934" s="67" t="inlineStr">
        <is>
          <t>76</t>
        </is>
      </c>
      <c r="B934" s="67" t="inlineStr">
        <is>
          <t>1074</t>
        </is>
      </c>
      <c r="C934" s="67" t="inlineStr">
        <is>
          <t>1622</t>
        </is>
      </c>
      <c r="D934" s="68" t="inlineStr">
        <is>
          <t>01</t>
        </is>
      </c>
      <c r="E934" s="68" t="inlineStr">
        <is>
          <t>6 物业施工费</t>
        </is>
      </c>
      <c r="F934" s="68" t="inlineStr">
        <is>
          <t>6.2 消防系统</t>
        </is>
      </c>
      <c r="G934" s="68" t="inlineStr">
        <is>
          <t>消防工程</t>
        </is>
      </c>
      <c r="H934" s="68" t="inlineStr">
        <is>
          <t>消防工程(水灭火系统)</t>
        </is>
      </c>
      <c r="I934" s="69" t="inlineStr">
        <is>
          <t>1000040071</t>
        </is>
      </c>
      <c r="J934" s="69" t="inlineStr">
        <is>
          <t>自动排气阀DN25</t>
        </is>
      </c>
      <c r="K934" s="70" t="n"/>
      <c r="L934" s="70" t="n"/>
      <c r="M934" s="71" t="inlineStr">
        <is>
          <t>个</t>
        </is>
      </c>
      <c r="N934" s="72" t="n">
        <v>232.43</v>
      </c>
      <c r="O934" s="72">
        <f>ROUND(N934*(1+$F$10),2)</f>
        <v/>
      </c>
      <c r="P934" s="73">
        <f>ROUND(K934*N934,2)</f>
        <v/>
      </c>
      <c r="Q934" s="74">
        <f>ROUND(L934*N934,2)</f>
        <v/>
      </c>
      <c r="R934" s="75" t="n"/>
      <c r="S934" s="76" t="n"/>
      <c r="T934" s="77">
        <f>K934-L934</f>
        <v/>
      </c>
      <c r="U934" s="77">
        <f>P934-Q934</f>
        <v/>
      </c>
      <c r="V934" s="77">
        <f>ABS(U934)</f>
        <v/>
      </c>
      <c r="W934" s="78">
        <f>T934/L934</f>
        <v/>
      </c>
      <c r="X934" s="79">
        <f>ABS(W934)</f>
        <v/>
      </c>
      <c r="AH934" s="80" t="inlineStr">
        <is>
          <t>待定</t>
        </is>
      </c>
    </row>
    <row r="935" ht="11.4" customHeight="1">
      <c r="A935" s="67" t="inlineStr">
        <is>
          <t>76</t>
        </is>
      </c>
      <c r="B935" s="67" t="inlineStr">
        <is>
          <t>1074</t>
        </is>
      </c>
      <c r="C935" s="67" t="inlineStr">
        <is>
          <t>1622</t>
        </is>
      </c>
      <c r="D935" s="68" t="inlineStr">
        <is>
          <t>01</t>
        </is>
      </c>
      <c r="E935" s="68" t="inlineStr">
        <is>
          <t>6 物业施工费</t>
        </is>
      </c>
      <c r="F935" s="68" t="inlineStr">
        <is>
          <t>6.2 消防系统</t>
        </is>
      </c>
      <c r="G935" s="68" t="inlineStr">
        <is>
          <t>消防工程</t>
        </is>
      </c>
      <c r="H935" s="68" t="inlineStr">
        <is>
          <t>消防工程(水灭火系统)</t>
        </is>
      </c>
      <c r="I935" s="69" t="inlineStr">
        <is>
          <t>1000040072</t>
        </is>
      </c>
      <c r="J935" s="69" t="inlineStr">
        <is>
          <t>湿式报警阀DN80</t>
        </is>
      </c>
      <c r="K935" s="70" t="n"/>
      <c r="L935" s="70" t="n"/>
      <c r="M935" s="71" t="inlineStr">
        <is>
          <t>个</t>
        </is>
      </c>
      <c r="N935" s="72" t="n">
        <v>2829.18</v>
      </c>
      <c r="O935" s="72">
        <f>ROUND(N935*(1+$F$10),2)</f>
        <v/>
      </c>
      <c r="P935" s="73">
        <f>ROUND(K935*N935,2)</f>
        <v/>
      </c>
      <c r="Q935" s="74">
        <f>ROUND(L935*N935,2)</f>
        <v/>
      </c>
      <c r="R935" s="75" t="n"/>
      <c r="S935" s="76" t="n"/>
      <c r="T935" s="77">
        <f>K935-L935</f>
        <v/>
      </c>
      <c r="U935" s="77">
        <f>P935-Q935</f>
        <v/>
      </c>
      <c r="V935" s="77">
        <f>ABS(U935)</f>
        <v/>
      </c>
      <c r="W935" s="78">
        <f>T935/L935</f>
        <v/>
      </c>
      <c r="X935" s="79">
        <f>ABS(W935)</f>
        <v/>
      </c>
      <c r="AH935" s="80" t="inlineStr">
        <is>
          <t>待定</t>
        </is>
      </c>
    </row>
    <row r="936" ht="11.4" customHeight="1">
      <c r="A936" s="67" t="inlineStr">
        <is>
          <t>76</t>
        </is>
      </c>
      <c r="B936" s="67" t="inlineStr">
        <is>
          <t>1074</t>
        </is>
      </c>
      <c r="C936" s="67" t="inlineStr">
        <is>
          <t>1622</t>
        </is>
      </c>
      <c r="D936" s="68" t="inlineStr">
        <is>
          <t>01</t>
        </is>
      </c>
      <c r="E936" s="68" t="inlineStr">
        <is>
          <t>6 物业施工费</t>
        </is>
      </c>
      <c r="F936" s="68" t="inlineStr">
        <is>
          <t>6.2 消防系统</t>
        </is>
      </c>
      <c r="G936" s="68" t="inlineStr">
        <is>
          <t>消防工程</t>
        </is>
      </c>
      <c r="H936" s="68" t="inlineStr">
        <is>
          <t>消防工程(水灭火系统)</t>
        </is>
      </c>
      <c r="I936" s="69" t="inlineStr">
        <is>
          <t>1000040073</t>
        </is>
      </c>
      <c r="J936" s="69" t="inlineStr">
        <is>
          <t>水流指示器DN80</t>
        </is>
      </c>
      <c r="K936" s="70" t="n"/>
      <c r="L936" s="70" t="n"/>
      <c r="M936" s="71" t="inlineStr">
        <is>
          <t>个</t>
        </is>
      </c>
      <c r="N936" s="72" t="n">
        <v>750.1900000000001</v>
      </c>
      <c r="O936" s="72">
        <f>ROUND(N936*(1+$F$10),2)</f>
        <v/>
      </c>
      <c r="P936" s="73">
        <f>ROUND(K936*N936,2)</f>
        <v/>
      </c>
      <c r="Q936" s="74">
        <f>ROUND(L936*N936,2)</f>
        <v/>
      </c>
      <c r="R936" s="75" t="n"/>
      <c r="S936" s="76" t="n"/>
      <c r="T936" s="77">
        <f>K936-L936</f>
        <v/>
      </c>
      <c r="U936" s="77">
        <f>P936-Q936</f>
        <v/>
      </c>
      <c r="V936" s="77">
        <f>ABS(U936)</f>
        <v/>
      </c>
      <c r="W936" s="78">
        <f>T936/L936</f>
        <v/>
      </c>
      <c r="X936" s="79">
        <f>ABS(W936)</f>
        <v/>
      </c>
      <c r="AH936" s="80" t="inlineStr">
        <is>
          <t>待定</t>
        </is>
      </c>
    </row>
    <row r="937" ht="11.4" customHeight="1">
      <c r="A937" s="67" t="inlineStr">
        <is>
          <t>76</t>
        </is>
      </c>
      <c r="B937" s="67" t="inlineStr">
        <is>
          <t>1074</t>
        </is>
      </c>
      <c r="C937" s="67" t="inlineStr">
        <is>
          <t>1622</t>
        </is>
      </c>
      <c r="D937" s="68" t="inlineStr">
        <is>
          <t>01</t>
        </is>
      </c>
      <c r="E937" s="68" t="inlineStr">
        <is>
          <t>6 物业施工费</t>
        </is>
      </c>
      <c r="F937" s="68" t="inlineStr">
        <is>
          <t>6.2 消防系统</t>
        </is>
      </c>
      <c r="G937" s="68" t="inlineStr">
        <is>
          <t>消防工程</t>
        </is>
      </c>
      <c r="H937" s="68" t="inlineStr">
        <is>
          <t>消防工程(水灭火系统)</t>
        </is>
      </c>
      <c r="I937" s="69" t="inlineStr">
        <is>
          <t>1000040074</t>
        </is>
      </c>
      <c r="J937" s="69" t="inlineStr">
        <is>
          <t>末端试水装置DN25</t>
        </is>
      </c>
      <c r="K937" s="70" t="n"/>
      <c r="L937" s="70" t="n"/>
      <c r="M937" s="71" t="inlineStr">
        <is>
          <t>个</t>
        </is>
      </c>
      <c r="N937" s="72" t="n">
        <v>579.08</v>
      </c>
      <c r="O937" s="72">
        <f>ROUND(N937*(1+$F$10),2)</f>
        <v/>
      </c>
      <c r="P937" s="73">
        <f>ROUND(K937*N937,2)</f>
        <v/>
      </c>
      <c r="Q937" s="74">
        <f>ROUND(L937*N937,2)</f>
        <v/>
      </c>
      <c r="R937" s="75" t="n"/>
      <c r="S937" s="76" t="n"/>
      <c r="T937" s="77">
        <f>K937-L937</f>
        <v/>
      </c>
      <c r="U937" s="77">
        <f>P937-Q937</f>
        <v/>
      </c>
      <c r="V937" s="77">
        <f>ABS(U937)</f>
        <v/>
      </c>
      <c r="W937" s="78">
        <f>T937/L937</f>
        <v/>
      </c>
      <c r="X937" s="79">
        <f>ABS(W937)</f>
        <v/>
      </c>
      <c r="AH937" s="80" t="inlineStr">
        <is>
          <t>待定</t>
        </is>
      </c>
    </row>
    <row r="938" ht="11.4" customHeight="1">
      <c r="A938" s="67" t="inlineStr">
        <is>
          <t>76</t>
        </is>
      </c>
      <c r="B938" s="67" t="inlineStr">
        <is>
          <t>1074</t>
        </is>
      </c>
      <c r="C938" s="67" t="inlineStr">
        <is>
          <t>1622</t>
        </is>
      </c>
      <c r="D938" s="68" t="inlineStr">
        <is>
          <t>01</t>
        </is>
      </c>
      <c r="E938" s="68" t="inlineStr">
        <is>
          <t>6 物业施工费</t>
        </is>
      </c>
      <c r="F938" s="68" t="inlineStr">
        <is>
          <t>6.2 消防系统</t>
        </is>
      </c>
      <c r="G938" s="68" t="inlineStr">
        <is>
          <t>消防工程</t>
        </is>
      </c>
      <c r="H938" s="68" t="inlineStr">
        <is>
          <t>消防工程(消防栓系统)</t>
        </is>
      </c>
      <c r="I938" s="69" t="inlineStr">
        <is>
          <t>1000040075</t>
        </is>
      </c>
      <c r="J938" s="69" t="inlineStr">
        <is>
          <t>水灭火系统控制装置调试</t>
        </is>
      </c>
      <c r="K938" s="70" t="n"/>
      <c r="L938" s="70" t="n"/>
      <c r="M938" s="71" t="inlineStr">
        <is>
          <t>系统</t>
        </is>
      </c>
      <c r="N938" s="72" t="n">
        <v>2654.05</v>
      </c>
      <c r="O938" s="72">
        <f>ROUND(N938*(1+$F$10),2)</f>
        <v/>
      </c>
      <c r="P938" s="73">
        <f>ROUND(K938*N938,2)</f>
        <v/>
      </c>
      <c r="Q938" s="74">
        <f>ROUND(L938*N938,2)</f>
        <v/>
      </c>
      <c r="R938" s="75" t="n"/>
      <c r="S938" s="76" t="n"/>
      <c r="T938" s="77">
        <f>K938-L938</f>
        <v/>
      </c>
      <c r="U938" s="77">
        <f>P938-Q938</f>
        <v/>
      </c>
      <c r="V938" s="77">
        <f>ABS(U938)</f>
        <v/>
      </c>
      <c r="W938" s="78">
        <f>T938/L938</f>
        <v/>
      </c>
      <c r="X938" s="79">
        <f>ABS(W938)</f>
        <v/>
      </c>
      <c r="AH938" s="80" t="inlineStr">
        <is>
          <t>待定</t>
        </is>
      </c>
    </row>
    <row r="939" ht="11.4" customHeight="1">
      <c r="A939" s="67" t="inlineStr">
        <is>
          <t>76</t>
        </is>
      </c>
      <c r="B939" s="67" t="inlineStr">
        <is>
          <t>1074</t>
        </is>
      </c>
      <c r="C939" s="67" t="inlineStr">
        <is>
          <t>1622</t>
        </is>
      </c>
      <c r="D939" s="68" t="inlineStr">
        <is>
          <t>01</t>
        </is>
      </c>
      <c r="E939" s="68" t="inlineStr">
        <is>
          <t>6 物业施工费</t>
        </is>
      </c>
      <c r="F939" s="68" t="inlineStr">
        <is>
          <t>6.2 消防系统</t>
        </is>
      </c>
      <c r="G939" s="68" t="inlineStr">
        <is>
          <t>消防工程</t>
        </is>
      </c>
      <c r="H939" s="68" t="inlineStr">
        <is>
          <t>消防工程(消防栓系统)</t>
        </is>
      </c>
      <c r="I939" s="69" t="inlineStr">
        <is>
          <t>1000040076</t>
        </is>
      </c>
      <c r="J939" s="69" t="inlineStr">
        <is>
          <t>管网水冲洗</t>
        </is>
      </c>
      <c r="K939" s="70" t="n"/>
      <c r="L939" s="70" t="n"/>
      <c r="M939" s="71" t="inlineStr">
        <is>
          <t>项</t>
        </is>
      </c>
      <c r="N939" s="72" t="n">
        <v>689.3</v>
      </c>
      <c r="O939" s="72">
        <f>ROUND(N939*(1+$F$10),2)</f>
        <v/>
      </c>
      <c r="P939" s="73">
        <f>ROUND(K939*N939,2)</f>
        <v/>
      </c>
      <c r="Q939" s="74">
        <f>ROUND(L939*N939,2)</f>
        <v/>
      </c>
      <c r="R939" s="75" t="n"/>
      <c r="S939" s="76" t="n"/>
      <c r="T939" s="77">
        <f>K939-L939</f>
        <v/>
      </c>
      <c r="U939" s="77">
        <f>P939-Q939</f>
        <v/>
      </c>
      <c r="V939" s="77">
        <f>ABS(U939)</f>
        <v/>
      </c>
      <c r="W939" s="78">
        <f>T939/L939</f>
        <v/>
      </c>
      <c r="X939" s="79">
        <f>ABS(W939)</f>
        <v/>
      </c>
      <c r="AH939" s="80" t="inlineStr">
        <is>
          <t>待定</t>
        </is>
      </c>
    </row>
    <row r="940" ht="11.4" customHeight="1">
      <c r="A940" s="67" t="inlineStr">
        <is>
          <t>76</t>
        </is>
      </c>
      <c r="B940" s="67" t="inlineStr">
        <is>
          <t>1074</t>
        </is>
      </c>
      <c r="C940" s="67" t="inlineStr">
        <is>
          <t>1622</t>
        </is>
      </c>
      <c r="D940" s="68" t="inlineStr">
        <is>
          <t>01</t>
        </is>
      </c>
      <c r="E940" s="68" t="inlineStr">
        <is>
          <t>6 物业施工费</t>
        </is>
      </c>
      <c r="F940" s="68" t="inlineStr">
        <is>
          <t>6.2 消防系统</t>
        </is>
      </c>
      <c r="G940" s="68" t="inlineStr">
        <is>
          <t>消防工程</t>
        </is>
      </c>
      <c r="H940" s="68" t="inlineStr">
        <is>
          <t>消防工程(消防栓系统)</t>
        </is>
      </c>
      <c r="I940" s="69" t="inlineStr">
        <is>
          <t>1000040077</t>
        </is>
      </c>
      <c r="J940" s="69" t="inlineStr">
        <is>
          <t>3KG2具装ABC干粉灭火器</t>
        </is>
      </c>
      <c r="K940" s="70" t="n"/>
      <c r="L940" s="70" t="n"/>
      <c r="M940" s="71" t="inlineStr">
        <is>
          <t>套</t>
        </is>
      </c>
      <c r="N940" s="72" t="n">
        <v>99.97</v>
      </c>
      <c r="O940" s="72">
        <f>ROUND(N940*(1+$F$10),2)</f>
        <v/>
      </c>
      <c r="P940" s="73">
        <f>ROUND(K940*N940,2)</f>
        <v/>
      </c>
      <c r="Q940" s="74">
        <f>ROUND(L940*N940,2)</f>
        <v/>
      </c>
      <c r="R940" s="75" t="n"/>
      <c r="S940" s="76" t="n"/>
      <c r="T940" s="77">
        <f>K940-L940</f>
        <v/>
      </c>
      <c r="U940" s="77">
        <f>P940-Q940</f>
        <v/>
      </c>
      <c r="V940" s="77">
        <f>ABS(U940)</f>
        <v/>
      </c>
      <c r="W940" s="78">
        <f>T940/L940</f>
        <v/>
      </c>
      <c r="X940" s="79">
        <f>ABS(W940)</f>
        <v/>
      </c>
      <c r="AH940" s="80" t="inlineStr">
        <is>
          <t>待定</t>
        </is>
      </c>
    </row>
    <row r="941" ht="11.4" customHeight="1">
      <c r="A941" s="67" t="inlineStr">
        <is>
          <t>76</t>
        </is>
      </c>
      <c r="B941" s="67" t="inlineStr">
        <is>
          <t>1074</t>
        </is>
      </c>
      <c r="C941" s="67" t="inlineStr">
        <is>
          <t>1622</t>
        </is>
      </c>
      <c r="D941" s="68" t="inlineStr">
        <is>
          <t>01</t>
        </is>
      </c>
      <c r="E941" s="68" t="inlineStr">
        <is>
          <t>6 物业施工费</t>
        </is>
      </c>
      <c r="F941" s="68" t="inlineStr">
        <is>
          <t>6.2 消防系统</t>
        </is>
      </c>
      <c r="G941" s="68" t="inlineStr">
        <is>
          <t>消防工程</t>
        </is>
      </c>
      <c r="H941" s="68" t="inlineStr">
        <is>
          <t>消防工程(消防栓系统)</t>
        </is>
      </c>
      <c r="I941" s="69" t="inlineStr">
        <is>
          <t>1000040078</t>
        </is>
      </c>
      <c r="J941" s="69" t="inlineStr">
        <is>
          <t>消火栓</t>
        </is>
      </c>
      <c r="K941" s="70" t="n"/>
      <c r="L941" s="70" t="n"/>
      <c r="M941" s="71" t="inlineStr">
        <is>
          <t>套</t>
        </is>
      </c>
      <c r="N941" s="72" t="n">
        <v>144.14</v>
      </c>
      <c r="O941" s="72">
        <f>ROUND(N941*(1+$F$10),2)</f>
        <v/>
      </c>
      <c r="P941" s="73">
        <f>ROUND(K941*N941,2)</f>
        <v/>
      </c>
      <c r="Q941" s="74">
        <f>ROUND(L941*N941,2)</f>
        <v/>
      </c>
      <c r="R941" s="75" t="n"/>
      <c r="S941" s="76" t="n"/>
      <c r="T941" s="77">
        <f>K941-L941</f>
        <v/>
      </c>
      <c r="U941" s="77">
        <f>P941-Q941</f>
        <v/>
      </c>
      <c r="V941" s="77">
        <f>ABS(U941)</f>
        <v/>
      </c>
      <c r="W941" s="78">
        <f>T941/L941</f>
        <v/>
      </c>
      <c r="X941" s="79">
        <f>ABS(W941)</f>
        <v/>
      </c>
      <c r="AH941" s="80" t="inlineStr">
        <is>
          <t>待定</t>
        </is>
      </c>
    </row>
    <row r="942" ht="11.4" customHeight="1">
      <c r="A942" s="67" t="inlineStr">
        <is>
          <t>76</t>
        </is>
      </c>
      <c r="B942" s="67" t="inlineStr">
        <is>
          <t>1074</t>
        </is>
      </c>
      <c r="C942" s="67" t="inlineStr">
        <is>
          <t>1622</t>
        </is>
      </c>
      <c r="D942" s="68" t="inlineStr">
        <is>
          <t>01</t>
        </is>
      </c>
      <c r="E942" s="68" t="inlineStr">
        <is>
          <t>6 物业施工费</t>
        </is>
      </c>
      <c r="F942" s="68" t="inlineStr">
        <is>
          <t>6.2 消防系统</t>
        </is>
      </c>
      <c r="G942" s="68" t="inlineStr">
        <is>
          <t>消防工程</t>
        </is>
      </c>
      <c r="H942" s="68" t="inlineStr">
        <is>
          <t>消防工程(消防栓系统)</t>
        </is>
      </c>
      <c r="I942" s="69" t="inlineStr">
        <is>
          <t>1000040079</t>
        </is>
      </c>
      <c r="J942" s="69" t="inlineStr">
        <is>
          <t>消火栓箱</t>
        </is>
      </c>
      <c r="K942" s="70" t="n"/>
      <c r="L942" s="70" t="n"/>
      <c r="M942" s="71" t="inlineStr">
        <is>
          <t>套</t>
        </is>
      </c>
      <c r="N942" s="72" t="n">
        <v>1375.89</v>
      </c>
      <c r="O942" s="72">
        <f>ROUND(N942*(1+$F$10),2)</f>
        <v/>
      </c>
      <c r="P942" s="73">
        <f>ROUND(K942*N942,2)</f>
        <v/>
      </c>
      <c r="Q942" s="74">
        <f>ROUND(L942*N942,2)</f>
        <v/>
      </c>
      <c r="R942" s="75" t="n"/>
      <c r="S942" s="76" t="n"/>
      <c r="T942" s="77">
        <f>K942-L942</f>
        <v/>
      </c>
      <c r="U942" s="77">
        <f>P942-Q942</f>
        <v/>
      </c>
      <c r="V942" s="77">
        <f>ABS(U942)</f>
        <v/>
      </c>
      <c r="W942" s="78">
        <f>T942/L942</f>
        <v/>
      </c>
      <c r="X942" s="79">
        <f>ABS(W942)</f>
        <v/>
      </c>
      <c r="AH942" s="80" t="inlineStr">
        <is>
          <t>待定</t>
        </is>
      </c>
    </row>
    <row r="943" ht="11.4" customHeight="1">
      <c r="A943" s="67" t="inlineStr">
        <is>
          <t>76</t>
        </is>
      </c>
      <c r="B943" s="67" t="inlineStr">
        <is>
          <t>1074</t>
        </is>
      </c>
      <c r="C943" s="67" t="inlineStr">
        <is>
          <t>1622</t>
        </is>
      </c>
      <c r="D943" s="68" t="inlineStr">
        <is>
          <t>01</t>
        </is>
      </c>
      <c r="E943" s="68" t="inlineStr">
        <is>
          <t>6 物业施工费</t>
        </is>
      </c>
      <c r="F943" s="68" t="inlineStr">
        <is>
          <t>6.2 消防系统</t>
        </is>
      </c>
      <c r="G943" s="68" t="inlineStr">
        <is>
          <t>消防工程</t>
        </is>
      </c>
      <c r="H943" s="68" t="inlineStr">
        <is>
          <t>消防工程(消防栓系统)</t>
        </is>
      </c>
      <c r="I943" s="69" t="inlineStr">
        <is>
          <t>1000040082</t>
        </is>
      </c>
      <c r="J943" s="69" t="inlineStr">
        <is>
          <t>消防水泵接合器</t>
        </is>
      </c>
      <c r="K943" s="70" t="n"/>
      <c r="L943" s="70" t="n"/>
      <c r="M943" s="71" t="inlineStr">
        <is>
          <t>个</t>
        </is>
      </c>
      <c r="N943" s="72" t="n">
        <v>1294.59</v>
      </c>
      <c r="O943" s="72">
        <f>ROUND(N943*(1+$F$10),2)</f>
        <v/>
      </c>
      <c r="P943" s="73">
        <f>ROUND(K943*N943,2)</f>
        <v/>
      </c>
      <c r="Q943" s="74">
        <f>ROUND(L943*N943,2)</f>
        <v/>
      </c>
      <c r="R943" s="75" t="n"/>
      <c r="S943" s="76" t="n"/>
      <c r="T943" s="77">
        <f>K943-L943</f>
        <v/>
      </c>
      <c r="U943" s="77">
        <f>P943-Q943</f>
        <v/>
      </c>
      <c r="V943" s="77">
        <f>ABS(U943)</f>
        <v/>
      </c>
      <c r="W943" s="78">
        <f>T943/L943</f>
        <v/>
      </c>
      <c r="X943" s="79">
        <f>ABS(W943)</f>
        <v/>
      </c>
      <c r="AH943" s="80" t="inlineStr">
        <is>
          <t>待定</t>
        </is>
      </c>
    </row>
    <row r="944" ht="11.4" customHeight="1">
      <c r="A944" s="67" t="inlineStr">
        <is>
          <t>77</t>
        </is>
      </c>
      <c r="B944" s="67" t="inlineStr">
        <is>
          <t>1075</t>
        </is>
      </c>
      <c r="C944" s="67" t="inlineStr">
        <is>
          <t>1623</t>
        </is>
      </c>
      <c r="D944" s="68" t="inlineStr">
        <is>
          <t>01</t>
        </is>
      </c>
      <c r="E944" s="68" t="inlineStr">
        <is>
          <t>6 物业施工费</t>
        </is>
      </c>
      <c r="F944" s="68" t="inlineStr">
        <is>
          <t>6.2 消防系统</t>
        </is>
      </c>
      <c r="G944" s="68" t="inlineStr">
        <is>
          <t>消防工程</t>
        </is>
      </c>
      <c r="H944" s="68" t="inlineStr">
        <is>
          <t>消防排烟系统</t>
        </is>
      </c>
      <c r="I944" s="69" t="inlineStr">
        <is>
          <t>1000022041</t>
        </is>
      </c>
      <c r="J944" s="69" t="inlineStr">
        <is>
          <t>消防强排烟风口</t>
        </is>
      </c>
      <c r="K944" s="70" t="n"/>
      <c r="L944" s="70" t="n"/>
      <c r="M944" s="71" t="inlineStr">
        <is>
          <t>只</t>
        </is>
      </c>
      <c r="N944" s="72" t="n">
        <v>517.6</v>
      </c>
      <c r="O944" s="72">
        <f>ROUND(N944*(1+$F$10),2)</f>
        <v/>
      </c>
      <c r="P944" s="73">
        <f>ROUND(K944*N944,2)</f>
        <v/>
      </c>
      <c r="Q944" s="74">
        <f>ROUND(L944*N944,2)</f>
        <v/>
      </c>
      <c r="R944" s="75" t="n"/>
      <c r="S944" s="76" t="n"/>
      <c r="T944" s="77">
        <f>K944-L944</f>
        <v/>
      </c>
      <c r="U944" s="77">
        <f>P944-Q944</f>
        <v/>
      </c>
      <c r="V944" s="77">
        <f>ABS(U944)</f>
        <v/>
      </c>
      <c r="W944" s="78">
        <f>T944/L944</f>
        <v/>
      </c>
      <c r="X944" s="79">
        <f>ABS(W944)</f>
        <v/>
      </c>
      <c r="AG944" s="80" t="inlineStr">
        <is>
          <t>个数</t>
        </is>
      </c>
    </row>
    <row r="945" ht="11.4" customHeight="1">
      <c r="A945" s="67" t="inlineStr">
        <is>
          <t>77</t>
        </is>
      </c>
      <c r="B945" s="67" t="inlineStr">
        <is>
          <t>1075</t>
        </is>
      </c>
      <c r="C945" s="67" t="inlineStr">
        <is>
          <t>1623</t>
        </is>
      </c>
      <c r="D945" s="68" t="inlineStr">
        <is>
          <t>01</t>
        </is>
      </c>
      <c r="E945" s="68" t="inlineStr">
        <is>
          <t>6 物业施工费</t>
        </is>
      </c>
      <c r="F945" s="68" t="inlineStr">
        <is>
          <t>6.2 消防系统</t>
        </is>
      </c>
      <c r="G945" s="68" t="inlineStr">
        <is>
          <t>消防工程</t>
        </is>
      </c>
      <c r="H945" s="68" t="inlineStr">
        <is>
          <t>消防排烟系统</t>
        </is>
      </c>
      <c r="I945" s="69" t="inlineStr">
        <is>
          <t>1000022042</t>
        </is>
      </c>
      <c r="J945" s="69" t="inlineStr">
        <is>
          <t>消防强排烟防火阀</t>
        </is>
      </c>
      <c r="K945" s="70" t="n"/>
      <c r="L945" s="70" t="n"/>
      <c r="M945" s="71" t="inlineStr">
        <is>
          <t>只</t>
        </is>
      </c>
      <c r="N945" s="72" t="n">
        <v>624.3</v>
      </c>
      <c r="O945" s="72">
        <f>ROUND(N945*(1+$F$10),2)</f>
        <v/>
      </c>
      <c r="P945" s="73">
        <f>ROUND(K945*N945,2)</f>
        <v/>
      </c>
      <c r="Q945" s="74">
        <f>ROUND(L945*N945,2)</f>
        <v/>
      </c>
      <c r="R945" s="75" t="n"/>
      <c r="S945" s="76" t="n"/>
      <c r="T945" s="77">
        <f>K945-L945</f>
        <v/>
      </c>
      <c r="U945" s="77">
        <f>P945-Q945</f>
        <v/>
      </c>
      <c r="V945" s="77">
        <f>ABS(U945)</f>
        <v/>
      </c>
      <c r="W945" s="78">
        <f>T945/L945</f>
        <v/>
      </c>
      <c r="X945" s="79">
        <f>ABS(W945)</f>
        <v/>
      </c>
      <c r="AG945" s="80" t="inlineStr">
        <is>
          <t>个数</t>
        </is>
      </c>
    </row>
    <row r="946" ht="11.4" customHeight="1">
      <c r="A946" s="67" t="inlineStr">
        <is>
          <t>77</t>
        </is>
      </c>
      <c r="B946" s="67" t="inlineStr">
        <is>
          <t>1075</t>
        </is>
      </c>
      <c r="C946" s="67" t="inlineStr">
        <is>
          <t>1623</t>
        </is>
      </c>
      <c r="D946" s="68" t="inlineStr">
        <is>
          <t>01</t>
        </is>
      </c>
      <c r="E946" s="68" t="inlineStr">
        <is>
          <t>6 物业施工费</t>
        </is>
      </c>
      <c r="F946" s="68" t="inlineStr">
        <is>
          <t>6.2 消防系统</t>
        </is>
      </c>
      <c r="G946" s="68" t="inlineStr">
        <is>
          <t>消防工程</t>
        </is>
      </c>
      <c r="H946" s="68" t="inlineStr">
        <is>
          <t>消防排烟系统</t>
        </is>
      </c>
      <c r="I946" s="69" t="inlineStr">
        <is>
          <t>1000022043</t>
        </is>
      </c>
      <c r="J946" s="69" t="inlineStr">
        <is>
          <t>强排烟管道</t>
        </is>
      </c>
      <c r="K946" s="70" t="n"/>
      <c r="L946" s="70" t="n"/>
      <c r="M946" s="71" t="inlineStr">
        <is>
          <t>m2</t>
        </is>
      </c>
      <c r="N946" s="72" t="n">
        <v>219.99</v>
      </c>
      <c r="O946" s="72">
        <f>ROUND(N946*(1+$F$10),2)</f>
        <v/>
      </c>
      <c r="P946" s="73">
        <f>ROUND(K946*N946,2)</f>
        <v/>
      </c>
      <c r="Q946" s="74">
        <f>ROUND(L946*N946,2)</f>
        <v/>
      </c>
      <c r="R946" s="75" t="n"/>
      <c r="S946" s="76" t="n"/>
      <c r="T946" s="77">
        <f>K946-L946</f>
        <v/>
      </c>
      <c r="U946" s="77">
        <f>P946-Q946</f>
        <v/>
      </c>
      <c r="V946" s="77">
        <f>ABS(U946)</f>
        <v/>
      </c>
      <c r="W946" s="78">
        <f>T946/L946</f>
        <v/>
      </c>
      <c r="X946" s="79">
        <f>ABS(W946)</f>
        <v/>
      </c>
      <c r="AG946" s="6" t="inlineStr">
        <is>
          <t>总面积（插件计算）风管</t>
        </is>
      </c>
    </row>
    <row r="947" ht="11.4" customHeight="1">
      <c r="A947" s="67" t="inlineStr">
        <is>
          <t>77</t>
        </is>
      </c>
      <c r="B947" s="67" t="inlineStr">
        <is>
          <t>1075</t>
        </is>
      </c>
      <c r="C947" s="67" t="inlineStr">
        <is>
          <t>1623</t>
        </is>
      </c>
      <c r="D947" s="68" t="inlineStr">
        <is>
          <t>01</t>
        </is>
      </c>
      <c r="E947" s="68" t="inlineStr">
        <is>
          <t>6 物业施工费</t>
        </is>
      </c>
      <c r="F947" s="68" t="inlineStr">
        <is>
          <t>6.2 消防系统</t>
        </is>
      </c>
      <c r="G947" s="68" t="inlineStr">
        <is>
          <t>消防工程</t>
        </is>
      </c>
      <c r="H947" s="68" t="inlineStr">
        <is>
          <t>消防排烟系统</t>
        </is>
      </c>
      <c r="I947" s="69" t="inlineStr">
        <is>
          <t>1000040116</t>
        </is>
      </c>
      <c r="J947" s="69" t="inlineStr">
        <is>
          <t>强排烟风机系统</t>
        </is>
      </c>
      <c r="K947" s="70" t="n"/>
      <c r="L947" s="70" t="n"/>
      <c r="M947" s="71" t="inlineStr">
        <is>
          <t>台</t>
        </is>
      </c>
      <c r="N947" s="72" t="n"/>
      <c r="O947" s="72">
        <f>ROUND(N947*(1+$F$10),2)</f>
        <v/>
      </c>
      <c r="P947" s="73">
        <f>ROUND(K947*N947,2)</f>
        <v/>
      </c>
      <c r="Q947" s="74">
        <f>ROUND(L947*N947,2)</f>
        <v/>
      </c>
      <c r="R947" s="75" t="n"/>
      <c r="S947" s="76" t="n"/>
      <c r="T947" s="77">
        <f>K947-L947</f>
        <v/>
      </c>
      <c r="U947" s="77">
        <f>P947-Q947</f>
        <v/>
      </c>
      <c r="V947" s="77">
        <f>ABS(U947)</f>
        <v/>
      </c>
      <c r="W947" s="78">
        <f>T947/L947</f>
        <v/>
      </c>
      <c r="X947" s="79">
        <f>ABS(W947)</f>
        <v/>
      </c>
      <c r="AG947" s="80" t="inlineStr">
        <is>
          <t>个数</t>
        </is>
      </c>
    </row>
    <row r="948" ht="11.4" customHeight="1">
      <c r="A948" s="67" t="inlineStr">
        <is>
          <t>77</t>
        </is>
      </c>
      <c r="B948" s="67" t="inlineStr">
        <is>
          <t>1075</t>
        </is>
      </c>
      <c r="C948" s="67" t="inlineStr">
        <is>
          <t>1623</t>
        </is>
      </c>
      <c r="D948" s="68" t="inlineStr">
        <is>
          <t>01</t>
        </is>
      </c>
      <c r="E948" s="68" t="inlineStr">
        <is>
          <t>6 物业施工费</t>
        </is>
      </c>
      <c r="F948" s="68" t="inlineStr">
        <is>
          <t>6.2 消防系统</t>
        </is>
      </c>
      <c r="G948" s="68" t="inlineStr">
        <is>
          <t>消防工程</t>
        </is>
      </c>
      <c r="H948" s="68" t="inlineStr">
        <is>
          <t>消防排烟系统</t>
        </is>
      </c>
      <c r="I948" s="69" t="inlineStr">
        <is>
          <t>1000022044</t>
        </is>
      </c>
      <c r="J948" s="69" t="inlineStr">
        <is>
          <t>防火卷帘门连门框及全部配件</t>
        </is>
      </c>
      <c r="K948" s="70" t="n"/>
      <c r="L948" s="70" t="n"/>
      <c r="M948" s="71" t="inlineStr">
        <is>
          <t>m2</t>
        </is>
      </c>
      <c r="N948" s="72" t="n">
        <v>560</v>
      </c>
      <c r="O948" s="72">
        <f>ROUND(N948*(1+$F$10),2)</f>
        <v/>
      </c>
      <c r="P948" s="73">
        <f>ROUND(K948*N948,2)</f>
        <v/>
      </c>
      <c r="Q948" s="74">
        <f>ROUND(L948*N948,2)</f>
        <v/>
      </c>
      <c r="R948" s="75" t="n"/>
      <c r="S948" s="76" t="n"/>
      <c r="T948" s="77">
        <f>K948-L948</f>
        <v/>
      </c>
      <c r="U948" s="77">
        <f>P948-Q948</f>
        <v/>
      </c>
      <c r="V948" s="77">
        <f>ABS(U948)</f>
        <v/>
      </c>
      <c r="W948" s="78">
        <f>T948/L948</f>
        <v/>
      </c>
      <c r="X948" s="79">
        <f>ABS(W948)</f>
        <v/>
      </c>
      <c r="AG948" s="6" t="inlineStr">
        <is>
          <t>基本墙面积</t>
        </is>
      </c>
    </row>
    <row r="949" ht="11.4" customHeight="1">
      <c r="A949" s="67" t="inlineStr">
        <is>
          <t>77</t>
        </is>
      </c>
      <c r="B949" s="67" t="inlineStr">
        <is>
          <t>1075</t>
        </is>
      </c>
      <c r="C949" s="67" t="inlineStr">
        <is>
          <t>1623</t>
        </is>
      </c>
      <c r="D949" s="68" t="inlineStr">
        <is>
          <t>01</t>
        </is>
      </c>
      <c r="E949" s="68" t="inlineStr">
        <is>
          <t>6 物业施工费</t>
        </is>
      </c>
      <c r="F949" s="68" t="inlineStr">
        <is>
          <t>6.2 消防系统</t>
        </is>
      </c>
      <c r="G949" s="68" t="inlineStr">
        <is>
          <t>消防工程</t>
        </is>
      </c>
      <c r="H949" s="68" t="inlineStr">
        <is>
          <t>消防排烟系统</t>
        </is>
      </c>
      <c r="I949" s="69" t="inlineStr">
        <is>
          <t>1000022045</t>
        </is>
      </c>
      <c r="J949" s="69" t="inlineStr">
        <is>
          <t>防火卷帘门电机系统、消防联动及全部配件</t>
        </is>
      </c>
      <c r="K949" s="70" t="n"/>
      <c r="L949" s="70" t="n"/>
      <c r="M949" s="71" t="inlineStr">
        <is>
          <t>台</t>
        </is>
      </c>
      <c r="N949" s="72" t="n">
        <v>3580</v>
      </c>
      <c r="O949" s="72">
        <f>ROUND(N949*(1+$F$10),2)</f>
        <v/>
      </c>
      <c r="P949" s="73">
        <f>ROUND(K949*N949,2)</f>
        <v/>
      </c>
      <c r="Q949" s="74">
        <f>ROUND(L949*N949,2)</f>
        <v/>
      </c>
      <c r="R949" s="75" t="n"/>
      <c r="S949" s="76" t="n"/>
      <c r="T949" s="77">
        <f>K949-L949</f>
        <v/>
      </c>
      <c r="U949" s="77">
        <f>P949-Q949</f>
        <v/>
      </c>
      <c r="V949" s="77">
        <f>ABS(U949)</f>
        <v/>
      </c>
      <c r="W949" s="78">
        <f>T949/L949</f>
        <v/>
      </c>
      <c r="X949" s="79">
        <f>ABS(W949)</f>
        <v/>
      </c>
      <c r="AG949" s="80" t="inlineStr">
        <is>
          <t>个数</t>
        </is>
      </c>
    </row>
    <row r="950" ht="11.4" customHeight="1">
      <c r="A950" s="67" t="inlineStr">
        <is>
          <t>76</t>
        </is>
      </c>
      <c r="B950" s="67" t="inlineStr">
        <is>
          <t>1074</t>
        </is>
      </c>
      <c r="C950" s="67" t="inlineStr">
        <is>
          <t>1622</t>
        </is>
      </c>
      <c r="D950" s="68" t="inlineStr">
        <is>
          <t>01</t>
        </is>
      </c>
      <c r="E950" s="68" t="inlineStr">
        <is>
          <t>6 物业施工费</t>
        </is>
      </c>
      <c r="F950" s="68" t="inlineStr">
        <is>
          <t>6.2 消防系统</t>
        </is>
      </c>
      <c r="G950" s="68" t="inlineStr">
        <is>
          <t>消防工程</t>
        </is>
      </c>
      <c r="H950" s="68" t="inlineStr">
        <is>
          <t>疏散图</t>
        </is>
      </c>
      <c r="I950" s="69" t="inlineStr">
        <is>
          <t>1000022046</t>
        </is>
      </c>
      <c r="J950" s="69" t="inlineStr">
        <is>
          <t>不锈钢消防疏散图</t>
        </is>
      </c>
      <c r="K950" s="70" t="n"/>
      <c r="L950" s="70" t="n"/>
      <c r="M950" s="71" t="inlineStr">
        <is>
          <t>个</t>
        </is>
      </c>
      <c r="N950" s="72" t="n">
        <v>40</v>
      </c>
      <c r="O950" s="72">
        <f>ROUND(N950*(1+$F$10),2)</f>
        <v/>
      </c>
      <c r="P950" s="73">
        <f>ROUND(K950*N950,2)</f>
        <v/>
      </c>
      <c r="Q950" s="74">
        <f>ROUND(L950*N950,2)</f>
        <v/>
      </c>
      <c r="R950" s="75" t="n"/>
      <c r="S950" s="76" t="n"/>
      <c r="T950" s="77">
        <f>K950-L950</f>
        <v/>
      </c>
      <c r="U950" s="77">
        <f>P950-Q950</f>
        <v/>
      </c>
      <c r="V950" s="77">
        <f>ABS(U950)</f>
        <v/>
      </c>
      <c r="W950" s="78">
        <f>T950/L950</f>
        <v/>
      </c>
      <c r="X950" s="79">
        <f>ABS(W950)</f>
        <v/>
      </c>
      <c r="AH950" s="80" t="inlineStr">
        <is>
          <t>调整</t>
        </is>
      </c>
    </row>
    <row r="951" ht="11.4" customHeight="1">
      <c r="A951" s="67" t="inlineStr">
        <is>
          <t>79</t>
        </is>
      </c>
      <c r="B951" s="67" t="inlineStr">
        <is>
          <t>1077</t>
        </is>
      </c>
      <c r="C951" s="67" t="inlineStr">
        <is>
          <t>1630</t>
        </is>
      </c>
      <c r="D951" s="68" t="inlineStr">
        <is>
          <t>01</t>
        </is>
      </c>
      <c r="E951" s="68" t="inlineStr">
        <is>
          <t>6 物业施工费</t>
        </is>
      </c>
      <c r="F951" s="68" t="inlineStr">
        <is>
          <t>6.3 环保工程</t>
        </is>
      </c>
      <c r="G951" s="68" t="inlineStr">
        <is>
          <t>环保工程</t>
        </is>
      </c>
      <c r="H951" s="68" t="inlineStr">
        <is>
          <t>消声屏障/消声房(分包)</t>
        </is>
      </c>
      <c r="I951" s="69" t="inlineStr">
        <is>
          <t>1000022047</t>
        </is>
      </c>
      <c r="J951" s="69" t="inlineStr">
        <is>
          <t>消声屏障/消声房/装饰百叶(分包)</t>
        </is>
      </c>
      <c r="K951" s="70" t="n"/>
      <c r="L951" s="70" t="n"/>
      <c r="M951" s="71" t="inlineStr">
        <is>
          <t>m2</t>
        </is>
      </c>
      <c r="N951" s="72" t="n">
        <v>260.72</v>
      </c>
      <c r="O951" s="72">
        <f>ROUND(N951*(1+$F$10),2)</f>
        <v/>
      </c>
      <c r="P951" s="73">
        <f>ROUND(K951*N951,2)</f>
        <v/>
      </c>
      <c r="Q951" s="74">
        <f>ROUND(L951*N951,2)</f>
        <v/>
      </c>
      <c r="R951" s="75" t="n"/>
      <c r="S951" s="76" t="n"/>
      <c r="T951" s="77">
        <f>K951-L951</f>
        <v/>
      </c>
      <c r="U951" s="77">
        <f>P951-Q951</f>
        <v/>
      </c>
      <c r="V951" s="77">
        <f>ABS(U951)</f>
        <v/>
      </c>
      <c r="W951" s="78">
        <f>T951/L951</f>
        <v/>
      </c>
      <c r="X951" s="79">
        <f>ABS(W951)</f>
        <v/>
      </c>
      <c r="AG951" s="80" t="inlineStr">
        <is>
          <t>基本墙面积</t>
        </is>
      </c>
    </row>
    <row r="952" ht="11.4" customHeight="1">
      <c r="A952" s="67" t="inlineStr">
        <is>
          <t>79</t>
        </is>
      </c>
      <c r="B952" s="67" t="inlineStr">
        <is>
          <t>1077</t>
        </is>
      </c>
      <c r="C952" s="67" t="inlineStr">
        <is>
          <t>1630</t>
        </is>
      </c>
      <c r="D952" s="68" t="inlineStr">
        <is>
          <t>01</t>
        </is>
      </c>
      <c r="E952" s="68" t="inlineStr">
        <is>
          <t>6 物业施工费</t>
        </is>
      </c>
      <c r="F952" s="68" t="inlineStr">
        <is>
          <t>6.3 环保工程</t>
        </is>
      </c>
      <c r="G952" s="68" t="inlineStr">
        <is>
          <t>环保工程</t>
        </is>
      </c>
      <c r="H952" s="68" t="inlineStr">
        <is>
          <t>油烟净化器/系统</t>
        </is>
      </c>
      <c r="I952" s="69" t="inlineStr">
        <is>
          <t>1000022048</t>
        </is>
      </c>
      <c r="J952" s="69" t="inlineStr">
        <is>
          <t>油烟净化器/系统（仅主材）</t>
        </is>
      </c>
      <c r="K952" s="70" t="n"/>
      <c r="L952" s="70" t="n"/>
      <c r="M952" s="71" t="inlineStr">
        <is>
          <t>项</t>
        </is>
      </c>
      <c r="N952" s="72" t="n">
        <v>0</v>
      </c>
      <c r="O952" s="72">
        <f>ROUND(N952*(1+$F$10),2)</f>
        <v/>
      </c>
      <c r="P952" s="73">
        <f>ROUND(K952*N952,2)</f>
        <v/>
      </c>
      <c r="Q952" s="74">
        <f>ROUND(L952*N952,2)</f>
        <v/>
      </c>
      <c r="R952" s="75" t="n"/>
      <c r="S952" s="76" t="n"/>
      <c r="T952" s="77">
        <f>K952-L952</f>
        <v/>
      </c>
      <c r="U952" s="77">
        <f>P952-Q952</f>
        <v/>
      </c>
      <c r="V952" s="77">
        <f>ABS(U952)</f>
        <v/>
      </c>
      <c r="W952" s="78">
        <f>T952/L952</f>
        <v/>
      </c>
      <c r="X952" s="79">
        <f>ABS(W952)</f>
        <v/>
      </c>
      <c r="AG952" s="80" t="n"/>
      <c r="AH952" s="80" t="inlineStr">
        <is>
          <t>委托书</t>
        </is>
      </c>
    </row>
    <row r="953" ht="11.4" customHeight="1">
      <c r="A953" s="67" t="inlineStr">
        <is>
          <t>79</t>
        </is>
      </c>
      <c r="B953" s="67" t="inlineStr">
        <is>
          <t>1077</t>
        </is>
      </c>
      <c r="C953" s="67" t="inlineStr">
        <is>
          <t>1630</t>
        </is>
      </c>
      <c r="D953" s="68" t="inlineStr">
        <is>
          <t>01</t>
        </is>
      </c>
      <c r="E953" s="68" t="inlineStr">
        <is>
          <t>6 物业施工费</t>
        </is>
      </c>
      <c r="F953" s="68" t="inlineStr">
        <is>
          <t>6.3 环保工程</t>
        </is>
      </c>
      <c r="G953" s="68" t="inlineStr">
        <is>
          <t>环保工程</t>
        </is>
      </c>
      <c r="H953" s="68" t="inlineStr">
        <is>
          <t>油烟净化器/系统</t>
        </is>
      </c>
      <c r="I953" s="69" t="inlineStr">
        <is>
          <t>1000022049</t>
        </is>
      </c>
      <c r="J953" s="69" t="inlineStr">
        <is>
          <t>油烟净化器/系统（仅安装）</t>
        </is>
      </c>
      <c r="K953" s="70" t="n">
        <v>1</v>
      </c>
      <c r="L953" s="70" t="n">
        <v>1</v>
      </c>
      <c r="M953" s="71" t="inlineStr">
        <is>
          <t>项</t>
        </is>
      </c>
      <c r="N953" s="72" t="n">
        <v>1572.2</v>
      </c>
      <c r="O953" s="72">
        <f>ROUND(N953*(1+$F$10),2)</f>
        <v/>
      </c>
      <c r="P953" s="73">
        <f>ROUND(K953*N953,2)</f>
        <v/>
      </c>
      <c r="Q953" s="74">
        <f>ROUND(L953*N953,2)</f>
        <v/>
      </c>
      <c r="R953" s="75" t="n"/>
      <c r="S953" s="76" t="n"/>
      <c r="T953" s="77">
        <f>K953-L953</f>
        <v/>
      </c>
      <c r="U953" s="77">
        <f>P953-Q953</f>
        <v/>
      </c>
      <c r="V953" s="77">
        <f>ABS(U953)</f>
        <v/>
      </c>
      <c r="W953" s="78">
        <f>T953/L953</f>
        <v/>
      </c>
      <c r="X953" s="79">
        <f>ABS(W953)</f>
        <v/>
      </c>
      <c r="AH953" s="80" t="inlineStr">
        <is>
          <t>委托书</t>
        </is>
      </c>
    </row>
    <row r="954" ht="11.4" customHeight="1">
      <c r="A954" s="67" t="inlineStr">
        <is>
          <t>79</t>
        </is>
      </c>
      <c r="B954" s="67" t="inlineStr">
        <is>
          <t>1077</t>
        </is>
      </c>
      <c r="C954" s="67" t="inlineStr">
        <is>
          <t>1630</t>
        </is>
      </c>
      <c r="D954" s="68" t="inlineStr">
        <is>
          <t>01</t>
        </is>
      </c>
      <c r="E954" s="68" t="inlineStr">
        <is>
          <t>6 物业施工费</t>
        </is>
      </c>
      <c r="F954" s="68" t="inlineStr">
        <is>
          <t>6.3 环保工程</t>
        </is>
      </c>
      <c r="G954" s="68" t="inlineStr">
        <is>
          <t>环保工程</t>
        </is>
      </c>
      <c r="H954" s="68" t="inlineStr">
        <is>
          <t>隔油池化粪池</t>
        </is>
      </c>
      <c r="I954" s="69" t="inlineStr">
        <is>
          <t>1000022050</t>
        </is>
      </c>
      <c r="J954" s="69" t="inlineStr">
        <is>
          <t>隔油池(含不锈钢框防臭盖及取样井,具体尺寸详见图纸)</t>
        </is>
      </c>
      <c r="K954" s="70" t="n"/>
      <c r="L954" s="70" t="n"/>
      <c r="M954" s="71" t="inlineStr">
        <is>
          <t>项</t>
        </is>
      </c>
      <c r="N954" s="72" t="n">
        <v>11764.6</v>
      </c>
      <c r="O954" s="72">
        <f>ROUND(N954*(1+$F$10),2)</f>
        <v/>
      </c>
      <c r="P954" s="73">
        <f>ROUND(K954*N954,2)</f>
        <v/>
      </c>
      <c r="Q954" s="74">
        <f>ROUND(L954*N954,2)</f>
        <v/>
      </c>
      <c r="R954" s="75" t="n"/>
      <c r="S954" s="76" t="n"/>
      <c r="T954" s="77">
        <f>K954-L954</f>
        <v/>
      </c>
      <c r="U954" s="77">
        <f>P954-Q954</f>
        <v/>
      </c>
      <c r="V954" s="77">
        <f>ABS(U954)</f>
        <v/>
      </c>
      <c r="W954" s="78">
        <f>T954/L954</f>
        <v/>
      </c>
      <c r="X954" s="79">
        <f>ABS(W954)</f>
        <v/>
      </c>
      <c r="AH954" s="80" t="inlineStr">
        <is>
          <t>委托书</t>
        </is>
      </c>
    </row>
    <row r="955" ht="11.4" customHeight="1">
      <c r="A955" s="67" t="inlineStr">
        <is>
          <t>79</t>
        </is>
      </c>
      <c r="B955" s="67" t="inlineStr">
        <is>
          <t>1077</t>
        </is>
      </c>
      <c r="C955" s="67" t="inlineStr">
        <is>
          <t>1630</t>
        </is>
      </c>
      <c r="D955" s="68" t="inlineStr">
        <is>
          <t>01</t>
        </is>
      </c>
      <c r="E955" s="68" t="inlineStr">
        <is>
          <t>6 物业施工费</t>
        </is>
      </c>
      <c r="F955" s="68" t="inlineStr">
        <is>
          <t>6.3 环保工程</t>
        </is>
      </c>
      <c r="G955" s="68" t="inlineStr">
        <is>
          <t>环保工程</t>
        </is>
      </c>
      <c r="H955" s="68" t="inlineStr">
        <is>
          <t>隔油池化粪池</t>
        </is>
      </c>
      <c r="I955" s="69" t="inlineStr">
        <is>
          <t>1000022051</t>
        </is>
      </c>
      <c r="J955" s="69" t="inlineStr">
        <is>
          <t>铸铁盖过路井</t>
        </is>
      </c>
      <c r="K955" s="70" t="n"/>
      <c r="L955" s="70" t="n"/>
      <c r="M955" s="71" t="inlineStr">
        <is>
          <t>个</t>
        </is>
      </c>
      <c r="N955" s="72" t="n">
        <v>661.09</v>
      </c>
      <c r="O955" s="72">
        <f>ROUND(N955*(1+$F$10),2)</f>
        <v/>
      </c>
      <c r="P955" s="73">
        <f>ROUND(K955*N955,2)</f>
        <v/>
      </c>
      <c r="Q955" s="74">
        <f>ROUND(L955*N955,2)</f>
        <v/>
      </c>
      <c r="R955" s="75" t="n"/>
      <c r="S955" s="76" t="n"/>
      <c r="T955" s="77">
        <f>K955-L955</f>
        <v/>
      </c>
      <c r="U955" s="77">
        <f>P955-Q955</f>
        <v/>
      </c>
      <c r="V955" s="77">
        <f>ABS(U955)</f>
        <v/>
      </c>
      <c r="W955" s="78">
        <f>T955/L955</f>
        <v/>
      </c>
      <c r="X955" s="79">
        <f>ABS(W955)</f>
        <v/>
      </c>
      <c r="AH955" s="80" t="inlineStr">
        <is>
          <t>调整</t>
        </is>
      </c>
    </row>
    <row r="956" ht="11.4" customHeight="1">
      <c r="A956" s="67" t="inlineStr">
        <is>
          <t>79</t>
        </is>
      </c>
      <c r="B956" s="67" t="inlineStr">
        <is>
          <t>1077</t>
        </is>
      </c>
      <c r="C956" s="67" t="inlineStr">
        <is>
          <t>1630</t>
        </is>
      </c>
      <c r="D956" s="68" t="inlineStr">
        <is>
          <t>01</t>
        </is>
      </c>
      <c r="E956" s="68" t="inlineStr">
        <is>
          <t>6 物业施工费</t>
        </is>
      </c>
      <c r="F956" s="68" t="inlineStr">
        <is>
          <t>6.3 环保工程</t>
        </is>
      </c>
      <c r="G956" s="68" t="inlineStr">
        <is>
          <t>环保工程</t>
        </is>
      </c>
      <c r="H956" s="68" t="inlineStr">
        <is>
          <t>隔油池化粪池</t>
        </is>
      </c>
      <c r="I956" s="69" t="inlineStr">
        <is>
          <t>1000022052</t>
        </is>
      </c>
      <c r="J956" s="69" t="inlineStr">
        <is>
          <t>化粪池</t>
        </is>
      </c>
      <c r="K956" s="70" t="n"/>
      <c r="L956" s="70" t="n"/>
      <c r="M956" s="71" t="inlineStr">
        <is>
          <t>项</t>
        </is>
      </c>
      <c r="N956" s="72" t="n">
        <v>11489.6</v>
      </c>
      <c r="O956" s="72">
        <f>ROUND(N956*(1+$F$10),2)</f>
        <v/>
      </c>
      <c r="P956" s="73">
        <f>ROUND(K956*N956,2)</f>
        <v/>
      </c>
      <c r="Q956" s="74">
        <f>ROUND(L956*N956,2)</f>
        <v/>
      </c>
      <c r="R956" s="75" t="n"/>
      <c r="S956" s="76" t="n"/>
      <c r="T956" s="77">
        <f>K956-L956</f>
        <v/>
      </c>
      <c r="U956" s="77">
        <f>P956-Q956</f>
        <v/>
      </c>
      <c r="V956" s="77">
        <f>ABS(U956)</f>
        <v/>
      </c>
      <c r="W956" s="78">
        <f>T956/L956</f>
        <v/>
      </c>
      <c r="X956" s="79">
        <f>ABS(W956)</f>
        <v/>
      </c>
      <c r="AH956" s="80" t="inlineStr">
        <is>
          <t>委托书</t>
        </is>
      </c>
    </row>
    <row r="957" ht="11.4" customHeight="1">
      <c r="A957" s="67" t="inlineStr">
        <is>
          <t>79</t>
        </is>
      </c>
      <c r="B957" s="67" t="inlineStr">
        <is>
          <t>1077</t>
        </is>
      </c>
      <c r="C957" s="67" t="inlineStr">
        <is>
          <t>1630</t>
        </is>
      </c>
      <c r="D957" s="68" t="inlineStr">
        <is>
          <t>01</t>
        </is>
      </c>
      <c r="E957" s="68" t="inlineStr">
        <is>
          <t>6 物业施工费</t>
        </is>
      </c>
      <c r="F957" s="68" t="inlineStr">
        <is>
          <t>6.3 环保工程</t>
        </is>
      </c>
      <c r="G957" s="68" t="inlineStr">
        <is>
          <t>环保工程</t>
        </is>
      </c>
      <c r="H957" s="68" t="inlineStr">
        <is>
          <t>隔油池化粪池</t>
        </is>
      </c>
      <c r="I957" s="69" t="inlineStr">
        <is>
          <t>1000022053</t>
        </is>
      </c>
      <c r="J957" s="69" t="inlineStr">
        <is>
          <t>排污泵设施（含配套电气及管、阀等）</t>
        </is>
      </c>
      <c r="K957" s="70" t="n"/>
      <c r="L957" s="70" t="n"/>
      <c r="M957" s="71" t="inlineStr">
        <is>
          <t>项</t>
        </is>
      </c>
      <c r="N957" s="72" t="n">
        <v>5866.38</v>
      </c>
      <c r="O957" s="72">
        <f>ROUND(N957*(1+$F$10),2)</f>
        <v/>
      </c>
      <c r="P957" s="73">
        <f>ROUND(K957*N957,2)</f>
        <v/>
      </c>
      <c r="Q957" s="74">
        <f>ROUND(L957*N957,2)</f>
        <v/>
      </c>
      <c r="R957" s="75" t="n"/>
      <c r="S957" s="76" t="n"/>
      <c r="T957" s="77">
        <f>K957-L957</f>
        <v/>
      </c>
      <c r="U957" s="77">
        <f>P957-Q957</f>
        <v/>
      </c>
      <c r="V957" s="77">
        <f>ABS(U957)</f>
        <v/>
      </c>
      <c r="W957" s="78">
        <f>T957/L957</f>
        <v/>
      </c>
      <c r="X957" s="79">
        <f>ABS(W957)</f>
        <v/>
      </c>
      <c r="AG957" s="80" t="inlineStr">
        <is>
          <t>个数</t>
        </is>
      </c>
      <c r="AH957" s="80" t="n"/>
    </row>
    <row r="958" ht="11.4" customHeight="1">
      <c r="A958" s="67" t="inlineStr">
        <is>
          <t>86</t>
        </is>
      </c>
      <c r="B958" s="67" t="inlineStr">
        <is>
          <t>1084</t>
        </is>
      </c>
      <c r="C958" s="67" t="inlineStr">
        <is>
          <t>3791</t>
        </is>
      </c>
      <c r="D958" s="68" t="inlineStr">
        <is>
          <t>01</t>
        </is>
      </c>
      <c r="E958" s="68" t="inlineStr">
        <is>
          <t>7 招牌</t>
        </is>
      </c>
      <c r="F958" s="68" t="inlineStr">
        <is>
          <t>7.2 招牌安装</t>
        </is>
      </c>
      <c r="G958" s="68" t="inlineStr">
        <is>
          <t>招牌安装</t>
        </is>
      </c>
      <c r="H958" s="68" t="inlineStr">
        <is>
          <t>招牌安装</t>
        </is>
      </c>
      <c r="I958" s="69" t="inlineStr">
        <is>
          <t>1000022159</t>
        </is>
      </c>
      <c r="J958" s="69" t="inlineStr">
        <is>
          <t>大堂墙面字母安装</t>
        </is>
      </c>
      <c r="K958" s="70" t="n">
        <v>4.84</v>
      </c>
      <c r="L958" s="70" t="n">
        <v>5.02</v>
      </c>
      <c r="M958" s="71" t="inlineStr">
        <is>
          <t>m2</t>
        </is>
      </c>
      <c r="N958" s="72" t="n">
        <v>60</v>
      </c>
      <c r="O958" s="72">
        <f>ROUND(N958*(1+$F$10),2)</f>
        <v/>
      </c>
      <c r="P958" s="73">
        <f>ROUND(K958*N958,2)</f>
        <v/>
      </c>
      <c r="Q958" s="74">
        <f>ROUND(L958*N958,2)</f>
        <v/>
      </c>
      <c r="R958" s="75" t="n"/>
      <c r="S958" s="76" t="n"/>
      <c r="T958" s="77">
        <f>K958-L958</f>
        <v/>
      </c>
      <c r="U958" s="77">
        <f>P958-Q958</f>
        <v/>
      </c>
      <c r="V958" s="77">
        <f>ABS(U958)</f>
        <v/>
      </c>
      <c r="W958" s="78">
        <f>T958/L958</f>
        <v/>
      </c>
      <c r="X958" s="79">
        <f>ABS(W958)</f>
        <v/>
      </c>
      <c r="AG958" s="80" t="inlineStr">
        <is>
          <t>装饰品面积</t>
        </is>
      </c>
    </row>
    <row r="959" ht="11.4" customHeight="1">
      <c r="A959" s="67" t="inlineStr">
        <is>
          <t>86</t>
        </is>
      </c>
      <c r="B959" s="67" t="inlineStr">
        <is>
          <t>1084</t>
        </is>
      </c>
      <c r="C959" s="67" t="inlineStr">
        <is>
          <t>3791</t>
        </is>
      </c>
      <c r="D959" s="68" t="inlineStr">
        <is>
          <t>01</t>
        </is>
      </c>
      <c r="E959" s="68" t="inlineStr">
        <is>
          <t>7 招牌</t>
        </is>
      </c>
      <c r="F959" s="68" t="inlineStr">
        <is>
          <t>7.3 招牌安装</t>
        </is>
      </c>
      <c r="G959" s="68" t="inlineStr">
        <is>
          <t>招牌安装</t>
        </is>
      </c>
      <c r="H959" s="68" t="inlineStr">
        <is>
          <t>招牌安装</t>
        </is>
      </c>
      <c r="I959" s="69" t="inlineStr">
        <is>
          <t>1000022054</t>
        </is>
      </c>
      <c r="J959" s="69" t="inlineStr">
        <is>
          <t>门头招牌安装</t>
        </is>
      </c>
      <c r="K959" s="70" t="n">
        <v>2.58</v>
      </c>
      <c r="L959" s="70" t="n">
        <v>2.64</v>
      </c>
      <c r="M959" s="71" t="inlineStr">
        <is>
          <t>m2</t>
        </is>
      </c>
      <c r="N959" s="72" t="n">
        <v>438.66</v>
      </c>
      <c r="O959" s="72">
        <f>ROUND(N959*(1+$F$10),2)</f>
        <v/>
      </c>
      <c r="P959" s="73">
        <f>ROUND(K959*N959,2)</f>
        <v/>
      </c>
      <c r="Q959" s="74">
        <f>ROUND(L959*N959,2)</f>
        <v/>
      </c>
      <c r="R959" s="75" t="n"/>
      <c r="S959" s="76" t="n"/>
      <c r="T959" s="77">
        <f>K959-L959</f>
        <v/>
      </c>
      <c r="U959" s="77">
        <f>P959-Q959</f>
        <v/>
      </c>
      <c r="V959" s="77">
        <f>ABS(U959)</f>
        <v/>
      </c>
      <c r="W959" s="78">
        <f>T959/L959</f>
        <v/>
      </c>
      <c r="X959" s="79">
        <f>ABS(W959)</f>
        <v/>
      </c>
      <c r="AG959" s="80" t="inlineStr">
        <is>
          <t>专用设备面积</t>
        </is>
      </c>
    </row>
    <row r="960" ht="11.4" customHeight="1">
      <c r="A960" s="67" t="inlineStr">
        <is>
          <t>86</t>
        </is>
      </c>
      <c r="B960" s="67" t="inlineStr">
        <is>
          <t>1084</t>
        </is>
      </c>
      <c r="C960" s="67" t="inlineStr">
        <is>
          <t>3791</t>
        </is>
      </c>
      <c r="D960" s="68" t="inlineStr">
        <is>
          <t>01</t>
        </is>
      </c>
      <c r="E960" s="68" t="inlineStr">
        <is>
          <t>7 招牌</t>
        </is>
      </c>
      <c r="F960" s="68" t="inlineStr">
        <is>
          <t>7.3 招牌安装</t>
        </is>
      </c>
      <c r="G960" s="68" t="inlineStr">
        <is>
          <t>招牌安装</t>
        </is>
      </c>
      <c r="H960" s="68" t="inlineStr">
        <is>
          <t>招牌安装</t>
        </is>
      </c>
      <c r="I960" s="69" t="inlineStr">
        <is>
          <t>1000022055</t>
        </is>
      </c>
      <c r="J960" s="69" t="inlineStr">
        <is>
          <t>双面侧招安装含钢架(底标高H ≤ 10m）</t>
        </is>
      </c>
      <c r="K960" s="70" t="n"/>
      <c r="L960" s="70" t="n"/>
      <c r="M960" s="71" t="inlineStr">
        <is>
          <t>只</t>
        </is>
      </c>
      <c r="N960" s="72" t="n">
        <v>4341.19</v>
      </c>
      <c r="O960" s="72">
        <f>ROUND(N960*(1+$F$10),2)</f>
        <v/>
      </c>
      <c r="P960" s="73">
        <f>ROUND(K960*N960,2)</f>
        <v/>
      </c>
      <c r="Q960" s="74">
        <f>ROUND(L960*N960,2)</f>
        <v/>
      </c>
      <c r="R960" s="75" t="n"/>
      <c r="S960" s="76" t="n"/>
      <c r="T960" s="77">
        <f>K960-L960</f>
        <v/>
      </c>
      <c r="U960" s="77">
        <f>P960-Q960</f>
        <v/>
      </c>
      <c r="V960" s="77">
        <f>ABS(U960)</f>
        <v/>
      </c>
      <c r="W960" s="78">
        <f>T960/L960</f>
        <v/>
      </c>
      <c r="X960" s="79">
        <f>ABS(W960)</f>
        <v/>
      </c>
      <c r="AG960" s="80" t="inlineStr">
        <is>
          <t>根据族所在高度判断清单范围记取个数</t>
        </is>
      </c>
    </row>
    <row r="961" ht="11.4" customHeight="1">
      <c r="A961" s="67" t="inlineStr">
        <is>
          <t>86</t>
        </is>
      </c>
      <c r="B961" s="67" t="inlineStr">
        <is>
          <t>1084</t>
        </is>
      </c>
      <c r="C961" s="67" t="inlineStr">
        <is>
          <t>3791</t>
        </is>
      </c>
      <c r="D961" s="68" t="inlineStr">
        <is>
          <t>01</t>
        </is>
      </c>
      <c r="E961" s="68" t="inlineStr">
        <is>
          <t>7 招牌</t>
        </is>
      </c>
      <c r="F961" s="68" t="inlineStr">
        <is>
          <t>7.3 招牌安装</t>
        </is>
      </c>
      <c r="G961" s="68" t="inlineStr">
        <is>
          <t>招牌安装</t>
        </is>
      </c>
      <c r="H961" s="68" t="inlineStr">
        <is>
          <t>招牌安装</t>
        </is>
      </c>
      <c r="I961" s="69" t="inlineStr">
        <is>
          <t>1000022056</t>
        </is>
      </c>
      <c r="J961" s="69" t="inlineStr">
        <is>
          <t>双面侧招安装含钢架（底标高H &gt; 10m)</t>
        </is>
      </c>
      <c r="K961" s="70" t="n"/>
      <c r="L961" s="70" t="n"/>
      <c r="M961" s="71" t="inlineStr">
        <is>
          <t>只</t>
        </is>
      </c>
      <c r="N961" s="72" t="n">
        <v>5895.79</v>
      </c>
      <c r="O961" s="72">
        <f>ROUND(N961*(1+$F$10),2)</f>
        <v/>
      </c>
      <c r="P961" s="73">
        <f>ROUND(K961*N961,2)</f>
        <v/>
      </c>
      <c r="Q961" s="74">
        <f>ROUND(L961*N961,2)</f>
        <v/>
      </c>
      <c r="R961" s="75" t="n"/>
      <c r="S961" s="76" t="n"/>
      <c r="T961" s="77">
        <f>K961-L961</f>
        <v/>
      </c>
      <c r="U961" s="77">
        <f>P961-Q961</f>
        <v/>
      </c>
      <c r="V961" s="77">
        <f>ABS(U961)</f>
        <v/>
      </c>
      <c r="W961" s="78">
        <f>T961/L961</f>
        <v/>
      </c>
      <c r="X961" s="79">
        <f>ABS(W961)</f>
        <v/>
      </c>
      <c r="AG961" s="80" t="inlineStr">
        <is>
          <t>根据族所在高度判断清单范围记取个数</t>
        </is>
      </c>
    </row>
    <row r="962" ht="11.4" customHeight="1">
      <c r="A962" s="67" t="inlineStr">
        <is>
          <t>86</t>
        </is>
      </c>
      <c r="B962" s="67" t="inlineStr">
        <is>
          <t>1084</t>
        </is>
      </c>
      <c r="C962" s="67" t="inlineStr">
        <is>
          <t>3791</t>
        </is>
      </c>
      <c r="D962" s="68" t="inlineStr">
        <is>
          <t>01</t>
        </is>
      </c>
      <c r="E962" s="68" t="inlineStr">
        <is>
          <t>7 招牌</t>
        </is>
      </c>
      <c r="F962" s="68" t="inlineStr">
        <is>
          <t>7.3 招牌安装</t>
        </is>
      </c>
      <c r="G962" s="68" t="inlineStr">
        <is>
          <t>招牌安装</t>
        </is>
      </c>
      <c r="H962" s="68" t="inlineStr">
        <is>
          <t>招牌安装</t>
        </is>
      </c>
      <c r="I962" s="69" t="inlineStr">
        <is>
          <t>1000022057</t>
        </is>
      </c>
      <c r="J962" s="69" t="inlineStr">
        <is>
          <t>小侧招安装</t>
        </is>
      </c>
      <c r="K962" s="70" t="n"/>
      <c r="L962" s="70" t="n"/>
      <c r="M962" s="71" t="inlineStr">
        <is>
          <t>只</t>
        </is>
      </c>
      <c r="N962" s="72" t="n">
        <v>1317.56</v>
      </c>
      <c r="O962" s="72">
        <f>ROUND(N962*(1+$F$10),2)</f>
        <v/>
      </c>
      <c r="P962" s="73">
        <f>ROUND(K962*N962,2)</f>
        <v/>
      </c>
      <c r="Q962" s="74">
        <f>ROUND(L962*N962,2)</f>
        <v/>
      </c>
      <c r="R962" s="75" t="n"/>
      <c r="S962" s="76" t="n"/>
      <c r="T962" s="77">
        <f>K962-L962</f>
        <v/>
      </c>
      <c r="U962" s="77">
        <f>P962-Q962</f>
        <v/>
      </c>
      <c r="V962" s="77">
        <f>ABS(U962)</f>
        <v/>
      </c>
      <c r="W962" s="78">
        <f>T962/L962</f>
        <v/>
      </c>
      <c r="X962" s="79">
        <f>ABS(W962)</f>
        <v/>
      </c>
      <c r="AG962" s="80" t="inlineStr">
        <is>
          <t>个数</t>
        </is>
      </c>
    </row>
    <row r="963" ht="11.4" customHeight="1">
      <c r="A963" s="67" t="inlineStr">
        <is>
          <t>86</t>
        </is>
      </c>
      <c r="B963" s="67" t="inlineStr">
        <is>
          <t>1084</t>
        </is>
      </c>
      <c r="C963" s="67" t="inlineStr">
        <is>
          <t>3791</t>
        </is>
      </c>
      <c r="D963" s="68" t="inlineStr">
        <is>
          <t>01</t>
        </is>
      </c>
      <c r="E963" s="68" t="inlineStr">
        <is>
          <t>7 招牌</t>
        </is>
      </c>
      <c r="F963" s="68" t="inlineStr">
        <is>
          <t>7.3 招牌安装</t>
        </is>
      </c>
      <c r="G963" s="68" t="inlineStr">
        <is>
          <t>招牌安装</t>
        </is>
      </c>
      <c r="H963" s="68" t="inlineStr">
        <is>
          <t>招牌安装</t>
        </is>
      </c>
      <c r="I963" s="69" t="inlineStr">
        <is>
          <t>1000022058</t>
        </is>
      </c>
      <c r="J963" s="69" t="inlineStr">
        <is>
          <t>杆标基础(杆标顶H ≤10m)</t>
        </is>
      </c>
      <c r="K963" s="70" t="n"/>
      <c r="L963" s="70" t="n"/>
      <c r="M963" s="71" t="inlineStr">
        <is>
          <t>只</t>
        </is>
      </c>
      <c r="N963" s="72" t="n">
        <v>16886.35</v>
      </c>
      <c r="O963" s="72">
        <f>ROUND(N963*(1+$F$10),2)</f>
        <v/>
      </c>
      <c r="P963" s="73">
        <f>ROUND(K963*N963,2)</f>
        <v/>
      </c>
      <c r="Q963" s="74">
        <f>ROUND(L963*N963,2)</f>
        <v/>
      </c>
      <c r="R963" s="75" t="n"/>
      <c r="S963" s="76" t="n"/>
      <c r="T963" s="77">
        <f>K963-L963</f>
        <v/>
      </c>
      <c r="U963" s="77">
        <f>P963-Q963</f>
        <v/>
      </c>
      <c r="V963" s="77">
        <f>ABS(U963)</f>
        <v/>
      </c>
      <c r="W963" s="78">
        <f>T963/L963</f>
        <v/>
      </c>
      <c r="X963" s="79">
        <f>ABS(W963)</f>
        <v/>
      </c>
      <c r="AG963" s="80" t="inlineStr">
        <is>
          <t>个数</t>
        </is>
      </c>
    </row>
    <row r="964" ht="11.4" customHeight="1">
      <c r="A964" s="67" t="inlineStr">
        <is>
          <t>86</t>
        </is>
      </c>
      <c r="B964" s="67" t="inlineStr">
        <is>
          <t>1084</t>
        </is>
      </c>
      <c r="C964" s="67" t="inlineStr">
        <is>
          <t>3791</t>
        </is>
      </c>
      <c r="D964" s="68" t="inlineStr">
        <is>
          <t>01</t>
        </is>
      </c>
      <c r="E964" s="68" t="inlineStr">
        <is>
          <t>7 招牌</t>
        </is>
      </c>
      <c r="F964" s="68" t="inlineStr">
        <is>
          <t>7.3 招牌安装</t>
        </is>
      </c>
      <c r="G964" s="68" t="inlineStr">
        <is>
          <t>招牌安装</t>
        </is>
      </c>
      <c r="H964" s="68" t="inlineStr">
        <is>
          <t>招牌安装</t>
        </is>
      </c>
      <c r="I964" s="69" t="inlineStr">
        <is>
          <t>1000022059</t>
        </is>
      </c>
      <c r="J964" s="69" t="inlineStr">
        <is>
          <t>杆标安装(杆标顶H ≤10m,含杆标主材及招牌安装)</t>
        </is>
      </c>
      <c r="K964" s="70" t="n"/>
      <c r="L964" s="70" t="n"/>
      <c r="M964" s="71" t="inlineStr">
        <is>
          <t>只</t>
        </is>
      </c>
      <c r="N964" s="72" t="n">
        <v>43209.18</v>
      </c>
      <c r="O964" s="72">
        <f>ROUND(N964*(1+$F$10),2)</f>
        <v/>
      </c>
      <c r="P964" s="73">
        <f>ROUND(K964*N964,2)</f>
        <v/>
      </c>
      <c r="Q964" s="74">
        <f>ROUND(L964*N964,2)</f>
        <v/>
      </c>
      <c r="R964" s="75" t="n"/>
      <c r="S964" s="76" t="n"/>
      <c r="T964" s="77">
        <f>K964-L964</f>
        <v/>
      </c>
      <c r="U964" s="77">
        <f>P964-Q964</f>
        <v/>
      </c>
      <c r="V964" s="77">
        <f>ABS(U964)</f>
        <v/>
      </c>
      <c r="W964" s="78">
        <f>T964/L964</f>
        <v/>
      </c>
      <c r="X964" s="79">
        <f>ABS(W964)</f>
        <v/>
      </c>
      <c r="AG964" s="80" t="inlineStr">
        <is>
          <t>个数</t>
        </is>
      </c>
    </row>
    <row r="965" ht="11.4" customHeight="1">
      <c r="A965" s="67" t="inlineStr">
        <is>
          <t>86</t>
        </is>
      </c>
      <c r="B965" s="67" t="inlineStr">
        <is>
          <t>1084</t>
        </is>
      </c>
      <c r="C965" s="67" t="inlineStr">
        <is>
          <t>3791</t>
        </is>
      </c>
      <c r="D965" s="68" t="inlineStr">
        <is>
          <t>01</t>
        </is>
      </c>
      <c r="E965" s="68" t="inlineStr">
        <is>
          <t>7 招牌</t>
        </is>
      </c>
      <c r="F965" s="68" t="inlineStr">
        <is>
          <t>7.3 招牌安装</t>
        </is>
      </c>
      <c r="G965" s="68" t="inlineStr">
        <is>
          <t>招牌安装</t>
        </is>
      </c>
      <c r="H965" s="68" t="inlineStr">
        <is>
          <t>招牌安装</t>
        </is>
      </c>
      <c r="I965" s="69" t="inlineStr">
        <is>
          <t>1000022060</t>
        </is>
      </c>
      <c r="J965" s="69" t="inlineStr">
        <is>
          <t>杆标基础(杆标顶H&gt; 10m)</t>
        </is>
      </c>
      <c r="K965" s="70" t="n"/>
      <c r="L965" s="70" t="n"/>
      <c r="M965" s="71" t="inlineStr">
        <is>
          <t>只</t>
        </is>
      </c>
      <c r="N965" s="72" t="n">
        <v>18631.78</v>
      </c>
      <c r="O965" s="72">
        <f>ROUND(N965*(1+$F$10),2)</f>
        <v/>
      </c>
      <c r="P965" s="73">
        <f>ROUND(K965*N965,2)</f>
        <v/>
      </c>
      <c r="Q965" s="74">
        <f>ROUND(L965*N965,2)</f>
        <v/>
      </c>
      <c r="R965" s="75" t="n"/>
      <c r="S965" s="76" t="n"/>
      <c r="T965" s="77">
        <f>K965-L965</f>
        <v/>
      </c>
      <c r="U965" s="77">
        <f>P965-Q965</f>
        <v/>
      </c>
      <c r="V965" s="77">
        <f>ABS(U965)</f>
        <v/>
      </c>
      <c r="W965" s="78">
        <f>T965/L965</f>
        <v/>
      </c>
      <c r="X965" s="79">
        <f>ABS(W965)</f>
        <v/>
      </c>
      <c r="AG965" s="80" t="inlineStr">
        <is>
          <t>个数</t>
        </is>
      </c>
    </row>
    <row r="966" ht="11.4" customHeight="1">
      <c r="A966" s="67" t="inlineStr">
        <is>
          <t>86</t>
        </is>
      </c>
      <c r="B966" s="67" t="inlineStr">
        <is>
          <t>1084</t>
        </is>
      </c>
      <c r="C966" s="67" t="inlineStr">
        <is>
          <t>3791</t>
        </is>
      </c>
      <c r="D966" s="68" t="inlineStr">
        <is>
          <t>01</t>
        </is>
      </c>
      <c r="E966" s="68" t="inlineStr">
        <is>
          <t>7 招牌</t>
        </is>
      </c>
      <c r="F966" s="68" t="inlineStr">
        <is>
          <t>7.3 招牌安装</t>
        </is>
      </c>
      <c r="G966" s="68" t="inlineStr">
        <is>
          <t>招牌安装</t>
        </is>
      </c>
      <c r="H966" s="68" t="inlineStr">
        <is>
          <t>招牌安装</t>
        </is>
      </c>
      <c r="I966" s="69" t="inlineStr">
        <is>
          <t>1000022061</t>
        </is>
      </c>
      <c r="J966" s="69" t="inlineStr">
        <is>
          <t>杆标安装(杆标顶H &gt; 10m,含杆标主材及招牌安装)</t>
        </is>
      </c>
      <c r="K966" s="70" t="n"/>
      <c r="L966" s="70" t="n"/>
      <c r="M966" s="71" t="inlineStr">
        <is>
          <t>只</t>
        </is>
      </c>
      <c r="N966" s="72" t="n">
        <v>45299.18</v>
      </c>
      <c r="O966" s="72">
        <f>ROUND(N966*(1+$F$10),2)</f>
        <v/>
      </c>
      <c r="P966" s="73">
        <f>ROUND(K966*N966,2)</f>
        <v/>
      </c>
      <c r="Q966" s="74">
        <f>ROUND(L966*N966,2)</f>
        <v/>
      </c>
      <c r="R966" s="75" t="n"/>
      <c r="S966" s="76" t="n"/>
      <c r="T966" s="77">
        <f>K966-L966</f>
        <v/>
      </c>
      <c r="U966" s="77">
        <f>P966-Q966</f>
        <v/>
      </c>
      <c r="V966" s="77">
        <f>ABS(U966)</f>
        <v/>
      </c>
      <c r="W966" s="78">
        <f>T966/L966</f>
        <v/>
      </c>
      <c r="X966" s="79">
        <f>ABS(W966)</f>
        <v/>
      </c>
      <c r="AG966" s="80" t="inlineStr">
        <is>
          <t>个数</t>
        </is>
      </c>
    </row>
    <row r="967" ht="11.4" customHeight="1">
      <c r="A967" s="67" t="inlineStr">
        <is>
          <t>86</t>
        </is>
      </c>
      <c r="B967" s="67" t="inlineStr">
        <is>
          <t>1084</t>
        </is>
      </c>
      <c r="C967" s="67" t="inlineStr">
        <is>
          <t>3791</t>
        </is>
      </c>
      <c r="D967" s="68" t="inlineStr">
        <is>
          <t>01</t>
        </is>
      </c>
      <c r="E967" s="68" t="inlineStr">
        <is>
          <t>7 招牌</t>
        </is>
      </c>
      <c r="F967" s="68" t="inlineStr">
        <is>
          <t>7.3 招牌安装</t>
        </is>
      </c>
      <c r="G967" s="68" t="inlineStr">
        <is>
          <t>招牌安装</t>
        </is>
      </c>
      <c r="H967" s="68" t="inlineStr">
        <is>
          <t>招牌安装</t>
        </is>
      </c>
      <c r="I967" s="69" t="inlineStr">
        <is>
          <t>1000022062</t>
        </is>
      </c>
      <c r="J967" s="69" t="inlineStr">
        <is>
          <t>贴墙招牌安装(底标高H ≤ 10m)</t>
        </is>
      </c>
      <c r="K967" s="70" t="n"/>
      <c r="L967" s="70" t="n"/>
      <c r="M967" s="71" t="inlineStr">
        <is>
          <t>只</t>
        </is>
      </c>
      <c r="N967" s="72" t="n">
        <v>3067.95</v>
      </c>
      <c r="O967" s="72">
        <f>ROUND(N967*(1+$F$10),2)</f>
        <v/>
      </c>
      <c r="P967" s="73">
        <f>ROUND(K967*N967,2)</f>
        <v/>
      </c>
      <c r="Q967" s="74">
        <f>ROUND(L967*N967,2)</f>
        <v/>
      </c>
      <c r="R967" s="75" t="n"/>
      <c r="S967" s="76" t="n"/>
      <c r="T967" s="77">
        <f>K967-L967</f>
        <v/>
      </c>
      <c r="U967" s="77">
        <f>P967-Q967</f>
        <v/>
      </c>
      <c r="V967" s="77">
        <f>ABS(U967)</f>
        <v/>
      </c>
      <c r="W967" s="78">
        <f>T967/L967</f>
        <v/>
      </c>
      <c r="X967" s="79">
        <f>ABS(W967)</f>
        <v/>
      </c>
      <c r="AG967" s="80" t="inlineStr">
        <is>
          <t>个数</t>
        </is>
      </c>
    </row>
    <row r="968" ht="11.4" customHeight="1">
      <c r="A968" s="67" t="inlineStr">
        <is>
          <t>86</t>
        </is>
      </c>
      <c r="B968" s="67" t="inlineStr">
        <is>
          <t>1084</t>
        </is>
      </c>
      <c r="C968" s="67" t="inlineStr">
        <is>
          <t>3791</t>
        </is>
      </c>
      <c r="D968" s="68" t="inlineStr">
        <is>
          <t>01</t>
        </is>
      </c>
      <c r="E968" s="68" t="inlineStr">
        <is>
          <t>7 招牌</t>
        </is>
      </c>
      <c r="F968" s="68" t="inlineStr">
        <is>
          <t>7.3 招牌安装</t>
        </is>
      </c>
      <c r="G968" s="68" t="inlineStr">
        <is>
          <t>招牌安装</t>
        </is>
      </c>
      <c r="H968" s="68" t="inlineStr">
        <is>
          <t>招牌安装</t>
        </is>
      </c>
      <c r="I968" s="69" t="inlineStr">
        <is>
          <t>1000022063</t>
        </is>
      </c>
      <c r="J968" s="69" t="inlineStr">
        <is>
          <t>贴墙招牌安装(底标高H &gt; 10m)</t>
        </is>
      </c>
      <c r="K968" s="70" t="n"/>
      <c r="L968" s="70" t="n"/>
      <c r="M968" s="71" t="inlineStr">
        <is>
          <t>只</t>
        </is>
      </c>
      <c r="N968" s="72" t="n">
        <v>4892.05</v>
      </c>
      <c r="O968" s="72">
        <f>ROUND(N968*(1+$F$10),2)</f>
        <v/>
      </c>
      <c r="P968" s="73">
        <f>ROUND(K968*N968,2)</f>
        <v/>
      </c>
      <c r="Q968" s="74">
        <f>ROUND(L968*N968,2)</f>
        <v/>
      </c>
      <c r="R968" s="75" t="n"/>
      <c r="S968" s="76" t="n"/>
      <c r="T968" s="77">
        <f>K968-L968</f>
        <v/>
      </c>
      <c r="U968" s="77">
        <f>P968-Q968</f>
        <v/>
      </c>
      <c r="V968" s="77">
        <f>ABS(U968)</f>
        <v/>
      </c>
      <c r="W968" s="78">
        <f>T968/L968</f>
        <v/>
      </c>
      <c r="X968" s="79">
        <f>ABS(W968)</f>
        <v/>
      </c>
      <c r="AG968" s="80" t="inlineStr">
        <is>
          <t>个数</t>
        </is>
      </c>
    </row>
    <row r="969" ht="11.4" customHeight="1">
      <c r="A969" s="67" t="inlineStr">
        <is>
          <t>86</t>
        </is>
      </c>
      <c r="B969" s="67" t="inlineStr">
        <is>
          <t>1084</t>
        </is>
      </c>
      <c r="C969" s="67" t="inlineStr">
        <is>
          <t>3791</t>
        </is>
      </c>
      <c r="D969" s="68" t="inlineStr">
        <is>
          <t>01</t>
        </is>
      </c>
      <c r="E969" s="68" t="inlineStr">
        <is>
          <t>7 招牌</t>
        </is>
      </c>
      <c r="F969" s="68" t="inlineStr">
        <is>
          <t>7.3 招牌安装</t>
        </is>
      </c>
      <c r="G969" s="68" t="inlineStr">
        <is>
          <t>招牌安装</t>
        </is>
      </c>
      <c r="H969" s="68" t="inlineStr">
        <is>
          <t>招牌安装</t>
        </is>
      </c>
      <c r="I969" s="69" t="inlineStr">
        <is>
          <t>1000022064</t>
        </is>
      </c>
      <c r="J969" s="69" t="inlineStr">
        <is>
          <t>悬挂招牌安装</t>
        </is>
      </c>
      <c r="K969" s="70" t="n">
        <v>1</v>
      </c>
      <c r="L969" s="70" t="n">
        <v>1</v>
      </c>
      <c r="M969" s="71" t="inlineStr">
        <is>
          <t>只</t>
        </is>
      </c>
      <c r="N969" s="72" t="n">
        <v>1554.6</v>
      </c>
      <c r="O969" s="72">
        <f>ROUND(N969*(1+$F$10),2)</f>
        <v/>
      </c>
      <c r="P969" s="73">
        <f>ROUND(K969*N969,2)</f>
        <v/>
      </c>
      <c r="Q969" s="74">
        <f>ROUND(L969*N969,2)</f>
        <v/>
      </c>
      <c r="R969" s="75" t="n"/>
      <c r="S969" s="76" t="n"/>
      <c r="T969" s="77">
        <f>K969-L969</f>
        <v/>
      </c>
      <c r="U969" s="77">
        <f>P969-Q969</f>
        <v/>
      </c>
      <c r="V969" s="77">
        <f>ABS(U969)</f>
        <v/>
      </c>
      <c r="W969" s="78">
        <f>T969/L969</f>
        <v/>
      </c>
      <c r="X969" s="79">
        <f>ABS(W969)</f>
        <v/>
      </c>
      <c r="AG969" s="80" t="inlineStr">
        <is>
          <t>个数</t>
        </is>
      </c>
    </row>
    <row r="970" ht="11.4" customHeight="1">
      <c r="A970" s="67" t="inlineStr">
        <is>
          <t>86</t>
        </is>
      </c>
      <c r="B970" s="67" t="inlineStr">
        <is>
          <t>1084</t>
        </is>
      </c>
      <c r="C970" s="67" t="inlineStr">
        <is>
          <t>3791</t>
        </is>
      </c>
      <c r="D970" s="68" t="inlineStr">
        <is>
          <t>01</t>
        </is>
      </c>
      <c r="E970" s="68" t="inlineStr">
        <is>
          <t>7 招牌</t>
        </is>
      </c>
      <c r="F970" s="68" t="inlineStr">
        <is>
          <t>7.3 招牌安装</t>
        </is>
      </c>
      <c r="G970" s="68" t="inlineStr">
        <is>
          <t>招牌安装</t>
        </is>
      </c>
      <c r="H970" s="68" t="inlineStr">
        <is>
          <t>招牌安装</t>
        </is>
      </c>
      <c r="I970" s="69" t="inlineStr">
        <is>
          <t>1000022065</t>
        </is>
      </c>
      <c r="J970" s="69" t="inlineStr">
        <is>
          <t>1000X700贴墙菜单箱安装</t>
        </is>
      </c>
      <c r="K970" s="70" t="n"/>
      <c r="L970" s="70" t="n"/>
      <c r="M970" s="71" t="inlineStr">
        <is>
          <t>只</t>
        </is>
      </c>
      <c r="N970" s="72" t="n">
        <v>165</v>
      </c>
      <c r="O970" s="72">
        <f>ROUND(N970*(1+$F$10),2)</f>
        <v/>
      </c>
      <c r="P970" s="73">
        <f>ROUND(K970*N970,2)</f>
        <v/>
      </c>
      <c r="Q970" s="74">
        <f>ROUND(L970*N970,2)</f>
        <v/>
      </c>
      <c r="R970" s="75" t="n"/>
      <c r="S970" s="76" t="n"/>
      <c r="T970" s="77">
        <f>K970-L970</f>
        <v/>
      </c>
      <c r="U970" s="77">
        <f>P970-Q970</f>
        <v/>
      </c>
      <c r="V970" s="77">
        <f>ABS(U970)</f>
        <v/>
      </c>
      <c r="W970" s="78">
        <f>T970/L970</f>
        <v/>
      </c>
      <c r="X970" s="79">
        <f>ABS(W970)</f>
        <v/>
      </c>
      <c r="AG970" s="80" t="inlineStr">
        <is>
          <t>个数</t>
        </is>
      </c>
    </row>
    <row r="971" ht="11.4" customHeight="1">
      <c r="A971" s="67" t="inlineStr">
        <is>
          <t>86</t>
        </is>
      </c>
      <c r="B971" s="67" t="inlineStr">
        <is>
          <t>1084</t>
        </is>
      </c>
      <c r="C971" s="67" t="inlineStr">
        <is>
          <t>3791</t>
        </is>
      </c>
      <c r="D971" s="68" t="inlineStr">
        <is>
          <t>01</t>
        </is>
      </c>
      <c r="E971" s="68" t="inlineStr">
        <is>
          <t>7 招牌</t>
        </is>
      </c>
      <c r="F971" s="68" t="inlineStr">
        <is>
          <t>7.3 招牌安装</t>
        </is>
      </c>
      <c r="G971" s="68" t="inlineStr">
        <is>
          <t>招牌安装</t>
        </is>
      </c>
      <c r="H971" s="68" t="inlineStr">
        <is>
          <t>招牌安装</t>
        </is>
      </c>
      <c r="I971" s="69" t="inlineStr">
        <is>
          <t>1000022066</t>
        </is>
      </c>
      <c r="J971" s="69" t="inlineStr">
        <is>
          <t>1000X700立式菜单牌安装</t>
        </is>
      </c>
      <c r="K971" s="70" t="n">
        <v>2</v>
      </c>
      <c r="L971" s="70" t="n">
        <v>2</v>
      </c>
      <c r="M971" s="71" t="inlineStr">
        <is>
          <t>只</t>
        </is>
      </c>
      <c r="N971" s="72" t="n">
        <v>648.76</v>
      </c>
      <c r="O971" s="72">
        <f>ROUND(N971*(1+$F$10),2)</f>
        <v/>
      </c>
      <c r="P971" s="73">
        <f>ROUND(K971*N971,2)</f>
        <v/>
      </c>
      <c r="Q971" s="74">
        <f>ROUND(L971*N971,2)</f>
        <v/>
      </c>
      <c r="R971" s="75" t="n"/>
      <c r="S971" s="76" t="n"/>
      <c r="T971" s="77">
        <f>K971-L971</f>
        <v/>
      </c>
      <c r="U971" s="77">
        <f>P971-Q971</f>
        <v/>
      </c>
      <c r="V971" s="77">
        <f>ABS(U971)</f>
        <v/>
      </c>
      <c r="W971" s="78">
        <f>T971/L971</f>
        <v/>
      </c>
      <c r="X971" s="79">
        <f>ABS(W971)</f>
        <v/>
      </c>
      <c r="AG971" s="80" t="inlineStr">
        <is>
          <t>个数</t>
        </is>
      </c>
    </row>
    <row r="972" ht="11.4" customHeight="1">
      <c r="A972" s="67" t="inlineStr">
        <is>
          <t>86</t>
        </is>
      </c>
      <c r="B972" s="67" t="inlineStr">
        <is>
          <t>1084</t>
        </is>
      </c>
      <c r="C972" s="67" t="inlineStr">
        <is>
          <t>3791</t>
        </is>
      </c>
      <c r="D972" s="68" t="inlineStr">
        <is>
          <t>01</t>
        </is>
      </c>
      <c r="E972" s="68" t="inlineStr">
        <is>
          <t>7 招牌</t>
        </is>
      </c>
      <c r="F972" s="68" t="inlineStr">
        <is>
          <t>7.3 招牌安装</t>
        </is>
      </c>
      <c r="G972" s="68" t="inlineStr">
        <is>
          <t>招牌安装</t>
        </is>
      </c>
      <c r="H972" s="68" t="inlineStr">
        <is>
          <t>招牌安装</t>
        </is>
      </c>
      <c r="I972" s="69" t="inlineStr">
        <is>
          <t>1000045089</t>
        </is>
      </c>
      <c r="J972" s="69" t="inlineStr">
        <is>
          <t>落地大M字招牌安装及加固基础</t>
        </is>
      </c>
      <c r="K972" s="70" t="n"/>
      <c r="L972" s="70" t="n"/>
      <c r="M972" s="71" t="inlineStr">
        <is>
          <t>个</t>
        </is>
      </c>
      <c r="N972" s="72" t="n">
        <v>1369.65</v>
      </c>
      <c r="O972" s="72">
        <f>ROUND(N972*(1+$F$10),2)</f>
        <v/>
      </c>
      <c r="P972" s="73">
        <f>ROUND(K972*N972,2)</f>
        <v/>
      </c>
      <c r="Q972" s="74">
        <f>ROUND(L972*N972,2)</f>
        <v/>
      </c>
      <c r="R972" s="75" t="n"/>
      <c r="S972" s="76" t="n"/>
      <c r="T972" s="77">
        <f>K972-L972</f>
        <v/>
      </c>
      <c r="U972" s="77">
        <f>P972-Q972</f>
        <v/>
      </c>
      <c r="V972" s="77">
        <f>ABS(U972)</f>
        <v/>
      </c>
      <c r="W972" s="78">
        <f>T972/L972</f>
        <v/>
      </c>
      <c r="X972" s="79">
        <f>ABS(W972)</f>
        <v/>
      </c>
      <c r="AG972" s="80" t="inlineStr">
        <is>
          <t>个数</t>
        </is>
      </c>
    </row>
    <row r="973" ht="11.4" customHeight="1">
      <c r="A973" s="67" t="inlineStr">
        <is>
          <t>86</t>
        </is>
      </c>
      <c r="B973" s="67" t="inlineStr">
        <is>
          <t>1084</t>
        </is>
      </c>
      <c r="C973" s="67" t="inlineStr">
        <is>
          <t>3791</t>
        </is>
      </c>
      <c r="D973" s="68" t="inlineStr">
        <is>
          <t>01</t>
        </is>
      </c>
      <c r="E973" s="68" t="inlineStr">
        <is>
          <t>7 招牌</t>
        </is>
      </c>
      <c r="F973" s="68" t="inlineStr">
        <is>
          <t>7.3 招牌安装</t>
        </is>
      </c>
      <c r="G973" s="68" t="inlineStr">
        <is>
          <t>招牌安装</t>
        </is>
      </c>
      <c r="H973" s="68" t="inlineStr">
        <is>
          <t>招牌安装</t>
        </is>
      </c>
      <c r="I973" s="69" t="inlineStr">
        <is>
          <t>1000085730</t>
        </is>
      </c>
      <c r="J973" s="69" t="inlineStr">
        <is>
          <t>CUBE 麦咖啡灯箱（内立面）（仅安装）</t>
        </is>
      </c>
      <c r="K973" s="70" t="n"/>
      <c r="L973" s="70" t="n"/>
      <c r="M973" s="71" t="inlineStr">
        <is>
          <t>m2</t>
        </is>
      </c>
      <c r="N973" s="72" t="n">
        <v>489.26</v>
      </c>
      <c r="O973" s="72">
        <f>ROUND(N973*(1+$F$10),2)</f>
        <v/>
      </c>
      <c r="P973" s="73">
        <f>ROUND(K973*N973,2)</f>
        <v/>
      </c>
      <c r="Q973" s="74">
        <f>ROUND(L973*N973,2)</f>
        <v/>
      </c>
      <c r="R973" s="75" t="n"/>
      <c r="S973" s="76" t="n"/>
      <c r="T973" s="77">
        <f>K973-L973</f>
        <v/>
      </c>
      <c r="U973" s="77">
        <f>P973-Q973</f>
        <v/>
      </c>
      <c r="V973" s="77">
        <f>ABS(U973)</f>
        <v/>
      </c>
      <c r="W973" s="78">
        <f>T973/L973</f>
        <v/>
      </c>
      <c r="X973" s="79">
        <f>ABS(W973)</f>
        <v/>
      </c>
      <c r="AH973" s="80" t="inlineStr">
        <is>
          <t>待定</t>
        </is>
      </c>
    </row>
    <row r="974" ht="11.4" customHeight="1">
      <c r="A974" s="67" t="inlineStr">
        <is>
          <t>86</t>
        </is>
      </c>
      <c r="B974" s="67" t="inlineStr">
        <is>
          <t>1084</t>
        </is>
      </c>
      <c r="C974" s="67" t="inlineStr">
        <is>
          <t>3791</t>
        </is>
      </c>
      <c r="D974" s="68" t="inlineStr">
        <is>
          <t>01</t>
        </is>
      </c>
      <c r="E974" s="68" t="inlineStr">
        <is>
          <t>7 招牌</t>
        </is>
      </c>
      <c r="F974" s="68" t="inlineStr">
        <is>
          <t>7.3 招牌安装</t>
        </is>
      </c>
      <c r="G974" s="68" t="inlineStr">
        <is>
          <t>招牌安装</t>
        </is>
      </c>
      <c r="H974" s="68" t="inlineStr">
        <is>
          <t>招牌安装</t>
        </is>
      </c>
      <c r="I974" s="69" t="inlineStr">
        <is>
          <t>1000085731</t>
        </is>
      </c>
      <c r="J974" s="69" t="inlineStr">
        <is>
          <t>CUBE 麦咖啡灯箱（外立面）（仅安装）</t>
        </is>
      </c>
      <c r="K974" s="70" t="n"/>
      <c r="L974" s="70" t="n"/>
      <c r="M974" s="71" t="inlineStr">
        <is>
          <t>只</t>
        </is>
      </c>
      <c r="N974" s="72" t="n">
        <v>1457.26</v>
      </c>
      <c r="O974" s="72">
        <f>ROUND(N974*(1+$F$10),2)</f>
        <v/>
      </c>
      <c r="P974" s="73">
        <f>ROUND(K974*N974,2)</f>
        <v/>
      </c>
      <c r="Q974" s="74">
        <f>ROUND(L974*N974,2)</f>
        <v/>
      </c>
      <c r="R974" s="75" t="n"/>
      <c r="S974" s="76" t="n"/>
      <c r="T974" s="77">
        <f>K974-L974</f>
        <v/>
      </c>
      <c r="U974" s="77">
        <f>P974-Q974</f>
        <v/>
      </c>
      <c r="V974" s="77">
        <f>ABS(U974)</f>
        <v/>
      </c>
      <c r="W974" s="78">
        <f>T974/L974</f>
        <v/>
      </c>
      <c r="X974" s="79">
        <f>ABS(W974)</f>
        <v/>
      </c>
      <c r="AH974" s="80" t="inlineStr">
        <is>
          <t>待定</t>
        </is>
      </c>
    </row>
    <row r="975" ht="11.4" customHeight="1">
      <c r="A975" s="67" t="inlineStr">
        <is>
          <t>86</t>
        </is>
      </c>
      <c r="B975" s="67" t="inlineStr">
        <is>
          <t>1084</t>
        </is>
      </c>
      <c r="C975" s="67" t="inlineStr">
        <is>
          <t>3791</t>
        </is>
      </c>
      <c r="D975" s="68" t="inlineStr">
        <is>
          <t>01</t>
        </is>
      </c>
      <c r="E975" s="68" t="inlineStr">
        <is>
          <t>7 招牌</t>
        </is>
      </c>
      <c r="F975" s="68" t="inlineStr">
        <is>
          <t>7.3 招牌安装</t>
        </is>
      </c>
      <c r="G975" s="68" t="inlineStr">
        <is>
          <t>招牌安装</t>
        </is>
      </c>
      <c r="H975" s="68" t="inlineStr">
        <is>
          <t>招牌安装</t>
        </is>
      </c>
      <c r="I975" s="69" t="inlineStr">
        <is>
          <t>1000085733</t>
        </is>
      </c>
      <c r="J975" s="69" t="inlineStr">
        <is>
          <t>more seat标志（仅安装）</t>
        </is>
      </c>
      <c r="K975" s="70" t="n"/>
      <c r="L975" s="70" t="n"/>
      <c r="M975" s="71" t="inlineStr">
        <is>
          <t>只</t>
        </is>
      </c>
      <c r="N975" s="72" t="n">
        <v>489.26</v>
      </c>
      <c r="O975" s="72">
        <f>ROUND(N975*(1+$F$10),2)</f>
        <v/>
      </c>
      <c r="P975" s="73">
        <f>ROUND(K975*N975,2)</f>
        <v/>
      </c>
      <c r="Q975" s="74">
        <f>ROUND(L975*N975,2)</f>
        <v/>
      </c>
      <c r="R975" s="75" t="n"/>
      <c r="S975" s="76" t="n"/>
      <c r="T975" s="77">
        <f>K975-L975</f>
        <v/>
      </c>
      <c r="U975" s="77">
        <f>P975-Q975</f>
        <v/>
      </c>
      <c r="V975" s="77">
        <f>ABS(U975)</f>
        <v/>
      </c>
      <c r="W975" s="78">
        <f>T975/L975</f>
        <v/>
      </c>
      <c r="X975" s="79">
        <f>ABS(W975)</f>
        <v/>
      </c>
      <c r="AH975" s="80" t="inlineStr">
        <is>
          <t>待定</t>
        </is>
      </c>
    </row>
    <row r="976" ht="11.4" customHeight="1">
      <c r="A976" s="67" t="inlineStr">
        <is>
          <t>86</t>
        </is>
      </c>
      <c r="B976" s="67" t="inlineStr">
        <is>
          <t>1084</t>
        </is>
      </c>
      <c r="C976" s="67" t="inlineStr">
        <is>
          <t>3791</t>
        </is>
      </c>
      <c r="D976" s="68" t="inlineStr">
        <is>
          <t>01</t>
        </is>
      </c>
      <c r="E976" s="68" t="inlineStr">
        <is>
          <t>7 招牌</t>
        </is>
      </c>
      <c r="F976" s="68" t="inlineStr">
        <is>
          <t>7.3 招牌安装</t>
        </is>
      </c>
      <c r="G976" s="68" t="inlineStr">
        <is>
          <t>招牌安装</t>
        </is>
      </c>
      <c r="H976" s="68" t="inlineStr">
        <is>
          <t>招牌安装</t>
        </is>
      </c>
      <c r="I976" s="69" t="inlineStr">
        <is>
          <t>1000085734</t>
        </is>
      </c>
      <c r="J976" s="69" t="inlineStr">
        <is>
          <t>Happy Box（仅安装）</t>
        </is>
      </c>
      <c r="K976" s="70" t="n"/>
      <c r="L976" s="70" t="n"/>
      <c r="M976" s="71" t="inlineStr">
        <is>
          <t>只</t>
        </is>
      </c>
      <c r="N976" s="72" t="n">
        <v>439.49</v>
      </c>
      <c r="O976" s="72">
        <f>ROUND(N976*(1+$F$10),2)</f>
        <v/>
      </c>
      <c r="P976" s="73">
        <f>ROUND(K976*N976,2)</f>
        <v/>
      </c>
      <c r="Q976" s="74">
        <f>ROUND(L976*N976,2)</f>
        <v/>
      </c>
      <c r="R976" s="75" t="n"/>
      <c r="S976" s="76" t="n"/>
      <c r="T976" s="77">
        <f>K976-L976</f>
        <v/>
      </c>
      <c r="U976" s="77">
        <f>P976-Q976</f>
        <v/>
      </c>
      <c r="V976" s="77">
        <f>ABS(U976)</f>
        <v/>
      </c>
      <c r="W976" s="78">
        <f>T976/L976</f>
        <v/>
      </c>
      <c r="X976" s="79">
        <f>ABS(W976)</f>
        <v/>
      </c>
      <c r="AH976" s="80" t="inlineStr">
        <is>
          <t>待定</t>
        </is>
      </c>
    </row>
    <row r="977" ht="11.4" customHeight="1">
      <c r="A977" s="67" t="inlineStr">
        <is>
          <t>86</t>
        </is>
      </c>
      <c r="B977" s="67" t="inlineStr">
        <is>
          <t>1084</t>
        </is>
      </c>
      <c r="C977" s="67" t="inlineStr">
        <is>
          <t>3791</t>
        </is>
      </c>
      <c r="D977" s="68" t="inlineStr">
        <is>
          <t>01</t>
        </is>
      </c>
      <c r="E977" s="68" t="inlineStr">
        <is>
          <t>7 招牌</t>
        </is>
      </c>
      <c r="F977" s="68" t="inlineStr">
        <is>
          <t>7.3 招牌安装</t>
        </is>
      </c>
      <c r="G977" s="68" t="inlineStr">
        <is>
          <t>招牌安装</t>
        </is>
      </c>
      <c r="H977" s="68" t="inlineStr">
        <is>
          <t>招牌安装</t>
        </is>
      </c>
      <c r="I977" s="69" t="inlineStr">
        <is>
          <t>1000085735</t>
        </is>
      </c>
      <c r="J977" s="69" t="inlineStr">
        <is>
          <t>2000*2000mm高位灯箱招牌（仅安装）（底标高H &gt; 10m)</t>
        </is>
      </c>
      <c r="K977" s="70" t="n"/>
      <c r="L977" s="70" t="n"/>
      <c r="M977" s="71" t="inlineStr">
        <is>
          <t>只</t>
        </is>
      </c>
      <c r="N977" s="72" t="n">
        <v>6462.29</v>
      </c>
      <c r="O977" s="72">
        <f>ROUND(N977*(1+$F$10),2)</f>
        <v/>
      </c>
      <c r="P977" s="73">
        <f>ROUND(K977*N977,2)</f>
        <v/>
      </c>
      <c r="Q977" s="74">
        <f>ROUND(L977*N977,2)</f>
        <v/>
      </c>
      <c r="R977" s="75" t="n"/>
      <c r="S977" s="76" t="n"/>
      <c r="T977" s="77">
        <f>K977-L977</f>
        <v/>
      </c>
      <c r="U977" s="77">
        <f>P977-Q977</f>
        <v/>
      </c>
      <c r="V977" s="77">
        <f>ABS(U977)</f>
        <v/>
      </c>
      <c r="W977" s="78">
        <f>T977/L977</f>
        <v/>
      </c>
      <c r="X977" s="79">
        <f>ABS(W977)</f>
        <v/>
      </c>
      <c r="AG977" s="6" t="inlineStr">
        <is>
          <t>根据族所在高度判断清单范围记取个数</t>
        </is>
      </c>
    </row>
    <row r="978" ht="11.4" customHeight="1">
      <c r="A978" s="67" t="inlineStr">
        <is>
          <t>86</t>
        </is>
      </c>
      <c r="B978" s="67" t="inlineStr">
        <is>
          <t>1084</t>
        </is>
      </c>
      <c r="C978" s="67" t="inlineStr">
        <is>
          <t>3791</t>
        </is>
      </c>
      <c r="D978" s="68" t="inlineStr">
        <is>
          <t>01</t>
        </is>
      </c>
      <c r="E978" s="68" t="inlineStr">
        <is>
          <t>7 招牌</t>
        </is>
      </c>
      <c r="F978" s="68" t="inlineStr">
        <is>
          <t>7.3 招牌安装</t>
        </is>
      </c>
      <c r="G978" s="68" t="inlineStr">
        <is>
          <t>招牌安装</t>
        </is>
      </c>
      <c r="H978" s="68" t="inlineStr">
        <is>
          <t>招牌安装</t>
        </is>
      </c>
      <c r="I978" s="69" t="inlineStr">
        <is>
          <t>1000085736</t>
        </is>
      </c>
      <c r="J978" s="69" t="inlineStr">
        <is>
          <t>2000*2000mm高位灯箱招牌（仅安装）(底标高H ≤ 10m）</t>
        </is>
      </c>
      <c r="K978" s="70" t="n"/>
      <c r="L978" s="70" t="n"/>
      <c r="M978" s="71" t="inlineStr">
        <is>
          <t>只</t>
        </is>
      </c>
      <c r="N978" s="72" t="n">
        <v>4737.19</v>
      </c>
      <c r="O978" s="72">
        <f>ROUND(N978*(1+$F$10),2)</f>
        <v/>
      </c>
      <c r="P978" s="73">
        <f>ROUND(K978*N978,2)</f>
        <v/>
      </c>
      <c r="Q978" s="74">
        <f>ROUND(L978*N978,2)</f>
        <v/>
      </c>
      <c r="R978" s="75" t="n"/>
      <c r="S978" s="76" t="n"/>
      <c r="T978" s="77">
        <f>K978-L978</f>
        <v/>
      </c>
      <c r="U978" s="77">
        <f>P978-Q978</f>
        <v/>
      </c>
      <c r="V978" s="77">
        <f>ABS(U978)</f>
        <v/>
      </c>
      <c r="W978" s="78">
        <f>T978/L978</f>
        <v/>
      </c>
      <c r="X978" s="79">
        <f>ABS(W978)</f>
        <v/>
      </c>
      <c r="AG978" s="6" t="inlineStr">
        <is>
          <t>根据族所在高度判断清单范围记取个数</t>
        </is>
      </c>
    </row>
    <row r="979" ht="11.4" customHeight="1">
      <c r="A979" s="67" t="inlineStr">
        <is>
          <t>86</t>
        </is>
      </c>
      <c r="B979" s="67" t="inlineStr">
        <is>
          <t>1084</t>
        </is>
      </c>
      <c r="C979" s="67" t="inlineStr">
        <is>
          <t>3791</t>
        </is>
      </c>
      <c r="D979" s="68" t="inlineStr">
        <is>
          <t>01</t>
        </is>
      </c>
      <c r="E979" s="68" t="inlineStr">
        <is>
          <t>7 招牌</t>
        </is>
      </c>
      <c r="F979" s="68" t="inlineStr">
        <is>
          <t>7.3 招牌安装</t>
        </is>
      </c>
      <c r="G979" s="68" t="inlineStr">
        <is>
          <t>招牌安装</t>
        </is>
      </c>
      <c r="H979" s="68" t="inlineStr">
        <is>
          <t>招牌安装</t>
        </is>
      </c>
      <c r="I979" s="69" t="inlineStr">
        <is>
          <t>1000022067</t>
        </is>
      </c>
      <c r="J979" s="69" t="inlineStr">
        <is>
          <t>DT-售卖窗口外挂订制招牌</t>
        </is>
      </c>
      <c r="K979" s="70" t="n"/>
      <c r="L979" s="70" t="n"/>
      <c r="M979" s="71" t="inlineStr">
        <is>
          <t>只</t>
        </is>
      </c>
      <c r="N979" s="72" t="n">
        <v>1591.99</v>
      </c>
      <c r="O979" s="72">
        <f>ROUND(N979*(1+$F$10),2)</f>
        <v/>
      </c>
      <c r="P979" s="73">
        <f>ROUND(K979*N979,2)</f>
        <v/>
      </c>
      <c r="Q979" s="74">
        <f>ROUND(L979*N979,2)</f>
        <v/>
      </c>
      <c r="R979" s="75" t="n"/>
      <c r="S979" s="76" t="n"/>
      <c r="T979" s="77">
        <f>K979-L979</f>
        <v/>
      </c>
      <c r="U979" s="77">
        <f>P979-Q979</f>
        <v/>
      </c>
      <c r="V979" s="77">
        <f>ABS(U979)</f>
        <v/>
      </c>
      <c r="W979" s="78">
        <f>T979/L979</f>
        <v/>
      </c>
      <c r="X979" s="79">
        <f>ABS(W979)</f>
        <v/>
      </c>
      <c r="AG979" s="80" t="inlineStr">
        <is>
          <t>个数</t>
        </is>
      </c>
    </row>
    <row r="980" ht="11.4" customHeight="1">
      <c r="A980" s="67" t="inlineStr">
        <is>
          <t>86</t>
        </is>
      </c>
      <c r="B980" s="67" t="inlineStr">
        <is>
          <t>1084</t>
        </is>
      </c>
      <c r="C980" s="67" t="inlineStr">
        <is>
          <t>3791</t>
        </is>
      </c>
      <c r="D980" s="68" t="inlineStr">
        <is>
          <t>01</t>
        </is>
      </c>
      <c r="E980" s="68" t="inlineStr">
        <is>
          <t>7 招牌</t>
        </is>
      </c>
      <c r="F980" s="68" t="inlineStr">
        <is>
          <t>7.3 招牌安装</t>
        </is>
      </c>
      <c r="G980" s="68" t="inlineStr">
        <is>
          <t>招牌安装</t>
        </is>
      </c>
      <c r="H980" s="68" t="inlineStr">
        <is>
          <t>招牌安装</t>
        </is>
      </c>
      <c r="I980" s="69" t="inlineStr">
        <is>
          <t>1000085740</t>
        </is>
      </c>
      <c r="J980" s="69" t="inlineStr">
        <is>
          <t>DT-落地指示牌安装（不含基础）</t>
        </is>
      </c>
      <c r="K980" s="70" t="n"/>
      <c r="L980" s="70" t="n"/>
      <c r="M980" s="71" t="inlineStr">
        <is>
          <t>只</t>
        </is>
      </c>
      <c r="N980" s="72" t="n">
        <v>372.89</v>
      </c>
      <c r="O980" s="72">
        <f>ROUND(N980*(1+$F$10),2)</f>
        <v/>
      </c>
      <c r="P980" s="73">
        <f>ROUND(K980*N980,2)</f>
        <v/>
      </c>
      <c r="Q980" s="74">
        <f>ROUND(L980*N980,2)</f>
        <v/>
      </c>
      <c r="R980" s="75" t="n"/>
      <c r="S980" s="76" t="n"/>
      <c r="T980" s="77">
        <f>K980-L980</f>
        <v/>
      </c>
      <c r="U980" s="77">
        <f>P980-Q980</f>
        <v/>
      </c>
      <c r="V980" s="77">
        <f>ABS(U980)</f>
        <v/>
      </c>
      <c r="W980" s="78">
        <f>T980/L980</f>
        <v/>
      </c>
      <c r="X980" s="79">
        <f>ABS(W980)</f>
        <v/>
      </c>
      <c r="AG980" s="80" t="inlineStr">
        <is>
          <t>个数</t>
        </is>
      </c>
    </row>
    <row r="981" ht="11.4" customHeight="1">
      <c r="A981" s="67" t="inlineStr">
        <is>
          <t>86</t>
        </is>
      </c>
      <c r="B981" s="67" t="inlineStr">
        <is>
          <t>1084</t>
        </is>
      </c>
      <c r="C981" s="67" t="inlineStr">
        <is>
          <t>3791</t>
        </is>
      </c>
      <c r="D981" s="68" t="inlineStr">
        <is>
          <t>01</t>
        </is>
      </c>
      <c r="E981" s="68" t="inlineStr">
        <is>
          <t>7 招牌</t>
        </is>
      </c>
      <c r="F981" s="68" t="inlineStr">
        <is>
          <t>7.3 招牌安装</t>
        </is>
      </c>
      <c r="G981" s="68" t="inlineStr">
        <is>
          <t>招牌安装</t>
        </is>
      </c>
      <c r="H981" s="68" t="inlineStr">
        <is>
          <t>招牌安装</t>
        </is>
      </c>
      <c r="I981" s="69" t="inlineStr">
        <is>
          <t>1000085741</t>
        </is>
      </c>
      <c r="J981" s="69" t="inlineStr">
        <is>
          <t>DT-落地指示牌基础</t>
        </is>
      </c>
      <c r="K981" s="70" t="n"/>
      <c r="L981" s="70" t="n"/>
      <c r="M981" s="71" t="inlineStr">
        <is>
          <t>只</t>
        </is>
      </c>
      <c r="N981" s="72" t="n">
        <v>549.99</v>
      </c>
      <c r="O981" s="72">
        <f>ROUND(N981*(1+$F$10),2)</f>
        <v/>
      </c>
      <c r="P981" s="73">
        <f>ROUND(K981*N981,2)</f>
        <v/>
      </c>
      <c r="Q981" s="74">
        <f>ROUND(L981*N981,2)</f>
        <v/>
      </c>
      <c r="R981" s="75" t="n"/>
      <c r="S981" s="76" t="n"/>
      <c r="T981" s="77">
        <f>K981-L981</f>
        <v/>
      </c>
      <c r="U981" s="77">
        <f>P981-Q981</f>
        <v/>
      </c>
      <c r="V981" s="77">
        <f>ABS(U981)</f>
        <v/>
      </c>
      <c r="W981" s="78">
        <f>T981/L981</f>
        <v/>
      </c>
      <c r="X981" s="79">
        <f>ABS(W981)</f>
        <v/>
      </c>
      <c r="AG981" s="80" t="inlineStr">
        <is>
          <t>个数</t>
        </is>
      </c>
    </row>
    <row r="982" ht="11.4" customHeight="1">
      <c r="A982" s="67" t="inlineStr">
        <is>
          <t>86</t>
        </is>
      </c>
      <c r="B982" s="67" t="inlineStr">
        <is>
          <t>1084</t>
        </is>
      </c>
      <c r="C982" s="67" t="inlineStr">
        <is>
          <t>3791</t>
        </is>
      </c>
      <c r="D982" s="68" t="inlineStr">
        <is>
          <t>01</t>
        </is>
      </c>
      <c r="E982" s="68" t="inlineStr">
        <is>
          <t>7 招牌</t>
        </is>
      </c>
      <c r="F982" s="68" t="inlineStr">
        <is>
          <t>7.3 招牌安装</t>
        </is>
      </c>
      <c r="G982" s="68" t="inlineStr">
        <is>
          <t>招牌安装</t>
        </is>
      </c>
      <c r="H982" s="68" t="inlineStr">
        <is>
          <t>招牌安装</t>
        </is>
      </c>
      <c r="I982" s="69" t="inlineStr">
        <is>
          <t>1000085723</t>
        </is>
      </c>
      <c r="J982" s="69" t="inlineStr">
        <is>
          <t>DT-三转灯箱安装</t>
        </is>
      </c>
      <c r="K982" s="70" t="n"/>
      <c r="L982" s="70" t="n"/>
      <c r="M982" s="71" t="inlineStr">
        <is>
          <t>只</t>
        </is>
      </c>
      <c r="N982" s="72" t="n">
        <v>416.89</v>
      </c>
      <c r="O982" s="72">
        <f>ROUND(N982*(1+$F$10),2)</f>
        <v/>
      </c>
      <c r="P982" s="73">
        <f>ROUND(K982*N982,2)</f>
        <v/>
      </c>
      <c r="Q982" s="74">
        <f>ROUND(L982*N982,2)</f>
        <v/>
      </c>
      <c r="R982" s="75" t="n"/>
      <c r="S982" s="76" t="n"/>
      <c r="T982" s="77">
        <f>K982-L982</f>
        <v/>
      </c>
      <c r="U982" s="77">
        <f>P982-Q982</f>
        <v/>
      </c>
      <c r="V982" s="77">
        <f>ABS(U982)</f>
        <v/>
      </c>
      <c r="W982" s="78">
        <f>T982/L982</f>
        <v/>
      </c>
      <c r="X982" s="79">
        <f>ABS(W982)</f>
        <v/>
      </c>
      <c r="AG982" s="80" t="inlineStr">
        <is>
          <t>个数</t>
        </is>
      </c>
    </row>
    <row r="983" ht="11.4" customHeight="1">
      <c r="A983" s="67" t="inlineStr">
        <is>
          <t>86</t>
        </is>
      </c>
      <c r="B983" s="67" t="inlineStr">
        <is>
          <t>1084</t>
        </is>
      </c>
      <c r="C983" s="67" t="inlineStr">
        <is>
          <t>3791</t>
        </is>
      </c>
      <c r="D983" s="68" t="inlineStr">
        <is>
          <t>01</t>
        </is>
      </c>
      <c r="E983" s="68" t="inlineStr">
        <is>
          <t>7 招牌</t>
        </is>
      </c>
      <c r="F983" s="68" t="inlineStr">
        <is>
          <t>7.3 招牌安装</t>
        </is>
      </c>
      <c r="G983" s="68" t="inlineStr">
        <is>
          <t>招牌安装</t>
        </is>
      </c>
      <c r="H983" s="68" t="inlineStr">
        <is>
          <t>招牌安装</t>
        </is>
      </c>
      <c r="I983" s="69" t="inlineStr">
        <is>
          <t>1000085724</t>
        </is>
      </c>
      <c r="J983" s="69" t="inlineStr">
        <is>
          <t>DT-三转灯箱基础</t>
        </is>
      </c>
      <c r="K983" s="70" t="n"/>
      <c r="L983" s="70" t="n"/>
      <c r="M983" s="71" t="inlineStr">
        <is>
          <t>只</t>
        </is>
      </c>
      <c r="N983" s="72" t="n">
        <v>598.39</v>
      </c>
      <c r="O983" s="72">
        <f>ROUND(N983*(1+$F$10),2)</f>
        <v/>
      </c>
      <c r="P983" s="73">
        <f>ROUND(K983*N983,2)</f>
        <v/>
      </c>
      <c r="Q983" s="74">
        <f>ROUND(L983*N983,2)</f>
        <v/>
      </c>
      <c r="R983" s="75" t="n"/>
      <c r="S983" s="76" t="n"/>
      <c r="T983" s="77">
        <f>K983-L983</f>
        <v/>
      </c>
      <c r="U983" s="77">
        <f>P983-Q983</f>
        <v/>
      </c>
      <c r="V983" s="77">
        <f>ABS(U983)</f>
        <v/>
      </c>
      <c r="W983" s="78">
        <f>T983/L983</f>
        <v/>
      </c>
      <c r="X983" s="79">
        <f>ABS(W983)</f>
        <v/>
      </c>
      <c r="AG983" s="80" t="inlineStr">
        <is>
          <t>个数</t>
        </is>
      </c>
    </row>
    <row r="984" ht="11.4" customHeight="1">
      <c r="A984" s="67" t="inlineStr">
        <is>
          <t>86</t>
        </is>
      </c>
      <c r="B984" s="67" t="inlineStr">
        <is>
          <t>1084</t>
        </is>
      </c>
      <c r="C984" s="67" t="inlineStr">
        <is>
          <t>3791</t>
        </is>
      </c>
      <c r="D984" s="68" t="inlineStr">
        <is>
          <t>01</t>
        </is>
      </c>
      <c r="E984" s="68" t="inlineStr">
        <is>
          <t>7 招牌</t>
        </is>
      </c>
      <c r="F984" s="68" t="inlineStr">
        <is>
          <t>7.3 招牌安装</t>
        </is>
      </c>
      <c r="G984" s="68" t="inlineStr">
        <is>
          <t>招牌安装</t>
        </is>
      </c>
      <c r="H984" s="68" t="inlineStr">
        <is>
          <t>招牌安装</t>
        </is>
      </c>
      <c r="I984" s="69" t="inlineStr">
        <is>
          <t>1000022068</t>
        </is>
      </c>
      <c r="J984" s="69" t="inlineStr">
        <is>
          <t>DT-出入口指示牌安装(不含基础)</t>
        </is>
      </c>
      <c r="K984" s="70" t="n"/>
      <c r="L984" s="70" t="n"/>
      <c r="M984" s="71" t="inlineStr">
        <is>
          <t>只</t>
        </is>
      </c>
      <c r="N984" s="72" t="n"/>
      <c r="O984" s="72">
        <f>ROUND(N984*(1+$F$10),2)</f>
        <v/>
      </c>
      <c r="P984" s="73">
        <f>ROUND(K984*N984,2)</f>
        <v/>
      </c>
      <c r="Q984" s="74">
        <f>ROUND(L984*N984,2)</f>
        <v/>
      </c>
      <c r="R984" s="75" t="n"/>
      <c r="S984" s="76" t="n"/>
      <c r="T984" s="77">
        <f>K984-L984</f>
        <v/>
      </c>
      <c r="U984" s="77">
        <f>P984-Q984</f>
        <v/>
      </c>
      <c r="V984" s="77">
        <f>ABS(U984)</f>
        <v/>
      </c>
      <c r="W984" s="78">
        <f>T984/L984</f>
        <v/>
      </c>
      <c r="X984" s="79">
        <f>ABS(W984)</f>
        <v/>
      </c>
      <c r="AG984" s="80" t="inlineStr">
        <is>
          <t>个数</t>
        </is>
      </c>
    </row>
    <row r="985" ht="11.4" customHeight="1">
      <c r="A985" s="67" t="inlineStr">
        <is>
          <t>86</t>
        </is>
      </c>
      <c r="B985" s="67" t="inlineStr">
        <is>
          <t>1084</t>
        </is>
      </c>
      <c r="C985" s="67" t="inlineStr">
        <is>
          <t>3791</t>
        </is>
      </c>
      <c r="D985" s="68" t="inlineStr">
        <is>
          <t>01</t>
        </is>
      </c>
      <c r="E985" s="68" t="inlineStr">
        <is>
          <t>7 招牌</t>
        </is>
      </c>
      <c r="F985" s="68" t="inlineStr">
        <is>
          <t>7.3 招牌安装</t>
        </is>
      </c>
      <c r="G985" s="68" t="inlineStr">
        <is>
          <t>招牌安装</t>
        </is>
      </c>
      <c r="H985" s="68" t="inlineStr">
        <is>
          <t>招牌安装</t>
        </is>
      </c>
      <c r="I985" s="69" t="inlineStr">
        <is>
          <t>1000022069</t>
        </is>
      </c>
      <c r="J985" s="69" t="inlineStr">
        <is>
          <t>DT-出入口指示牌基础</t>
        </is>
      </c>
      <c r="K985" s="70" t="n"/>
      <c r="L985" s="70" t="n"/>
      <c r="M985" s="71" t="inlineStr">
        <is>
          <t>只</t>
        </is>
      </c>
      <c r="N985" s="72" t="n"/>
      <c r="O985" s="72">
        <f>ROUND(N985*(1+$F$10),2)</f>
        <v/>
      </c>
      <c r="P985" s="73">
        <f>ROUND(K985*N985,2)</f>
        <v/>
      </c>
      <c r="Q985" s="74">
        <f>ROUND(L985*N985,2)</f>
        <v/>
      </c>
      <c r="R985" s="75" t="n"/>
      <c r="S985" s="76" t="n"/>
      <c r="T985" s="77">
        <f>K985-L985</f>
        <v/>
      </c>
      <c r="U985" s="77">
        <f>P985-Q985</f>
        <v/>
      </c>
      <c r="V985" s="77">
        <f>ABS(U985)</f>
        <v/>
      </c>
      <c r="W985" s="78">
        <f>T985/L985</f>
        <v/>
      </c>
      <c r="X985" s="79">
        <f>ABS(W985)</f>
        <v/>
      </c>
      <c r="AG985" s="80" t="inlineStr">
        <is>
          <t>个数</t>
        </is>
      </c>
    </row>
    <row r="986" ht="11.4" customHeight="1">
      <c r="A986" s="67" t="inlineStr">
        <is>
          <t>86</t>
        </is>
      </c>
      <c r="B986" s="67" t="inlineStr">
        <is>
          <t>1084</t>
        </is>
      </c>
      <c r="C986" s="67" t="inlineStr">
        <is>
          <t>3791</t>
        </is>
      </c>
      <c r="D986" s="68" t="inlineStr">
        <is>
          <t>01</t>
        </is>
      </c>
      <c r="E986" s="68" t="inlineStr">
        <is>
          <t>7 招牌</t>
        </is>
      </c>
      <c r="F986" s="68" t="inlineStr">
        <is>
          <t>7.3 招牌安装</t>
        </is>
      </c>
      <c r="G986" s="68" t="inlineStr">
        <is>
          <t>招牌安装</t>
        </is>
      </c>
      <c r="H986" s="68" t="inlineStr">
        <is>
          <t>招牌安装</t>
        </is>
      </c>
      <c r="I986" s="69" t="inlineStr">
        <is>
          <t>1000022070</t>
        </is>
      </c>
      <c r="J986" s="69" t="inlineStr">
        <is>
          <t>DT-购餐车道指示牌安装(不含基础)</t>
        </is>
      </c>
      <c r="K986" s="70" t="n"/>
      <c r="L986" s="70" t="n"/>
      <c r="M986" s="71" t="inlineStr">
        <is>
          <t>只</t>
        </is>
      </c>
      <c r="N986" s="72" t="n"/>
      <c r="O986" s="72">
        <f>ROUND(N986*(1+$F$10),2)</f>
        <v/>
      </c>
      <c r="P986" s="73">
        <f>ROUND(K986*N986,2)</f>
        <v/>
      </c>
      <c r="Q986" s="74">
        <f>ROUND(L986*N986,2)</f>
        <v/>
      </c>
      <c r="R986" s="75" t="n"/>
      <c r="S986" s="76" t="n"/>
      <c r="T986" s="77">
        <f>K986-L986</f>
        <v/>
      </c>
      <c r="U986" s="77">
        <f>P986-Q986</f>
        <v/>
      </c>
      <c r="V986" s="77">
        <f>ABS(U986)</f>
        <v/>
      </c>
      <c r="W986" s="78">
        <f>T986/L986</f>
        <v/>
      </c>
      <c r="X986" s="79">
        <f>ABS(W986)</f>
        <v/>
      </c>
      <c r="AG986" s="80" t="inlineStr">
        <is>
          <t>个数</t>
        </is>
      </c>
    </row>
    <row r="987" ht="11.4" customHeight="1">
      <c r="A987" s="67" t="inlineStr">
        <is>
          <t>86</t>
        </is>
      </c>
      <c r="B987" s="67" t="inlineStr">
        <is>
          <t>1084</t>
        </is>
      </c>
      <c r="C987" s="67" t="inlineStr">
        <is>
          <t>3791</t>
        </is>
      </c>
      <c r="D987" s="68" t="inlineStr">
        <is>
          <t>01</t>
        </is>
      </c>
      <c r="E987" s="68" t="inlineStr">
        <is>
          <t>7 招牌</t>
        </is>
      </c>
      <c r="F987" s="68" t="inlineStr">
        <is>
          <t>7.3 招牌安装</t>
        </is>
      </c>
      <c r="G987" s="68" t="inlineStr">
        <is>
          <t>招牌安装</t>
        </is>
      </c>
      <c r="H987" s="68" t="inlineStr">
        <is>
          <t>招牌安装</t>
        </is>
      </c>
      <c r="I987" s="69" t="inlineStr">
        <is>
          <t>1000022071</t>
        </is>
      </c>
      <c r="J987" s="69" t="inlineStr">
        <is>
          <t>DT-购餐车道指示牌基础</t>
        </is>
      </c>
      <c r="K987" s="70" t="n"/>
      <c r="L987" s="70" t="n"/>
      <c r="M987" s="71" t="inlineStr">
        <is>
          <t>只</t>
        </is>
      </c>
      <c r="N987" s="72" t="n"/>
      <c r="O987" s="72">
        <f>ROUND(N987*(1+$F$10),2)</f>
        <v/>
      </c>
      <c r="P987" s="73">
        <f>ROUND(K987*N987,2)</f>
        <v/>
      </c>
      <c r="Q987" s="74">
        <f>ROUND(L987*N987,2)</f>
        <v/>
      </c>
      <c r="R987" s="75" t="n"/>
      <c r="S987" s="76" t="n"/>
      <c r="T987" s="77">
        <f>K987-L987</f>
        <v/>
      </c>
      <c r="U987" s="77">
        <f>P987-Q987</f>
        <v/>
      </c>
      <c r="V987" s="77">
        <f>ABS(U987)</f>
        <v/>
      </c>
      <c r="W987" s="78">
        <f>T987/L987</f>
        <v/>
      </c>
      <c r="X987" s="79">
        <f>ABS(W987)</f>
        <v/>
      </c>
      <c r="AG987" s="80" t="inlineStr">
        <is>
          <t>个数</t>
        </is>
      </c>
    </row>
    <row r="988" ht="11.4" customHeight="1">
      <c r="A988" s="67" t="inlineStr">
        <is>
          <t>86</t>
        </is>
      </c>
      <c r="B988" s="67" t="inlineStr">
        <is>
          <t>1084</t>
        </is>
      </c>
      <c r="C988" s="67" t="inlineStr">
        <is>
          <t>3791</t>
        </is>
      </c>
      <c r="D988" s="68" t="inlineStr">
        <is>
          <t>01</t>
        </is>
      </c>
      <c r="E988" s="68" t="inlineStr">
        <is>
          <t>7 招牌</t>
        </is>
      </c>
      <c r="F988" s="68" t="inlineStr">
        <is>
          <t>7.3 招牌安装</t>
        </is>
      </c>
      <c r="G988" s="68" t="inlineStr">
        <is>
          <t>招牌安装</t>
        </is>
      </c>
      <c r="H988" s="68" t="inlineStr">
        <is>
          <t>招牌安装</t>
        </is>
      </c>
      <c r="I988" s="69" t="inlineStr">
        <is>
          <t>1000022072</t>
        </is>
      </c>
      <c r="J988" s="69" t="inlineStr">
        <is>
          <t>DT-麦当劳停车位指示牌安装(不含基础)</t>
        </is>
      </c>
      <c r="K988" s="70" t="n"/>
      <c r="L988" s="70" t="n"/>
      <c r="M988" s="71" t="inlineStr">
        <is>
          <t>只</t>
        </is>
      </c>
      <c r="N988" s="72" t="n"/>
      <c r="O988" s="72">
        <f>ROUND(N988*(1+$F$10),2)</f>
        <v/>
      </c>
      <c r="P988" s="73">
        <f>ROUND(K988*N988,2)</f>
        <v/>
      </c>
      <c r="Q988" s="74">
        <f>ROUND(L988*N988,2)</f>
        <v/>
      </c>
      <c r="R988" s="75" t="n"/>
      <c r="S988" s="76" t="n"/>
      <c r="T988" s="77">
        <f>K988-L988</f>
        <v/>
      </c>
      <c r="U988" s="77">
        <f>P988-Q988</f>
        <v/>
      </c>
      <c r="V988" s="77">
        <f>ABS(U988)</f>
        <v/>
      </c>
      <c r="W988" s="78">
        <f>T988/L988</f>
        <v/>
      </c>
      <c r="X988" s="79">
        <f>ABS(W988)</f>
        <v/>
      </c>
      <c r="AG988" s="80" t="inlineStr">
        <is>
          <t>个数</t>
        </is>
      </c>
    </row>
    <row r="989" ht="11.4" customHeight="1">
      <c r="A989" s="67" t="inlineStr">
        <is>
          <t>86</t>
        </is>
      </c>
      <c r="B989" s="67" t="inlineStr">
        <is>
          <t>1084</t>
        </is>
      </c>
      <c r="C989" s="67" t="inlineStr">
        <is>
          <t>3791</t>
        </is>
      </c>
      <c r="D989" s="68" t="inlineStr">
        <is>
          <t>01</t>
        </is>
      </c>
      <c r="E989" s="68" t="inlineStr">
        <is>
          <t>7 招牌</t>
        </is>
      </c>
      <c r="F989" s="68" t="inlineStr">
        <is>
          <t>7.3 招牌安装</t>
        </is>
      </c>
      <c r="G989" s="68" t="inlineStr">
        <is>
          <t>招牌安装</t>
        </is>
      </c>
      <c r="H989" s="68" t="inlineStr">
        <is>
          <t>招牌安装</t>
        </is>
      </c>
      <c r="I989" s="69" t="inlineStr">
        <is>
          <t>1000022073</t>
        </is>
      </c>
      <c r="J989" s="69" t="inlineStr">
        <is>
          <t>DT-麦当劳停车位指示牌基础</t>
        </is>
      </c>
      <c r="K989" s="70" t="n"/>
      <c r="L989" s="70" t="n"/>
      <c r="M989" s="71" t="inlineStr">
        <is>
          <t>只</t>
        </is>
      </c>
      <c r="N989" s="72" t="n"/>
      <c r="O989" s="72">
        <f>ROUND(N989*(1+$F$10),2)</f>
        <v/>
      </c>
      <c r="P989" s="73">
        <f>ROUND(K989*N989,2)</f>
        <v/>
      </c>
      <c r="Q989" s="74">
        <f>ROUND(L989*N989,2)</f>
        <v/>
      </c>
      <c r="R989" s="75" t="n"/>
      <c r="S989" s="76" t="n"/>
      <c r="T989" s="77">
        <f>K989-L989</f>
        <v/>
      </c>
      <c r="U989" s="77">
        <f>P989-Q989</f>
        <v/>
      </c>
      <c r="V989" s="77">
        <f>ABS(U989)</f>
        <v/>
      </c>
      <c r="W989" s="78">
        <f>T989/L989</f>
        <v/>
      </c>
      <c r="X989" s="79">
        <f>ABS(W989)</f>
        <v/>
      </c>
      <c r="AG989" s="80" t="inlineStr">
        <is>
          <t>个数</t>
        </is>
      </c>
    </row>
    <row r="990" ht="11.4" customHeight="1">
      <c r="A990" s="67" t="inlineStr">
        <is>
          <t>86</t>
        </is>
      </c>
      <c r="B990" s="67" t="inlineStr">
        <is>
          <t>1084</t>
        </is>
      </c>
      <c r="C990" s="67" t="inlineStr">
        <is>
          <t>3791</t>
        </is>
      </c>
      <c r="D990" s="68" t="inlineStr">
        <is>
          <t>01</t>
        </is>
      </c>
      <c r="E990" s="68" t="inlineStr">
        <is>
          <t>7 招牌</t>
        </is>
      </c>
      <c r="F990" s="68" t="inlineStr">
        <is>
          <t>7.3 招牌安装</t>
        </is>
      </c>
      <c r="G990" s="68" t="inlineStr">
        <is>
          <t>招牌安装</t>
        </is>
      </c>
      <c r="H990" s="68" t="inlineStr">
        <is>
          <t>招牌安装</t>
        </is>
      </c>
      <c r="I990" s="69" t="inlineStr">
        <is>
          <t>1000022074</t>
        </is>
      </c>
      <c r="J990" s="69" t="inlineStr">
        <is>
          <t>DT-COD（含雨棚）安装(不含基础)</t>
        </is>
      </c>
      <c r="K990" s="70" t="n"/>
      <c r="L990" s="70" t="n"/>
      <c r="M990" s="71" t="inlineStr">
        <is>
          <t>只</t>
        </is>
      </c>
      <c r="N990" s="72" t="n">
        <v>1575.49</v>
      </c>
      <c r="O990" s="72">
        <f>ROUND(N990*(1+$F$10),2)</f>
        <v/>
      </c>
      <c r="P990" s="73">
        <f>ROUND(K990*N990,2)</f>
        <v/>
      </c>
      <c r="Q990" s="74">
        <f>ROUND(L990*N990,2)</f>
        <v/>
      </c>
      <c r="R990" s="75" t="n"/>
      <c r="S990" s="76" t="n"/>
      <c r="T990" s="77">
        <f>K990-L990</f>
        <v/>
      </c>
      <c r="U990" s="77">
        <f>P990-Q990</f>
        <v/>
      </c>
      <c r="V990" s="77">
        <f>ABS(U990)</f>
        <v/>
      </c>
      <c r="W990" s="78">
        <f>T990/L990</f>
        <v/>
      </c>
      <c r="X990" s="79">
        <f>ABS(W990)</f>
        <v/>
      </c>
      <c r="AG990" s="80" t="inlineStr">
        <is>
          <t>个数</t>
        </is>
      </c>
    </row>
    <row r="991" ht="11.4" customHeight="1">
      <c r="A991" s="67" t="inlineStr">
        <is>
          <t>86</t>
        </is>
      </c>
      <c r="B991" s="67" t="inlineStr">
        <is>
          <t>1084</t>
        </is>
      </c>
      <c r="C991" s="67" t="inlineStr">
        <is>
          <t>3791</t>
        </is>
      </c>
      <c r="D991" s="68" t="inlineStr">
        <is>
          <t>01</t>
        </is>
      </c>
      <c r="E991" s="68" t="inlineStr">
        <is>
          <t>7 招牌</t>
        </is>
      </c>
      <c r="F991" s="68" t="inlineStr">
        <is>
          <t>7.3 招牌安装</t>
        </is>
      </c>
      <c r="G991" s="68" t="inlineStr">
        <is>
          <t>招牌安装</t>
        </is>
      </c>
      <c r="H991" s="68" t="inlineStr">
        <is>
          <t>招牌安装</t>
        </is>
      </c>
      <c r="I991" s="69" t="inlineStr">
        <is>
          <t>1000022075</t>
        </is>
      </c>
      <c r="J991" s="69" t="inlineStr">
        <is>
          <t>DT-COD（含雨棚）及预售菜单牌基础</t>
        </is>
      </c>
      <c r="K991" s="70" t="n"/>
      <c r="L991" s="70" t="n"/>
      <c r="M991" s="71" t="inlineStr">
        <is>
          <t>项</t>
        </is>
      </c>
      <c r="N991" s="72" t="n">
        <v>3038.34</v>
      </c>
      <c r="O991" s="72">
        <f>ROUND(N991*(1+$F$10),2)</f>
        <v/>
      </c>
      <c r="P991" s="73">
        <f>ROUND(K991*N991,2)</f>
        <v/>
      </c>
      <c r="Q991" s="74">
        <f>ROUND(L991*N991,2)</f>
        <v/>
      </c>
      <c r="R991" s="75" t="n"/>
      <c r="S991" s="76" t="n"/>
      <c r="T991" s="77">
        <f>K991-L991</f>
        <v/>
      </c>
      <c r="U991" s="77">
        <f>P991-Q991</f>
        <v/>
      </c>
      <c r="V991" s="77">
        <f>ABS(U991)</f>
        <v/>
      </c>
      <c r="W991" s="78">
        <f>T991/L991</f>
        <v/>
      </c>
      <c r="X991" s="79">
        <f>ABS(W991)</f>
        <v/>
      </c>
      <c r="AG991" s="80" t="inlineStr">
        <is>
          <t>个数</t>
        </is>
      </c>
    </row>
    <row r="992" ht="11.4" customHeight="1">
      <c r="A992" s="67" t="inlineStr">
        <is>
          <t>86</t>
        </is>
      </c>
      <c r="B992" s="67" t="inlineStr">
        <is>
          <t>1084</t>
        </is>
      </c>
      <c r="C992" s="67" t="inlineStr">
        <is>
          <t>3791</t>
        </is>
      </c>
      <c r="D992" s="68" t="inlineStr">
        <is>
          <t>01</t>
        </is>
      </c>
      <c r="E992" s="68" t="inlineStr">
        <is>
          <t>7 招牌</t>
        </is>
      </c>
      <c r="F992" s="68" t="inlineStr">
        <is>
          <t>7.3 招牌安装</t>
        </is>
      </c>
      <c r="G992" s="68" t="inlineStr">
        <is>
          <t>招牌安装</t>
        </is>
      </c>
      <c r="H992" s="68" t="inlineStr">
        <is>
          <t>招牌安装</t>
        </is>
      </c>
      <c r="I992" s="69" t="inlineStr">
        <is>
          <t>1000022076</t>
        </is>
      </c>
      <c r="J992" s="69" t="inlineStr">
        <is>
          <t>DT-限高杆安装(不含基础)</t>
        </is>
      </c>
      <c r="K992" s="70" t="n"/>
      <c r="L992" s="70" t="n"/>
      <c r="M992" s="71" t="inlineStr">
        <is>
          <t>只</t>
        </is>
      </c>
      <c r="N992" s="72" t="n">
        <v>1575.49</v>
      </c>
      <c r="O992" s="72">
        <f>ROUND(N992*(1+$F$10),2)</f>
        <v/>
      </c>
      <c r="P992" s="73">
        <f>ROUND(K992*N992,2)</f>
        <v/>
      </c>
      <c r="Q992" s="74">
        <f>ROUND(L992*N992,2)</f>
        <v/>
      </c>
      <c r="R992" s="75" t="n"/>
      <c r="S992" s="76" t="n"/>
      <c r="T992" s="77">
        <f>K992-L992</f>
        <v/>
      </c>
      <c r="U992" s="77">
        <f>P992-Q992</f>
        <v/>
      </c>
      <c r="V992" s="77">
        <f>ABS(U992)</f>
        <v/>
      </c>
      <c r="W992" s="78">
        <f>T992/L992</f>
        <v/>
      </c>
      <c r="X992" s="79">
        <f>ABS(W992)</f>
        <v/>
      </c>
      <c r="AG992" s="80" t="inlineStr">
        <is>
          <t>个数</t>
        </is>
      </c>
    </row>
    <row r="993" ht="11.4" customHeight="1">
      <c r="A993" s="67" t="inlineStr">
        <is>
          <t>86</t>
        </is>
      </c>
      <c r="B993" s="67" t="inlineStr">
        <is>
          <t>1084</t>
        </is>
      </c>
      <c r="C993" s="67" t="inlineStr">
        <is>
          <t>3791</t>
        </is>
      </c>
      <c r="D993" s="68" t="inlineStr">
        <is>
          <t>01</t>
        </is>
      </c>
      <c r="E993" s="68" t="inlineStr">
        <is>
          <t>7 招牌</t>
        </is>
      </c>
      <c r="F993" s="68" t="inlineStr">
        <is>
          <t>7.3 招牌安装</t>
        </is>
      </c>
      <c r="G993" s="68" t="inlineStr">
        <is>
          <t>招牌安装</t>
        </is>
      </c>
      <c r="H993" s="68" t="inlineStr">
        <is>
          <t>招牌安装</t>
        </is>
      </c>
      <c r="I993" s="69" t="inlineStr">
        <is>
          <t>1000022077</t>
        </is>
      </c>
      <c r="J993" s="69" t="inlineStr">
        <is>
          <t>DT-限高杆基础</t>
        </is>
      </c>
      <c r="K993" s="70" t="n"/>
      <c r="L993" s="70" t="n"/>
      <c r="M993" s="71" t="inlineStr">
        <is>
          <t>项</t>
        </is>
      </c>
      <c r="N993" s="72" t="n">
        <v>876.46</v>
      </c>
      <c r="O993" s="72">
        <f>ROUND(N993*(1+$F$10),2)</f>
        <v/>
      </c>
      <c r="P993" s="73">
        <f>ROUND(K993*N993,2)</f>
        <v/>
      </c>
      <c r="Q993" s="74">
        <f>ROUND(L993*N993,2)</f>
        <v/>
      </c>
      <c r="R993" s="75" t="n"/>
      <c r="S993" s="76" t="n"/>
      <c r="T993" s="77">
        <f>K993-L993</f>
        <v/>
      </c>
      <c r="U993" s="77">
        <f>P993-Q993</f>
        <v/>
      </c>
      <c r="V993" s="77">
        <f>ABS(U993)</f>
        <v/>
      </c>
      <c r="W993" s="78">
        <f>T993/L993</f>
        <v/>
      </c>
      <c r="X993" s="79">
        <f>ABS(W993)</f>
        <v/>
      </c>
      <c r="AG993" s="80" t="inlineStr">
        <is>
          <t>个数</t>
        </is>
      </c>
    </row>
    <row r="994" ht="11.4" customHeight="1">
      <c r="A994" s="67" t="inlineStr">
        <is>
          <t>86</t>
        </is>
      </c>
      <c r="B994" s="67" t="inlineStr">
        <is>
          <t>1084</t>
        </is>
      </c>
      <c r="C994" s="67" t="inlineStr">
        <is>
          <t>3791</t>
        </is>
      </c>
      <c r="D994" s="68" t="inlineStr">
        <is>
          <t>01</t>
        </is>
      </c>
      <c r="E994" s="68" t="inlineStr">
        <is>
          <t>7 招牌</t>
        </is>
      </c>
      <c r="F994" s="68" t="inlineStr">
        <is>
          <t>7.3 招牌安装</t>
        </is>
      </c>
      <c r="G994" s="68" t="inlineStr">
        <is>
          <t>招牌安装</t>
        </is>
      </c>
      <c r="H994" s="68" t="inlineStr">
        <is>
          <t>招牌安装</t>
        </is>
      </c>
      <c r="I994" s="69" t="inlineStr">
        <is>
          <t>1000022078</t>
        </is>
      </c>
      <c r="J994" s="69" t="inlineStr">
        <is>
          <t>DT-预售菜单牌安装（一组）(不含基础)</t>
        </is>
      </c>
      <c r="K994" s="70" t="n"/>
      <c r="L994" s="70" t="n"/>
      <c r="M994" s="71" t="inlineStr">
        <is>
          <t>只</t>
        </is>
      </c>
      <c r="N994" s="72" t="n">
        <v>372.89</v>
      </c>
      <c r="O994" s="72">
        <f>ROUND(N994*(1+$F$10),2)</f>
        <v/>
      </c>
      <c r="P994" s="73">
        <f>ROUND(K994*N994,2)</f>
        <v/>
      </c>
      <c r="Q994" s="74">
        <f>ROUND(L994*N994,2)</f>
        <v/>
      </c>
      <c r="R994" s="75" t="n"/>
      <c r="S994" s="76" t="n"/>
      <c r="T994" s="77">
        <f>K994-L994</f>
        <v/>
      </c>
      <c r="U994" s="77">
        <f>P994-Q994</f>
        <v/>
      </c>
      <c r="V994" s="77">
        <f>ABS(U994)</f>
        <v/>
      </c>
      <c r="W994" s="78">
        <f>T994/L994</f>
        <v/>
      </c>
      <c r="X994" s="79">
        <f>ABS(W994)</f>
        <v/>
      </c>
      <c r="AG994" s="80" t="inlineStr">
        <is>
          <t>个数</t>
        </is>
      </c>
    </row>
    <row r="995" ht="11.4" customHeight="1">
      <c r="A995" s="67" t="inlineStr">
        <is>
          <t>131</t>
        </is>
      </c>
      <c r="B995" s="67" t="inlineStr">
        <is>
          <t>1129</t>
        </is>
      </c>
      <c r="C995" s="67" t="inlineStr">
        <is>
          <t>8410</t>
        </is>
      </c>
      <c r="D995" s="68" t="inlineStr">
        <is>
          <t>01</t>
        </is>
      </c>
      <c r="E995" s="68" t="inlineStr">
        <is>
          <t>8 设备</t>
        </is>
      </c>
      <c r="F995" s="68" t="inlineStr">
        <is>
          <t>8.4 本地采购设备</t>
        </is>
      </c>
      <c r="G995" s="68" t="inlineStr">
        <is>
          <t>8.4.1 保险箱</t>
        </is>
      </c>
      <c r="H995" s="68" t="inlineStr">
        <is>
          <t>保险箱</t>
        </is>
      </c>
      <c r="I995" s="69" t="inlineStr">
        <is>
          <t>1000021581</t>
        </is>
      </c>
      <c r="J995" s="69" t="inlineStr">
        <is>
          <t>保险箱</t>
        </is>
      </c>
      <c r="K995" s="70" t="n">
        <v>1</v>
      </c>
      <c r="L995" s="70" t="n">
        <v>1</v>
      </c>
      <c r="M995" s="71" t="inlineStr">
        <is>
          <t>台</t>
        </is>
      </c>
      <c r="N995" s="72" t="n">
        <v>2676.15</v>
      </c>
      <c r="O995" s="72">
        <f>ROUND(N995*(1+$F$10),2)</f>
        <v/>
      </c>
      <c r="P995" s="73">
        <f>ROUND(K995*N995,2)</f>
        <v/>
      </c>
      <c r="Q995" s="74">
        <f>ROUND(L995*N995,2)</f>
        <v/>
      </c>
      <c r="R995" s="75" t="n"/>
      <c r="S995" s="76" t="n"/>
      <c r="T995" s="77">
        <f>K995-L995</f>
        <v/>
      </c>
      <c r="U995" s="77">
        <f>P995-Q995</f>
        <v/>
      </c>
      <c r="V995" s="77">
        <f>ABS(U995)</f>
        <v/>
      </c>
      <c r="W995" s="78">
        <f>T995/L995</f>
        <v/>
      </c>
      <c r="X995" s="79">
        <f>ABS(W995)</f>
        <v/>
      </c>
      <c r="AG995" s="80" t="n"/>
      <c r="AH995" s="80" t="inlineStr">
        <is>
          <t>委托书</t>
        </is>
      </c>
    </row>
    <row r="996" ht="11.4" customHeight="1">
      <c r="A996" s="67" t="inlineStr">
        <is>
          <t>132</t>
        </is>
      </c>
      <c r="B996" s="67" t="inlineStr">
        <is>
          <t>1130</t>
        </is>
      </c>
      <c r="C996" s="67" t="inlineStr">
        <is>
          <t>8423</t>
        </is>
      </c>
      <c r="D996" s="68" t="inlineStr">
        <is>
          <t>01</t>
        </is>
      </c>
      <c r="E996" s="68" t="inlineStr">
        <is>
          <t>8 设备</t>
        </is>
      </c>
      <c r="F996" s="68" t="inlineStr">
        <is>
          <t>8.4 本地采购设备</t>
        </is>
      </c>
      <c r="G996" s="68" t="inlineStr">
        <is>
          <t>8.4.2 电视机/录像机,音响,电话/传真机等</t>
        </is>
      </c>
      <c r="H996" s="68" t="inlineStr">
        <is>
          <t>电视机/录像机,音响,电话/传真机等</t>
        </is>
      </c>
      <c r="I996" s="69" t="inlineStr">
        <is>
          <t>1000022083</t>
        </is>
      </c>
      <c r="J996" s="69" t="inlineStr">
        <is>
          <t>电话机</t>
        </is>
      </c>
      <c r="K996" s="70" t="n"/>
      <c r="L996" s="70" t="n"/>
      <c r="M996" s="71" t="inlineStr">
        <is>
          <t>台</t>
        </is>
      </c>
      <c r="N996" s="72" t="n"/>
      <c r="O996" s="72">
        <f>ROUND(N996*(1+$F$10),2)</f>
        <v/>
      </c>
      <c r="P996" s="73">
        <f>ROUND(K996*N996,2)</f>
        <v/>
      </c>
      <c r="Q996" s="74">
        <f>ROUND(L996*N996,2)</f>
        <v/>
      </c>
      <c r="R996" s="75" t="n"/>
      <c r="S996" s="76" t="n"/>
      <c r="T996" s="77">
        <f>K996-L996</f>
        <v/>
      </c>
      <c r="U996" s="77">
        <f>P996-Q996</f>
        <v/>
      </c>
      <c r="V996" s="77">
        <f>ABS(U996)</f>
        <v/>
      </c>
      <c r="W996" s="78">
        <f>T996/L996</f>
        <v/>
      </c>
      <c r="X996" s="79">
        <f>ABS(W996)</f>
        <v/>
      </c>
      <c r="AH996" s="80" t="inlineStr">
        <is>
          <t>委托书</t>
        </is>
      </c>
    </row>
    <row r="997" ht="11.4" customHeight="1">
      <c r="A997" s="67" t="inlineStr">
        <is>
          <t>132</t>
        </is>
      </c>
      <c r="B997" s="67" t="inlineStr">
        <is>
          <t>1130</t>
        </is>
      </c>
      <c r="C997" s="67" t="inlineStr">
        <is>
          <t>8423</t>
        </is>
      </c>
      <c r="D997" s="68" t="inlineStr">
        <is>
          <t>01</t>
        </is>
      </c>
      <c r="E997" s="68" t="inlineStr">
        <is>
          <t>8 设备</t>
        </is>
      </c>
      <c r="F997" s="68" t="inlineStr">
        <is>
          <t>8.4 本地采购设备</t>
        </is>
      </c>
      <c r="G997" s="68" t="inlineStr">
        <is>
          <t>8.4.2 电视机/录像机,音响,电话/传真机等</t>
        </is>
      </c>
      <c r="H997" s="68" t="inlineStr">
        <is>
          <t>电视机/录像机,音响,电话/传真机等</t>
        </is>
      </c>
      <c r="I997" s="69" t="inlineStr">
        <is>
          <t>1000022084</t>
        </is>
      </c>
      <c r="J997" s="69" t="inlineStr">
        <is>
          <t>A4传真机</t>
        </is>
      </c>
      <c r="K997" s="70" t="n"/>
      <c r="L997" s="70" t="n"/>
      <c r="M997" s="71" t="inlineStr">
        <is>
          <t>台</t>
        </is>
      </c>
      <c r="N997" s="72" t="n">
        <v>939</v>
      </c>
      <c r="O997" s="72">
        <f>ROUND(N997*(1+$F$10),2)</f>
        <v/>
      </c>
      <c r="P997" s="73">
        <f>ROUND(K997*N997,2)</f>
        <v/>
      </c>
      <c r="Q997" s="74">
        <f>ROUND(L997*N997,2)</f>
        <v/>
      </c>
      <c r="R997" s="75" t="n"/>
      <c r="S997" s="76" t="n"/>
      <c r="T997" s="77">
        <f>K997-L997</f>
        <v/>
      </c>
      <c r="U997" s="77">
        <f>P997-Q997</f>
        <v/>
      </c>
      <c r="V997" s="77">
        <f>ABS(U997)</f>
        <v/>
      </c>
      <c r="W997" s="78">
        <f>T997/L997</f>
        <v/>
      </c>
      <c r="X997" s="79">
        <f>ABS(W997)</f>
        <v/>
      </c>
      <c r="AH997" s="80" t="inlineStr">
        <is>
          <t>委托书</t>
        </is>
      </c>
    </row>
    <row r="998" ht="11.4" customHeight="1">
      <c r="A998" s="67" t="inlineStr">
        <is>
          <t>134</t>
        </is>
      </c>
      <c r="B998" s="67" t="inlineStr">
        <is>
          <t>1132</t>
        </is>
      </c>
      <c r="C998" s="67" t="inlineStr">
        <is>
          <t>8426</t>
        </is>
      </c>
      <c r="D998" s="68" t="inlineStr">
        <is>
          <t>01</t>
        </is>
      </c>
      <c r="E998" s="68" t="inlineStr">
        <is>
          <t>8 设备</t>
        </is>
      </c>
      <c r="F998" s="68" t="inlineStr">
        <is>
          <t>8.4 本地采购设备</t>
        </is>
      </c>
      <c r="G998" s="68" t="inlineStr">
        <is>
          <t>8.4.2 电视机/录像机,音响,电话/传真机等</t>
        </is>
      </c>
      <c r="H998" s="68" t="inlineStr">
        <is>
          <t>电视机/录像机,音响,电话/传真机等</t>
        </is>
      </c>
      <c r="I998" s="69" t="inlineStr">
        <is>
          <t>1000021582</t>
        </is>
      </c>
      <c r="J998" s="69" t="inlineStr">
        <is>
          <t>经理室IT机柜</t>
        </is>
      </c>
      <c r="K998" s="70" t="n"/>
      <c r="L998" s="70" t="n"/>
      <c r="M998" s="71" t="inlineStr">
        <is>
          <t>套</t>
        </is>
      </c>
      <c r="N998" s="72" t="n">
        <v>4889.85</v>
      </c>
      <c r="O998" s="72">
        <f>ROUND(N998*(1+$F$10),2)</f>
        <v/>
      </c>
      <c r="P998" s="73">
        <f>ROUND(K998*N998,2)</f>
        <v/>
      </c>
      <c r="Q998" s="74">
        <f>ROUND(L998*N998,2)</f>
        <v/>
      </c>
      <c r="R998" s="75" t="n"/>
      <c r="S998" s="76" t="n"/>
      <c r="T998" s="77">
        <f>K998-L998</f>
        <v/>
      </c>
      <c r="U998" s="77">
        <f>P998-Q998</f>
        <v/>
      </c>
      <c r="V998" s="77">
        <f>ABS(U998)</f>
        <v/>
      </c>
      <c r="W998" s="78">
        <f>T998/L998</f>
        <v/>
      </c>
      <c r="X998" s="79">
        <f>ABS(W998)</f>
        <v/>
      </c>
      <c r="AH998" s="80" t="inlineStr">
        <is>
          <t>委托书</t>
        </is>
      </c>
    </row>
    <row r="999" ht="11.4" customHeight="1">
      <c r="A999" s="67" t="inlineStr">
        <is>
          <t>132</t>
        </is>
      </c>
      <c r="B999" s="67" t="inlineStr">
        <is>
          <t>1130</t>
        </is>
      </c>
      <c r="C999" s="67" t="inlineStr">
        <is>
          <t>8422</t>
        </is>
      </c>
      <c r="D999" s="68" t="inlineStr">
        <is>
          <t>01</t>
        </is>
      </c>
      <c r="E999" s="68" t="inlineStr">
        <is>
          <t>8 设备</t>
        </is>
      </c>
      <c r="F999" s="68" t="inlineStr">
        <is>
          <t>8.4 本地采购设备</t>
        </is>
      </c>
      <c r="G999" s="68" t="inlineStr">
        <is>
          <t>8.4.2 电视机/录像机,音响,电话/传真机等</t>
        </is>
      </c>
      <c r="H999" s="68" t="inlineStr">
        <is>
          <t>电视机/录像机,音响,电话/传真机等</t>
        </is>
      </c>
      <c r="I999" s="69" t="inlineStr">
        <is>
          <t>1000021583</t>
        </is>
      </c>
      <c r="J999" s="69" t="inlineStr">
        <is>
          <t>Honeywell主店音响系统（含吸顶低音喇叭）（不含甜品站）</t>
        </is>
      </c>
      <c r="K999" s="70" t="n">
        <v>1</v>
      </c>
      <c r="L999" s="70" t="n">
        <v>1</v>
      </c>
      <c r="M999" s="71" t="inlineStr">
        <is>
          <t>项</t>
        </is>
      </c>
      <c r="N999" s="72" t="n">
        <v>8944.690000000001</v>
      </c>
      <c r="O999" s="72">
        <f>ROUND(N999*(1+$F$10),2)</f>
        <v/>
      </c>
      <c r="P999" s="73">
        <f>ROUND(K999*N999,2)</f>
        <v/>
      </c>
      <c r="Q999" s="74">
        <f>ROUND(L999*N999,2)</f>
        <v/>
      </c>
      <c r="R999" s="75" t="n"/>
      <c r="S999" s="76" t="n"/>
      <c r="T999" s="77">
        <f>K999-L999</f>
        <v/>
      </c>
      <c r="U999" s="77">
        <f>P999-Q999</f>
        <v/>
      </c>
      <c r="V999" s="77">
        <f>ABS(U999)</f>
        <v/>
      </c>
      <c r="W999" s="78">
        <f>T999/L999</f>
        <v/>
      </c>
      <c r="X999" s="79">
        <f>ABS(W999)</f>
        <v/>
      </c>
      <c r="AH999" s="80" t="inlineStr">
        <is>
          <t>委托书</t>
        </is>
      </c>
    </row>
    <row r="1000" ht="11.4" customHeight="1">
      <c r="A1000" s="67" t="inlineStr">
        <is>
          <t>132</t>
        </is>
      </c>
      <c r="B1000" s="67" t="inlineStr">
        <is>
          <t>1130</t>
        </is>
      </c>
      <c r="C1000" s="67" t="inlineStr">
        <is>
          <t>8422</t>
        </is>
      </c>
      <c r="D1000" s="68" t="inlineStr">
        <is>
          <t>01</t>
        </is>
      </c>
      <c r="E1000" s="68" t="inlineStr">
        <is>
          <t>8 设备</t>
        </is>
      </c>
      <c r="F1000" s="68" t="inlineStr">
        <is>
          <t>8.4 本地采购设备</t>
        </is>
      </c>
      <c r="G1000" s="68" t="inlineStr">
        <is>
          <t>8.4.2 电视机/录像机,音响,电话/传真机等</t>
        </is>
      </c>
      <c r="H1000" s="68" t="inlineStr">
        <is>
          <t>电视机/录像机,音响,电话/传真机等</t>
        </is>
      </c>
      <c r="I1000" s="69" t="inlineStr">
        <is>
          <t>1000021584</t>
        </is>
      </c>
      <c r="J1000" s="69" t="inlineStr">
        <is>
          <t>BOSCH主店音响系统（含吸顶低音喇叭）（不含甜品站）</t>
        </is>
      </c>
      <c r="K1000" s="70" t="n"/>
      <c r="L1000" s="70" t="n"/>
      <c r="M1000" s="71" t="inlineStr">
        <is>
          <t>项</t>
        </is>
      </c>
      <c r="N1000" s="72" t="n">
        <v>9276.48</v>
      </c>
      <c r="O1000" s="72">
        <f>ROUND(N1000*(1+$F$10),2)</f>
        <v/>
      </c>
      <c r="P1000" s="73">
        <f>ROUND(K1000*N1000,2)</f>
        <v/>
      </c>
      <c r="Q1000" s="74">
        <f>ROUND(L1000*N1000,2)</f>
        <v/>
      </c>
      <c r="R1000" s="75" t="n"/>
      <c r="S1000" s="76" t="n"/>
      <c r="T1000" s="77">
        <f>K1000-L1000</f>
        <v/>
      </c>
      <c r="U1000" s="77">
        <f>P1000-Q1000</f>
        <v/>
      </c>
      <c r="V1000" s="77">
        <f>ABS(U1000)</f>
        <v/>
      </c>
      <c r="W1000" s="78">
        <f>T1000/L1000</f>
        <v/>
      </c>
      <c r="X1000" s="79">
        <f>ABS(W1000)</f>
        <v/>
      </c>
      <c r="AH1000" s="80" t="inlineStr">
        <is>
          <t>委托书</t>
        </is>
      </c>
    </row>
    <row r="1001" ht="11.4" customHeight="1">
      <c r="A1001" s="67" t="inlineStr">
        <is>
          <t>132</t>
        </is>
      </c>
      <c r="B1001" s="67" t="inlineStr">
        <is>
          <t>1130</t>
        </is>
      </c>
      <c r="C1001" s="67" t="inlineStr">
        <is>
          <t>8422</t>
        </is>
      </c>
      <c r="D1001" s="68" t="inlineStr">
        <is>
          <t>01</t>
        </is>
      </c>
      <c r="E1001" s="68" t="inlineStr">
        <is>
          <t>8 设备</t>
        </is>
      </c>
      <c r="F1001" s="68" t="inlineStr">
        <is>
          <t>8.4 本地采购设备</t>
        </is>
      </c>
      <c r="G1001" s="68" t="inlineStr">
        <is>
          <t>8.4.2 电视机/录像机,音响,电话/传真机等</t>
        </is>
      </c>
      <c r="H1001" s="68" t="inlineStr">
        <is>
          <t>电视机/录像机,音响,电话/传真机等</t>
        </is>
      </c>
      <c r="I1001" s="69" t="inlineStr">
        <is>
          <t>1000022169</t>
        </is>
      </c>
      <c r="J1001" s="69" t="inlineStr">
        <is>
          <t>音响系统布线及安装（不含甜品站）</t>
        </is>
      </c>
      <c r="K1001" s="70" t="n"/>
      <c r="L1001" s="70" t="n"/>
      <c r="M1001" s="71" t="inlineStr">
        <is>
          <t>项</t>
        </is>
      </c>
      <c r="N1001" s="72" t="n">
        <v>4264.19</v>
      </c>
      <c r="O1001" s="72">
        <f>ROUND(N1001*(1+$F$10),2)</f>
        <v/>
      </c>
      <c r="P1001" s="73">
        <f>ROUND(K1001*N1001,2)</f>
        <v/>
      </c>
      <c r="Q1001" s="74">
        <f>ROUND(L1001*N1001,2)</f>
        <v/>
      </c>
      <c r="R1001" s="75" t="n"/>
      <c r="S1001" s="76" t="n"/>
      <c r="T1001" s="77">
        <f>K1001-L1001</f>
        <v/>
      </c>
      <c r="U1001" s="77">
        <f>P1001-Q1001</f>
        <v/>
      </c>
      <c r="V1001" s="77">
        <f>ABS(U1001)</f>
        <v/>
      </c>
      <c r="W1001" s="78">
        <f>T1001/L1001</f>
        <v/>
      </c>
      <c r="X1001" s="79">
        <f>ABS(W1001)</f>
        <v/>
      </c>
      <c r="AH1001" s="80" t="inlineStr">
        <is>
          <t>委托书</t>
        </is>
      </c>
    </row>
    <row r="1002" ht="11.4" customHeight="1">
      <c r="A1002" s="67" t="inlineStr">
        <is>
          <t>133</t>
        </is>
      </c>
      <c r="B1002" s="67" t="inlineStr">
        <is>
          <t>1131</t>
        </is>
      </c>
      <c r="C1002" s="67" t="inlineStr">
        <is>
          <t>8424</t>
        </is>
      </c>
      <c r="D1002" s="68" t="inlineStr">
        <is>
          <t>01</t>
        </is>
      </c>
      <c r="E1002" s="68" t="inlineStr">
        <is>
          <t>8 设备</t>
        </is>
      </c>
      <c r="F1002" s="68" t="inlineStr">
        <is>
          <t>8.4 本地采购设备</t>
        </is>
      </c>
      <c r="G1002" s="68" t="inlineStr">
        <is>
          <t>8.4.3 保安监控系统</t>
        </is>
      </c>
      <c r="H1002" s="68" t="inlineStr">
        <is>
          <t>CCTV闭路监控系统（不含传送带监控）</t>
        </is>
      </c>
      <c r="I1002" s="69" t="inlineStr">
        <is>
          <t>1000022085</t>
        </is>
      </c>
      <c r="J1002" s="69" t="inlineStr">
        <is>
          <t>CCTV闭路监控系统（不含传送带监控）</t>
        </is>
      </c>
      <c r="K1002" s="70" t="n"/>
      <c r="L1002" s="70" t="n"/>
      <c r="M1002" s="71" t="inlineStr">
        <is>
          <t>套</t>
        </is>
      </c>
      <c r="N1002" s="72" t="n">
        <v>10650.04</v>
      </c>
      <c r="O1002" s="72">
        <f>ROUND(N1002*(1+$F$10),2)</f>
        <v/>
      </c>
      <c r="P1002" s="73">
        <f>ROUND(K1002*N1002,2)</f>
        <v/>
      </c>
      <c r="Q1002" s="74">
        <f>ROUND(L1002*N1002,2)</f>
        <v/>
      </c>
      <c r="R1002" s="75" t="n"/>
      <c r="S1002" s="76" t="n"/>
      <c r="T1002" s="77">
        <f>K1002-L1002</f>
        <v/>
      </c>
      <c r="U1002" s="77">
        <f>P1002-Q1002</f>
        <v/>
      </c>
      <c r="V1002" s="77">
        <f>ABS(U1002)</f>
        <v/>
      </c>
      <c r="W1002" s="78">
        <f>T1002/L1002</f>
        <v/>
      </c>
      <c r="X1002" s="79">
        <f>ABS(W1002)</f>
        <v/>
      </c>
      <c r="AH1002" s="80" t="inlineStr">
        <is>
          <t>委托书</t>
        </is>
      </c>
    </row>
    <row r="1003" ht="11.4" customHeight="1">
      <c r="A1003" s="67" t="inlineStr">
        <is>
          <t>133</t>
        </is>
      </c>
      <c r="B1003" s="67" t="inlineStr">
        <is>
          <t>1131</t>
        </is>
      </c>
      <c r="C1003" s="67" t="inlineStr">
        <is>
          <t>8424</t>
        </is>
      </c>
      <c r="D1003" s="68" t="inlineStr">
        <is>
          <t>01</t>
        </is>
      </c>
      <c r="E1003" s="68" t="inlineStr">
        <is>
          <t>8 设备</t>
        </is>
      </c>
      <c r="F1003" s="68" t="inlineStr">
        <is>
          <t>8.4 本地采购设备</t>
        </is>
      </c>
      <c r="G1003" s="68" t="inlineStr">
        <is>
          <t>8.4.3 保安监控系统</t>
        </is>
      </c>
      <c r="H1003" s="68" t="inlineStr">
        <is>
          <t>CCTV闭路监控系统（含传送带监控）</t>
        </is>
      </c>
      <c r="I1003" s="69" t="inlineStr">
        <is>
          <t>1000040083</t>
        </is>
      </c>
      <c r="J1003" s="69" t="inlineStr">
        <is>
          <t>CCTV闭路监控系统（含传送带监控）</t>
        </is>
      </c>
      <c r="K1003" s="70" t="n"/>
      <c r="L1003" s="70" t="n"/>
      <c r="M1003" s="71" t="inlineStr">
        <is>
          <t>套</t>
        </is>
      </c>
      <c r="N1003" s="72" t="n">
        <v>29506.31</v>
      </c>
      <c r="O1003" s="72">
        <f>ROUND(N1003*(1+$F$10),2)</f>
        <v/>
      </c>
      <c r="P1003" s="73">
        <f>ROUND(K1003*N1003,2)</f>
        <v/>
      </c>
      <c r="Q1003" s="74">
        <f>ROUND(L1003*N1003,2)</f>
        <v/>
      </c>
      <c r="R1003" s="75" t="n"/>
      <c r="S1003" s="76" t="n"/>
      <c r="T1003" s="77">
        <f>K1003-L1003</f>
        <v/>
      </c>
      <c r="U1003" s="77">
        <f>P1003-Q1003</f>
        <v/>
      </c>
      <c r="V1003" s="77">
        <f>ABS(U1003)</f>
        <v/>
      </c>
      <c r="W1003" s="78">
        <f>T1003/L1003</f>
        <v/>
      </c>
      <c r="X1003" s="79">
        <f>ABS(W1003)</f>
        <v/>
      </c>
      <c r="AH1003" s="80" t="inlineStr">
        <is>
          <t>委托书</t>
        </is>
      </c>
    </row>
    <row r="1004" ht="11.4" customHeight="1">
      <c r="A1004" s="67" t="inlineStr">
        <is>
          <t>133</t>
        </is>
      </c>
      <c r="B1004" s="67" t="inlineStr">
        <is>
          <t>1131</t>
        </is>
      </c>
      <c r="C1004" s="67" t="inlineStr">
        <is>
          <t>8424</t>
        </is>
      </c>
      <c r="D1004" s="68" t="inlineStr">
        <is>
          <t>01</t>
        </is>
      </c>
      <c r="E1004" s="68" t="inlineStr">
        <is>
          <t>8 设备</t>
        </is>
      </c>
      <c r="F1004" s="68" t="inlineStr">
        <is>
          <t>8.4 本地采购设备</t>
        </is>
      </c>
      <c r="G1004" s="68" t="inlineStr">
        <is>
          <t>8.4.3 保安监控系统</t>
        </is>
      </c>
      <c r="H1004" s="68" t="inlineStr">
        <is>
          <t>110报警系统</t>
        </is>
      </c>
      <c r="I1004" s="69" t="inlineStr">
        <is>
          <t>1000040084</t>
        </is>
      </c>
      <c r="J1004" s="69" t="inlineStr">
        <is>
          <t>110报警系统</t>
        </is>
      </c>
      <c r="K1004" s="83" t="n">
        <v>1</v>
      </c>
      <c r="L1004" s="70" t="n"/>
      <c r="M1004" s="71" t="inlineStr">
        <is>
          <t>套</t>
        </is>
      </c>
      <c r="N1004" s="72" t="n">
        <v>9009.01</v>
      </c>
      <c r="O1004" s="72">
        <f>ROUND(N1004*(1+$F$10),2)</f>
        <v/>
      </c>
      <c r="P1004" s="73">
        <f>ROUND(K1004*N1004,2)</f>
        <v/>
      </c>
      <c r="Q1004" s="74">
        <f>ROUND(L1004*N1004,2)</f>
        <v/>
      </c>
      <c r="R1004" s="75" t="n"/>
      <c r="S1004" s="76" t="n"/>
      <c r="T1004" s="77">
        <f>K1004-L1004</f>
        <v/>
      </c>
      <c r="U1004" s="77">
        <f>P1004-Q1004</f>
        <v/>
      </c>
      <c r="V1004" s="77">
        <f>ABS(U1004)</f>
        <v/>
      </c>
      <c r="W1004" s="78">
        <f>T1004/L1004</f>
        <v/>
      </c>
      <c r="X1004" s="79">
        <f>ABS(W1004)</f>
        <v/>
      </c>
      <c r="AH1004" s="80" t="inlineStr">
        <is>
          <t>委托书</t>
        </is>
      </c>
    </row>
    <row r="1005" ht="11.4" customHeight="1">
      <c r="A1005" s="67" t="inlineStr">
        <is>
          <t>138</t>
        </is>
      </c>
      <c r="B1005" s="67" t="inlineStr">
        <is>
          <t>1136</t>
        </is>
      </c>
      <c r="C1005" s="67" t="inlineStr">
        <is>
          <t>8454</t>
        </is>
      </c>
      <c r="D1005" s="68" t="inlineStr">
        <is>
          <t>01</t>
        </is>
      </c>
      <c r="E1005" s="68" t="inlineStr">
        <is>
          <t>8 设备</t>
        </is>
      </c>
      <c r="F1005" s="68" t="inlineStr">
        <is>
          <t>8.4 本地采购设备</t>
        </is>
      </c>
      <c r="G1005" s="68" t="inlineStr">
        <is>
          <t>8.4.6 其他厨房工具</t>
        </is>
      </c>
      <c r="H1005" s="68" t="inlineStr">
        <is>
          <t>其他厨房工具</t>
        </is>
      </c>
      <c r="I1005" s="69" t="inlineStr">
        <is>
          <t>1000021585</t>
        </is>
      </c>
      <c r="J1005" s="69" t="inlineStr">
        <is>
          <t>松下烘手器</t>
        </is>
      </c>
      <c r="K1005" s="70" t="n">
        <v>1</v>
      </c>
      <c r="L1005" s="70" t="n">
        <v>1</v>
      </c>
      <c r="M1005" s="71" t="inlineStr">
        <is>
          <t>台</t>
        </is>
      </c>
      <c r="N1005" s="72" t="n">
        <v>1133.63</v>
      </c>
      <c r="O1005" s="72">
        <f>ROUND(N1005*(1+$F$10),2)</f>
        <v/>
      </c>
      <c r="P1005" s="73">
        <f>ROUND(K1005*N1005,2)</f>
        <v/>
      </c>
      <c r="Q1005" s="74">
        <f>ROUND(L1005*N1005,2)</f>
        <v/>
      </c>
      <c r="R1005" s="75" t="n"/>
      <c r="S1005" s="76" t="n"/>
      <c r="T1005" s="77">
        <f>K1005-L1005</f>
        <v/>
      </c>
      <c r="U1005" s="77">
        <f>P1005-Q1005</f>
        <v/>
      </c>
      <c r="V1005" s="77">
        <f>ABS(U1005)</f>
        <v/>
      </c>
      <c r="W1005" s="78">
        <f>T1005/L1005</f>
        <v/>
      </c>
      <c r="X1005" s="79">
        <f>ABS(W1005)</f>
        <v/>
      </c>
      <c r="AG1005" s="80" t="inlineStr">
        <is>
          <t>是=台盆个数</t>
        </is>
      </c>
    </row>
    <row r="1006" ht="11.4" customHeight="1">
      <c r="A1006" s="67" t="inlineStr">
        <is>
          <t>138</t>
        </is>
      </c>
      <c r="B1006" s="67" t="inlineStr">
        <is>
          <t>1136</t>
        </is>
      </c>
      <c r="C1006" s="67" t="inlineStr">
        <is>
          <t>8456</t>
        </is>
      </c>
      <c r="D1006" s="68" t="inlineStr">
        <is>
          <t>01</t>
        </is>
      </c>
      <c r="E1006" s="68" t="inlineStr">
        <is>
          <t>8 设备</t>
        </is>
      </c>
      <c r="F1006" s="68" t="inlineStr">
        <is>
          <t>8.4 本地采购设备</t>
        </is>
      </c>
      <c r="G1006" s="68" t="inlineStr">
        <is>
          <t>8.4.6 其他厨房工具</t>
        </is>
      </c>
      <c r="H1006" s="68" t="inlineStr">
        <is>
          <t>其他厨房工具</t>
        </is>
      </c>
      <c r="I1006" s="69" t="inlineStr">
        <is>
          <t>1000021586</t>
        </is>
      </c>
      <c r="J1006" s="69" t="inlineStr">
        <is>
          <t>灭蝇灯（大堂位置，科凌）</t>
        </is>
      </c>
      <c r="K1006" s="70" t="n">
        <v>6</v>
      </c>
      <c r="L1006" s="70" t="n">
        <v>6</v>
      </c>
      <c r="M1006" s="71" t="inlineStr">
        <is>
          <t>个</t>
        </is>
      </c>
      <c r="N1006" s="72" t="n">
        <v>262.5</v>
      </c>
      <c r="O1006" s="72">
        <f>ROUND(N1006*(1+$F$10),2)</f>
        <v/>
      </c>
      <c r="P1006" s="73">
        <f>ROUND(K1006*N1006,2)</f>
        <v/>
      </c>
      <c r="Q1006" s="74">
        <f>ROUND(L1006*N1006,2)</f>
        <v/>
      </c>
      <c r="R1006" s="75" t="n"/>
      <c r="S1006" s="76" t="n"/>
      <c r="T1006" s="77">
        <f>K1006-L1006</f>
        <v/>
      </c>
      <c r="U1006" s="77">
        <f>P1006-Q1006</f>
        <v/>
      </c>
      <c r="V1006" s="77">
        <f>ABS(U1006)</f>
        <v/>
      </c>
      <c r="W1006" s="78">
        <f>T1006/L1006</f>
        <v/>
      </c>
      <c r="X1006" s="79">
        <f>ABS(W1006)</f>
        <v/>
      </c>
      <c r="AG1006" s="80" t="inlineStr">
        <is>
          <t>个数</t>
        </is>
      </c>
    </row>
    <row r="1007" ht="11.4" customHeight="1">
      <c r="A1007" s="67" t="inlineStr">
        <is>
          <t>138</t>
        </is>
      </c>
      <c r="B1007" s="67" t="inlineStr">
        <is>
          <t>1136</t>
        </is>
      </c>
      <c r="C1007" s="67" t="inlineStr">
        <is>
          <t>8456</t>
        </is>
      </c>
      <c r="D1007" s="68" t="inlineStr">
        <is>
          <t>01</t>
        </is>
      </c>
      <c r="E1007" s="68" t="inlineStr">
        <is>
          <t>8 设备</t>
        </is>
      </c>
      <c r="F1007" s="68" t="inlineStr">
        <is>
          <t>8.4 本地采购设备</t>
        </is>
      </c>
      <c r="G1007" s="68" t="inlineStr">
        <is>
          <t>8.4.6 其他厨房工具</t>
        </is>
      </c>
      <c r="H1007" s="68" t="inlineStr">
        <is>
          <t>其他厨房工具</t>
        </is>
      </c>
      <c r="I1007" s="69" t="inlineStr">
        <is>
          <t>1000040127</t>
        </is>
      </c>
      <c r="J1007" s="69" t="inlineStr">
        <is>
          <t>灭蝇灯（厨房位置，景隆）</t>
        </is>
      </c>
      <c r="K1007" s="70" t="n"/>
      <c r="L1007" s="70" t="n"/>
      <c r="M1007" s="71" t="inlineStr">
        <is>
          <t>个</t>
        </is>
      </c>
      <c r="N1007" s="72" t="n">
        <v>220.5</v>
      </c>
      <c r="O1007" s="72">
        <f>ROUND(N1007*(1+$F$10),2)</f>
        <v/>
      </c>
      <c r="P1007" s="73">
        <f>ROUND(K1007*N1007,2)</f>
        <v/>
      </c>
      <c r="Q1007" s="74">
        <f>ROUND(L1007*N1007,2)</f>
        <v/>
      </c>
      <c r="R1007" s="75" t="n"/>
      <c r="S1007" s="76" t="n"/>
      <c r="T1007" s="77">
        <f>K1007-L1007</f>
        <v/>
      </c>
      <c r="U1007" s="77">
        <f>P1007-Q1007</f>
        <v/>
      </c>
      <c r="V1007" s="77">
        <f>ABS(U1007)</f>
        <v/>
      </c>
      <c r="W1007" s="78">
        <f>T1007/L1007</f>
        <v/>
      </c>
      <c r="X1007" s="79">
        <f>ABS(W1007)</f>
        <v/>
      </c>
      <c r="AG1007" s="80" t="inlineStr">
        <is>
          <t>个数</t>
        </is>
      </c>
    </row>
    <row r="1008" ht="11.4" customHeight="1">
      <c r="A1008" s="67" t="inlineStr">
        <is>
          <t>142</t>
        </is>
      </c>
      <c r="B1008" s="67" t="inlineStr">
        <is>
          <t>1140</t>
        </is>
      </c>
      <c r="C1008" s="67" t="inlineStr">
        <is>
          <t>8425</t>
        </is>
      </c>
      <c r="D1008" s="68" t="inlineStr">
        <is>
          <t>01</t>
        </is>
      </c>
      <c r="E1008" s="68" t="inlineStr">
        <is>
          <t>8 设备</t>
        </is>
      </c>
      <c r="F1008" s="68" t="inlineStr">
        <is>
          <t>8.7 其他设备</t>
        </is>
      </c>
      <c r="G1008" s="68" t="inlineStr">
        <is>
          <t>其他设备</t>
        </is>
      </c>
      <c r="H1008" s="68" t="inlineStr">
        <is>
          <t>其他设备</t>
        </is>
      </c>
      <c r="I1008" s="69" t="inlineStr">
        <is>
          <t>1000022089</t>
        </is>
      </c>
      <c r="J1008" s="69" t="inlineStr">
        <is>
          <t>微波炉</t>
        </is>
      </c>
      <c r="K1008" s="70" t="n">
        <v>1</v>
      </c>
      <c r="L1008" s="70" t="n">
        <v>1</v>
      </c>
      <c r="M1008" s="71" t="inlineStr">
        <is>
          <t>台</t>
        </is>
      </c>
      <c r="N1008" s="72" t="n">
        <v>402</v>
      </c>
      <c r="O1008" s="72">
        <f>ROUND(N1008*(1+$F$10),2)</f>
        <v/>
      </c>
      <c r="P1008" s="73">
        <f>ROUND(K1008*N1008,2)</f>
        <v/>
      </c>
      <c r="Q1008" s="74">
        <f>ROUND(L1008*N1008,2)</f>
        <v/>
      </c>
      <c r="R1008" s="75" t="n"/>
      <c r="S1008" s="76" t="n"/>
      <c r="T1008" s="77">
        <f>K1008-L1008</f>
        <v/>
      </c>
      <c r="U1008" s="77">
        <f>P1008-Q1008</f>
        <v/>
      </c>
      <c r="V1008" s="77">
        <f>ABS(U1008)</f>
        <v/>
      </c>
      <c r="W1008" s="78">
        <f>T1008/L1008</f>
        <v/>
      </c>
      <c r="X1008" s="79">
        <f>ABS(W1008)</f>
        <v/>
      </c>
      <c r="AH1008" s="80" t="inlineStr">
        <is>
          <t>委托书</t>
        </is>
      </c>
    </row>
    <row r="1009" ht="11.4" customHeight="1">
      <c r="A1009" s="67" t="inlineStr">
        <is>
          <t>144</t>
        </is>
      </c>
      <c r="B1009" s="67" t="inlineStr">
        <is>
          <t>1150</t>
        </is>
      </c>
      <c r="C1009" s="67" t="inlineStr">
        <is>
          <t>8491</t>
        </is>
      </c>
      <c r="D1009" s="68" t="inlineStr">
        <is>
          <t>01</t>
        </is>
      </c>
      <c r="E1009" s="68" t="inlineStr">
        <is>
          <t>8 设备</t>
        </is>
      </c>
      <c r="F1009" s="68" t="inlineStr">
        <is>
          <t>8.5a 承包商供应施工材料和设备</t>
        </is>
      </c>
      <c r="G1009" s="68" t="inlineStr">
        <is>
          <t>8.5.1 空调设备和控制系统</t>
        </is>
      </c>
      <c r="H1009" s="68" t="inlineStr">
        <is>
          <t>8.5.1 空调设备和控制系统</t>
        </is>
      </c>
      <c r="I1009" s="69" t="inlineStr">
        <is>
          <t>1000021587</t>
        </is>
      </c>
      <c r="J1009" s="69" t="inlineStr">
        <is>
          <t>供应(不含安装) 风幕机</t>
        </is>
      </c>
      <c r="K1009" s="70" t="n">
        <v>3</v>
      </c>
      <c r="L1009" s="70" t="n">
        <v>3</v>
      </c>
      <c r="M1009" s="71" t="inlineStr">
        <is>
          <t>台</t>
        </is>
      </c>
      <c r="N1009" s="72" t="n">
        <v>1413.32</v>
      </c>
      <c r="O1009" s="72">
        <f>ROUND(N1009*(1+$F$10),2)</f>
        <v/>
      </c>
      <c r="P1009" s="73">
        <f>ROUND(K1009*N1009,2)</f>
        <v/>
      </c>
      <c r="Q1009" s="74">
        <f>ROUND(L1009*N1009,2)</f>
        <v/>
      </c>
      <c r="R1009" s="75" t="n"/>
      <c r="S1009" s="76" t="n"/>
      <c r="T1009" s="77">
        <f>K1009-L1009</f>
        <v/>
      </c>
      <c r="U1009" s="77">
        <f>P1009-Q1009</f>
        <v/>
      </c>
      <c r="V1009" s="77">
        <f>ABS(U1009)</f>
        <v/>
      </c>
      <c r="W1009" s="78">
        <f>T1009/L1009</f>
        <v/>
      </c>
      <c r="X1009" s="79">
        <f>ABS(W1009)</f>
        <v/>
      </c>
      <c r="AG1009" s="80" t="inlineStr">
        <is>
          <t>个数</t>
        </is>
      </c>
    </row>
    <row r="1010" ht="11.4" customHeight="1">
      <c r="A1010" s="67" t="inlineStr">
        <is>
          <t>144</t>
        </is>
      </c>
      <c r="B1010" s="67" t="inlineStr">
        <is>
          <t>1150</t>
        </is>
      </c>
      <c r="C1010" s="67" t="inlineStr">
        <is>
          <t>8491</t>
        </is>
      </c>
      <c r="D1010" s="68" t="inlineStr">
        <is>
          <t>01</t>
        </is>
      </c>
      <c r="E1010" s="68" t="inlineStr">
        <is>
          <t>8 设备</t>
        </is>
      </c>
      <c r="F1010" s="68" t="inlineStr">
        <is>
          <t>8.5a 承包商供应施工材料和设备</t>
        </is>
      </c>
      <c r="G1010" s="68" t="inlineStr">
        <is>
          <t>8.5.1 空调设备和控制系统</t>
        </is>
      </c>
      <c r="H1010" s="68" t="inlineStr">
        <is>
          <t>8.5.1 空调设备和控制系统</t>
        </is>
      </c>
      <c r="I1010" s="69" t="inlineStr">
        <is>
          <t>1000051731</t>
        </is>
      </c>
      <c r="J1010" s="69" t="inlineStr">
        <is>
          <t>供应(不含安装) 风幕机1200mm</t>
        </is>
      </c>
      <c r="K1010" s="70" t="n"/>
      <c r="L1010" s="70" t="n"/>
      <c r="M1010" s="71" t="inlineStr">
        <is>
          <t>台</t>
        </is>
      </c>
      <c r="N1010" s="72" t="n">
        <v>1413.32</v>
      </c>
      <c r="O1010" s="72">
        <f>ROUND(N1010*(1+$F$10),2)</f>
        <v/>
      </c>
      <c r="P1010" s="73">
        <f>ROUND(K1010*N1010,2)</f>
        <v/>
      </c>
      <c r="Q1010" s="74">
        <f>ROUND(L1010*N1010,2)</f>
        <v/>
      </c>
      <c r="R1010" s="75" t="n"/>
      <c r="S1010" s="76" t="n"/>
      <c r="T1010" s="77">
        <f>K1010-L1010</f>
        <v/>
      </c>
      <c r="U1010" s="77">
        <f>P1010-Q1010</f>
        <v/>
      </c>
      <c r="V1010" s="77">
        <f>ABS(U1010)</f>
        <v/>
      </c>
      <c r="W1010" s="78">
        <f>T1010/L1010</f>
        <v/>
      </c>
      <c r="X1010" s="79">
        <f>ABS(W1010)</f>
        <v/>
      </c>
      <c r="AG1010" s="80" t="inlineStr">
        <is>
          <t>个数</t>
        </is>
      </c>
    </row>
    <row r="1011" ht="11.4" customHeight="1">
      <c r="A1011" s="67" t="inlineStr">
        <is>
          <t>144</t>
        </is>
      </c>
      <c r="B1011" s="67" t="inlineStr">
        <is>
          <t>1150</t>
        </is>
      </c>
      <c r="C1011" s="67" t="inlineStr">
        <is>
          <t>8491</t>
        </is>
      </c>
      <c r="D1011" s="68" t="inlineStr">
        <is>
          <t>01</t>
        </is>
      </c>
      <c r="E1011" s="68" t="inlineStr">
        <is>
          <t>8 设备</t>
        </is>
      </c>
      <c r="F1011" s="68" t="inlineStr">
        <is>
          <t>8.5a 承包商供应施工材料和设备</t>
        </is>
      </c>
      <c r="G1011" s="68" t="inlineStr">
        <is>
          <t>8.5.1 空调设备和控制系统</t>
        </is>
      </c>
      <c r="H1011" s="68" t="inlineStr">
        <is>
          <t>8.5.1 空调设备和控制系统</t>
        </is>
      </c>
      <c r="I1011" s="69" t="inlineStr">
        <is>
          <t>1000051732</t>
        </is>
      </c>
      <c r="J1011" s="69" t="inlineStr">
        <is>
          <t>供应(不含安装) 风幕机1500mm</t>
        </is>
      </c>
      <c r="K1011" s="70" t="n"/>
      <c r="L1011" s="70" t="n"/>
      <c r="M1011" s="71" t="inlineStr">
        <is>
          <t>台</t>
        </is>
      </c>
      <c r="N1011" s="72" t="n">
        <v>1600.08</v>
      </c>
      <c r="O1011" s="72">
        <f>ROUND(N1011*(1+$F$10),2)</f>
        <v/>
      </c>
      <c r="P1011" s="73">
        <f>ROUND(K1011*N1011,2)</f>
        <v/>
      </c>
      <c r="Q1011" s="74">
        <f>ROUND(L1011*N1011,2)</f>
        <v/>
      </c>
      <c r="R1011" s="75" t="n"/>
      <c r="S1011" s="76" t="n"/>
      <c r="T1011" s="77">
        <f>K1011-L1011</f>
        <v/>
      </c>
      <c r="U1011" s="77">
        <f>P1011-Q1011</f>
        <v/>
      </c>
      <c r="V1011" s="77">
        <f>ABS(U1011)</f>
        <v/>
      </c>
      <c r="W1011" s="78">
        <f>T1011/L1011</f>
        <v/>
      </c>
      <c r="X1011" s="79">
        <f>ABS(W1011)</f>
        <v/>
      </c>
      <c r="AG1011" s="80" t="inlineStr">
        <is>
          <t>个数</t>
        </is>
      </c>
    </row>
    <row r="1012" ht="11.4" customHeight="1">
      <c r="A1012" s="67" t="inlineStr">
        <is>
          <t>144</t>
        </is>
      </c>
      <c r="B1012" s="67" t="inlineStr">
        <is>
          <t>1150</t>
        </is>
      </c>
      <c r="C1012" s="67" t="inlineStr">
        <is>
          <t>8491</t>
        </is>
      </c>
      <c r="D1012" s="68" t="inlineStr">
        <is>
          <t>01</t>
        </is>
      </c>
      <c r="E1012" s="68" t="inlineStr">
        <is>
          <t>8 设备</t>
        </is>
      </c>
      <c r="F1012" s="68" t="inlineStr">
        <is>
          <t>8.5a 承包商供应施工材料和设备</t>
        </is>
      </c>
      <c r="G1012" s="68" t="inlineStr">
        <is>
          <t>8.5.1 空调设备和控制系统</t>
        </is>
      </c>
      <c r="H1012" s="68" t="inlineStr">
        <is>
          <t>8.5.1 空调设备和控制系统</t>
        </is>
      </c>
      <c r="I1012" s="69" t="inlineStr">
        <is>
          <t>1000021588</t>
        </is>
      </c>
      <c r="J1012" s="69" t="inlineStr">
        <is>
          <t>供应(不含安装) 电加热型 风幕机</t>
        </is>
      </c>
      <c r="K1012" s="70" t="n"/>
      <c r="L1012" s="70" t="n"/>
      <c r="M1012" s="71" t="inlineStr">
        <is>
          <t>只</t>
        </is>
      </c>
      <c r="N1012" s="72" t="n">
        <v>2295.13</v>
      </c>
      <c r="O1012" s="72">
        <f>ROUND(N1012*(1+$F$10),2)</f>
        <v/>
      </c>
      <c r="P1012" s="73">
        <f>ROUND(K1012*N1012,2)</f>
        <v/>
      </c>
      <c r="Q1012" s="74">
        <f>ROUND(L1012*N1012,2)</f>
        <v/>
      </c>
      <c r="R1012" s="75" t="n"/>
      <c r="S1012" s="76" t="n"/>
      <c r="T1012" s="77">
        <f>K1012-L1012</f>
        <v/>
      </c>
      <c r="U1012" s="77">
        <f>P1012-Q1012</f>
        <v/>
      </c>
      <c r="V1012" s="77">
        <f>ABS(U1012)</f>
        <v/>
      </c>
      <c r="W1012" s="78">
        <f>T1012/L1012</f>
        <v/>
      </c>
      <c r="X1012" s="79">
        <f>ABS(W1012)</f>
        <v/>
      </c>
      <c r="AG1012" s="80" t="inlineStr">
        <is>
          <t>个数</t>
        </is>
      </c>
    </row>
    <row r="1013" ht="11.4" customHeight="1">
      <c r="A1013" s="67" t="inlineStr">
        <is>
          <t>144</t>
        </is>
      </c>
      <c r="B1013" s="67" t="inlineStr">
        <is>
          <t>1150</t>
        </is>
      </c>
      <c r="C1013" s="67" t="inlineStr">
        <is>
          <t>8491</t>
        </is>
      </c>
      <c r="D1013" s="68" t="inlineStr">
        <is>
          <t>01</t>
        </is>
      </c>
      <c r="E1013" s="68" t="inlineStr">
        <is>
          <t>8 设备</t>
        </is>
      </c>
      <c r="F1013" s="68" t="inlineStr">
        <is>
          <t>8.5a 承包商供应施工材料和设备</t>
        </is>
      </c>
      <c r="G1013" s="68" t="inlineStr">
        <is>
          <t>8.5.1 空调设备和控制系统</t>
        </is>
      </c>
      <c r="H1013" s="68" t="inlineStr">
        <is>
          <t>8.5.1 空调设备和控制系统</t>
        </is>
      </c>
      <c r="I1013" s="69" t="inlineStr">
        <is>
          <t>1000022086</t>
        </is>
      </c>
      <c r="J1013" s="69" t="inlineStr">
        <is>
          <t>供应（不含安装）新风机/排风机(风量4000CMH及以上）</t>
        </is>
      </c>
      <c r="K1013" s="70" t="n">
        <v>1</v>
      </c>
      <c r="L1013" s="70" t="n">
        <v>1</v>
      </c>
      <c r="M1013" s="71" t="inlineStr">
        <is>
          <t>台</t>
        </is>
      </c>
      <c r="N1013" s="72" t="n">
        <v>2520</v>
      </c>
      <c r="O1013" s="72">
        <f>ROUND(N1013*(1+$F$10),2)</f>
        <v/>
      </c>
      <c r="P1013" s="73">
        <f>ROUND(K1013*N1013,2)</f>
        <v/>
      </c>
      <c r="Q1013" s="74">
        <f>ROUND(L1013*N1013,2)</f>
        <v/>
      </c>
      <c r="R1013" s="75" t="n"/>
      <c r="S1013" s="76" t="n"/>
      <c r="T1013" s="77">
        <f>K1013-L1013</f>
        <v/>
      </c>
      <c r="U1013" s="77">
        <f>P1013-Q1013</f>
        <v/>
      </c>
      <c r="V1013" s="77">
        <f>ABS(U1013)</f>
        <v/>
      </c>
      <c r="W1013" s="78">
        <f>T1013/L1013</f>
        <v/>
      </c>
      <c r="X1013" s="79">
        <f>ABS(W1013)</f>
        <v/>
      </c>
      <c r="AG1013" s="6" t="inlineStr">
        <is>
          <t>根据风量判断清单范围记取个数</t>
        </is>
      </c>
    </row>
    <row r="1014" ht="11.4" customHeight="1">
      <c r="A1014" s="67" t="inlineStr">
        <is>
          <t>144</t>
        </is>
      </c>
      <c r="B1014" s="67" t="inlineStr">
        <is>
          <t>1150</t>
        </is>
      </c>
      <c r="C1014" s="67" t="inlineStr">
        <is>
          <t>8491</t>
        </is>
      </c>
      <c r="D1014" s="68" t="inlineStr">
        <is>
          <t>01</t>
        </is>
      </c>
      <c r="E1014" s="68" t="inlineStr">
        <is>
          <t>8 设备</t>
        </is>
      </c>
      <c r="F1014" s="68" t="inlineStr">
        <is>
          <t>8.5a 承包商供应施工材料和设备</t>
        </is>
      </c>
      <c r="G1014" s="68" t="inlineStr">
        <is>
          <t>8.5.1 空调设备和控制系统</t>
        </is>
      </c>
      <c r="H1014" s="68" t="inlineStr">
        <is>
          <t>8.5.1 空调设备和控制系统</t>
        </is>
      </c>
      <c r="I1014" s="69" t="inlineStr">
        <is>
          <t>1000022087</t>
        </is>
      </c>
      <c r="J1014" s="69" t="inlineStr">
        <is>
          <t>供应（不含安装）新风机/排风机(风量2000-4000CMH）</t>
        </is>
      </c>
      <c r="K1014" s="70" t="n">
        <v>1</v>
      </c>
      <c r="L1014" s="70" t="n">
        <v>1</v>
      </c>
      <c r="M1014" s="71" t="inlineStr">
        <is>
          <t>台</t>
        </is>
      </c>
      <c r="N1014" s="72" t="n">
        <v>1417.5</v>
      </c>
      <c r="O1014" s="72">
        <f>ROUND(N1014*(1+$F$10),2)</f>
        <v/>
      </c>
      <c r="P1014" s="73">
        <f>ROUND(K1014*N1014,2)</f>
        <v/>
      </c>
      <c r="Q1014" s="74">
        <f>ROUND(L1014*N1014,2)</f>
        <v/>
      </c>
      <c r="R1014" s="75" t="n"/>
      <c r="S1014" s="76" t="n"/>
      <c r="T1014" s="77">
        <f>K1014-L1014</f>
        <v/>
      </c>
      <c r="U1014" s="77">
        <f>P1014-Q1014</f>
        <v/>
      </c>
      <c r="V1014" s="77">
        <f>ABS(U1014)</f>
        <v/>
      </c>
      <c r="W1014" s="78">
        <f>T1014/L1014</f>
        <v/>
      </c>
      <c r="X1014" s="79">
        <f>ABS(W1014)</f>
        <v/>
      </c>
      <c r="AG1014" s="6" t="inlineStr">
        <is>
          <t>根据风量判断清单范围记取个数</t>
        </is>
      </c>
    </row>
    <row r="1015" ht="11.4" customHeight="1">
      <c r="A1015" s="67" t="inlineStr">
        <is>
          <t>144</t>
        </is>
      </c>
      <c r="B1015" s="67" t="inlineStr">
        <is>
          <t>1150</t>
        </is>
      </c>
      <c r="C1015" s="67" t="inlineStr">
        <is>
          <t>8491</t>
        </is>
      </c>
      <c r="D1015" s="68" t="inlineStr">
        <is>
          <t>01</t>
        </is>
      </c>
      <c r="E1015" s="68" t="inlineStr">
        <is>
          <t>8 设备</t>
        </is>
      </c>
      <c r="F1015" s="68" t="inlineStr">
        <is>
          <t>8.5a 承包商供应施工材料和设备</t>
        </is>
      </c>
      <c r="G1015" s="68" t="inlineStr">
        <is>
          <t>8.5.1 空调设备和控制系统</t>
        </is>
      </c>
      <c r="H1015" s="68" t="inlineStr">
        <is>
          <t>8.5.1 空调设备和控制系统</t>
        </is>
      </c>
      <c r="I1015" s="69" t="inlineStr">
        <is>
          <t>1000022088</t>
        </is>
      </c>
      <c r="J1015" s="69" t="inlineStr">
        <is>
          <t>供应（不含安装）新风机/排风机(风量2000CMH及以下）</t>
        </is>
      </c>
      <c r="K1015" s="70" t="n">
        <v>1</v>
      </c>
      <c r="L1015" s="70" t="n">
        <v>1</v>
      </c>
      <c r="M1015" s="71" t="inlineStr">
        <is>
          <t>台</t>
        </is>
      </c>
      <c r="N1015" s="72" t="n">
        <v>761.25</v>
      </c>
      <c r="O1015" s="72">
        <f>ROUND(N1015*(1+$F$10),2)</f>
        <v/>
      </c>
      <c r="P1015" s="73">
        <f>ROUND(K1015*N1015,2)</f>
        <v/>
      </c>
      <c r="Q1015" s="74">
        <f>ROUND(L1015*N1015,2)</f>
        <v/>
      </c>
      <c r="R1015" s="75" t="n"/>
      <c r="S1015" s="76" t="n"/>
      <c r="T1015" s="77">
        <f>K1015-L1015</f>
        <v/>
      </c>
      <c r="U1015" s="77">
        <f>P1015-Q1015</f>
        <v/>
      </c>
      <c r="V1015" s="77">
        <f>ABS(U1015)</f>
        <v/>
      </c>
      <c r="W1015" s="78">
        <f>T1015/L1015</f>
        <v/>
      </c>
      <c r="X1015" s="79">
        <f>ABS(W1015)</f>
        <v/>
      </c>
      <c r="AG1015" s="6" t="inlineStr">
        <is>
          <t>根据风量判断清单范围记取个数</t>
        </is>
      </c>
    </row>
    <row r="1016" ht="11.4" customHeight="1">
      <c r="A1016" s="67" t="inlineStr">
        <is>
          <t>144</t>
        </is>
      </c>
      <c r="B1016" s="67" t="inlineStr">
        <is>
          <t>1150</t>
        </is>
      </c>
      <c r="C1016" s="67" t="inlineStr">
        <is>
          <t>8491</t>
        </is>
      </c>
      <c r="D1016" s="68" t="inlineStr">
        <is>
          <t>01</t>
        </is>
      </c>
      <c r="E1016" s="68" t="inlineStr">
        <is>
          <t>8 设备</t>
        </is>
      </c>
      <c r="F1016" s="68" t="inlineStr">
        <is>
          <t>8.5a 承包商供应施工材料和设备</t>
        </is>
      </c>
      <c r="G1016" s="68" t="inlineStr">
        <is>
          <t>8.5.2 空调设备和控制系统</t>
        </is>
      </c>
      <c r="H1016" s="68" t="inlineStr">
        <is>
          <t>8.5.2 空调设备和控制系统</t>
        </is>
      </c>
      <c r="I1016" s="69" t="inlineStr">
        <is>
          <t>1000021590</t>
        </is>
      </c>
      <c r="J1016" s="69" t="inlineStr">
        <is>
          <t>供应(不含安装)小型排风扇</t>
        </is>
      </c>
      <c r="K1016" s="70" t="n">
        <v>2</v>
      </c>
      <c r="L1016" s="70" t="n">
        <v>2</v>
      </c>
      <c r="M1016" s="71" t="inlineStr">
        <is>
          <t>台</t>
        </is>
      </c>
      <c r="N1016" s="72" t="n">
        <v>670.89</v>
      </c>
      <c r="O1016" s="72">
        <f>ROUND(N1016*(1+$F$10),2)</f>
        <v/>
      </c>
      <c r="P1016" s="73">
        <f>ROUND(K1016*N1016,2)</f>
        <v/>
      </c>
      <c r="Q1016" s="74">
        <f>ROUND(L1016*N1016,2)</f>
        <v/>
      </c>
      <c r="R1016" s="75" t="n"/>
      <c r="S1016" s="76" t="n"/>
      <c r="T1016" s="77">
        <f>K1016-L1016</f>
        <v/>
      </c>
      <c r="U1016" s="77">
        <f>P1016-Q1016</f>
        <v/>
      </c>
      <c r="V1016" s="77">
        <f>ABS(U1016)</f>
        <v/>
      </c>
      <c r="W1016" s="78">
        <f>T1016/L1016</f>
        <v/>
      </c>
      <c r="X1016" s="79">
        <f>ABS(W1016)</f>
        <v/>
      </c>
      <c r="AG1016" s="6" t="inlineStr">
        <is>
          <t>个数</t>
        </is>
      </c>
    </row>
    <row r="1017" ht="11.4" customHeight="1">
      <c r="A1017" s="67" t="inlineStr">
        <is>
          <t>145</t>
        </is>
      </c>
      <c r="B1017" s="67" t="inlineStr">
        <is>
          <t>1151</t>
        </is>
      </c>
      <c r="C1017" s="67" t="inlineStr">
        <is>
          <t>8492</t>
        </is>
      </c>
      <c r="D1017" s="68" t="inlineStr">
        <is>
          <t>01</t>
        </is>
      </c>
      <c r="E1017" s="68" t="inlineStr">
        <is>
          <t>8 设备</t>
        </is>
      </c>
      <c r="F1017" s="68" t="inlineStr">
        <is>
          <t>8.5a 承包商供应施工材料和设备</t>
        </is>
      </c>
      <c r="G1017" s="68" t="inlineStr">
        <is>
          <t>8.5.2 热水器</t>
        </is>
      </c>
      <c r="H1017" s="68" t="inlineStr">
        <is>
          <t>热水器</t>
        </is>
      </c>
      <c r="I1017" s="69" t="inlineStr">
        <is>
          <t>1000021591</t>
        </is>
      </c>
      <c r="J1017" s="69" t="inlineStr">
        <is>
          <t>供应(不含安装) 史密斯150升电热水器(KEH)</t>
        </is>
      </c>
      <c r="K1017" s="70" t="n"/>
      <c r="L1017" s="70" t="n"/>
      <c r="M1017" s="71" t="inlineStr">
        <is>
          <t>台</t>
        </is>
      </c>
      <c r="N1017" s="72" t="n">
        <v>7311.91</v>
      </c>
      <c r="O1017" s="72">
        <f>ROUND(N1017*(1+$F$10),2)</f>
        <v/>
      </c>
      <c r="P1017" s="73">
        <f>ROUND(K1017*N1017,2)</f>
        <v/>
      </c>
      <c r="Q1017" s="74">
        <f>ROUND(L1017*N1017,2)</f>
        <v/>
      </c>
      <c r="R1017" s="75" t="n"/>
      <c r="S1017" s="76" t="n"/>
      <c r="T1017" s="77">
        <f>K1017-L1017</f>
        <v/>
      </c>
      <c r="U1017" s="77">
        <f>P1017-Q1017</f>
        <v/>
      </c>
      <c r="V1017" s="77">
        <f>ABS(U1017)</f>
        <v/>
      </c>
      <c r="W1017" s="78">
        <f>T1017/L1017</f>
        <v/>
      </c>
      <c r="X1017" s="79">
        <f>ABS(W1017)</f>
        <v/>
      </c>
      <c r="AG1017" s="6" t="inlineStr">
        <is>
          <t>个数</t>
        </is>
      </c>
    </row>
    <row r="1018" ht="11.4" customHeight="1">
      <c r="A1018" s="67" t="inlineStr">
        <is>
          <t>145</t>
        </is>
      </c>
      <c r="B1018" s="67" t="inlineStr">
        <is>
          <t>1151</t>
        </is>
      </c>
      <c r="C1018" s="67" t="inlineStr">
        <is>
          <t>8492</t>
        </is>
      </c>
      <c r="D1018" s="68" t="inlineStr">
        <is>
          <t>01</t>
        </is>
      </c>
      <c r="E1018" s="68" t="inlineStr">
        <is>
          <t>8 设备</t>
        </is>
      </c>
      <c r="F1018" s="68" t="inlineStr">
        <is>
          <t>8.5a 承包商供应施工材料和设备</t>
        </is>
      </c>
      <c r="G1018" s="68" t="inlineStr">
        <is>
          <t>8.5.2 热水器</t>
        </is>
      </c>
      <c r="H1018" s="68" t="inlineStr">
        <is>
          <t>热水器</t>
        </is>
      </c>
      <c r="I1018" s="69" t="inlineStr">
        <is>
          <t>1000021592</t>
        </is>
      </c>
      <c r="J1018" s="69" t="inlineStr">
        <is>
          <t>供应(不含安装) 史密斯120升电热水器(KEH)</t>
        </is>
      </c>
      <c r="K1018" s="70" t="n">
        <v>1</v>
      </c>
      <c r="L1018" s="70" t="n">
        <v>1</v>
      </c>
      <c r="M1018" s="71" t="inlineStr">
        <is>
          <t>台</t>
        </is>
      </c>
      <c r="N1018" s="72" t="n">
        <v>6891.91</v>
      </c>
      <c r="O1018" s="72">
        <f>ROUND(N1018*(1+$F$10),2)</f>
        <v/>
      </c>
      <c r="P1018" s="73">
        <f>ROUND(K1018*N1018,2)</f>
        <v/>
      </c>
      <c r="Q1018" s="74">
        <f>ROUND(L1018*N1018,2)</f>
        <v/>
      </c>
      <c r="R1018" s="75" t="n"/>
      <c r="S1018" s="76" t="n"/>
      <c r="T1018" s="77">
        <f>K1018-L1018</f>
        <v/>
      </c>
      <c r="U1018" s="77">
        <f>P1018-Q1018</f>
        <v/>
      </c>
      <c r="V1018" s="77">
        <f>ABS(U1018)</f>
        <v/>
      </c>
      <c r="W1018" s="78">
        <f>T1018/L1018</f>
        <v/>
      </c>
      <c r="X1018" s="79">
        <f>ABS(W1018)</f>
        <v/>
      </c>
      <c r="AG1018" s="6" t="inlineStr">
        <is>
          <t>个数</t>
        </is>
      </c>
    </row>
    <row r="1019" ht="11.4" customHeight="1">
      <c r="A1019" s="67" t="inlineStr">
        <is>
          <t>145</t>
        </is>
      </c>
      <c r="B1019" s="67" t="inlineStr">
        <is>
          <t>1151</t>
        </is>
      </c>
      <c r="C1019" s="67" t="inlineStr">
        <is>
          <t>8492</t>
        </is>
      </c>
      <c r="D1019" s="68" t="inlineStr">
        <is>
          <t>01</t>
        </is>
      </c>
      <c r="E1019" s="68" t="inlineStr">
        <is>
          <t>8 设备</t>
        </is>
      </c>
      <c r="F1019" s="68" t="inlineStr">
        <is>
          <t>8.5a 承包商供应施工材料和设备</t>
        </is>
      </c>
      <c r="G1019" s="68" t="inlineStr">
        <is>
          <t>8.5.2 热水器</t>
        </is>
      </c>
      <c r="H1019" s="68" t="inlineStr">
        <is>
          <t>热水器</t>
        </is>
      </c>
      <c r="I1019" s="69" t="inlineStr">
        <is>
          <t>1000021593</t>
        </is>
      </c>
      <c r="J1019" s="69" t="inlineStr">
        <is>
          <t>供应(不含安装) 史密斯60升电热水器</t>
        </is>
      </c>
      <c r="K1019" s="70" t="n"/>
      <c r="L1019" s="70" t="n"/>
      <c r="M1019" s="71" t="inlineStr">
        <is>
          <t>台</t>
        </is>
      </c>
      <c r="N1019" s="72" t="n">
        <v>1399.38</v>
      </c>
      <c r="O1019" s="72">
        <f>ROUND(N1019*(1+$F$10),2)</f>
        <v/>
      </c>
      <c r="P1019" s="73">
        <f>ROUND(K1019*N1019,2)</f>
        <v/>
      </c>
      <c r="Q1019" s="74">
        <f>ROUND(L1019*N1019,2)</f>
        <v/>
      </c>
      <c r="R1019" s="75" t="n"/>
      <c r="S1019" s="76" t="n"/>
      <c r="T1019" s="77">
        <f>K1019-L1019</f>
        <v/>
      </c>
      <c r="U1019" s="77">
        <f>P1019-Q1019</f>
        <v/>
      </c>
      <c r="V1019" s="77">
        <f>ABS(U1019)</f>
        <v/>
      </c>
      <c r="W1019" s="78">
        <f>T1019/L1019</f>
        <v/>
      </c>
      <c r="X1019" s="79">
        <f>ABS(W1019)</f>
        <v/>
      </c>
      <c r="AG1019" s="6" t="inlineStr">
        <is>
          <t>个数</t>
        </is>
      </c>
    </row>
    <row r="1020" ht="11.4" customHeight="1">
      <c r="A1020" s="67" t="inlineStr">
        <is>
          <t>145</t>
        </is>
      </c>
      <c r="B1020" s="67" t="inlineStr">
        <is>
          <t>1151</t>
        </is>
      </c>
      <c r="C1020" s="67" t="inlineStr">
        <is>
          <t>8492</t>
        </is>
      </c>
      <c r="D1020" s="68" t="inlineStr">
        <is>
          <t>01</t>
        </is>
      </c>
      <c r="E1020" s="68" t="inlineStr">
        <is>
          <t>8 设备</t>
        </is>
      </c>
      <c r="F1020" s="68" t="inlineStr">
        <is>
          <t>8.5a 承包商供应施工材料和设备</t>
        </is>
      </c>
      <c r="G1020" s="68" t="inlineStr">
        <is>
          <t>8.5.2 热水器</t>
        </is>
      </c>
      <c r="H1020" s="68" t="inlineStr">
        <is>
          <t>热水器</t>
        </is>
      </c>
      <c r="I1020" s="69" t="inlineStr">
        <is>
          <t>1000040121</t>
        </is>
      </c>
      <c r="J1020" s="69" t="inlineStr">
        <is>
          <t>供应(不含安装) 瑞美150升电热水器</t>
        </is>
      </c>
      <c r="K1020" s="70" t="n"/>
      <c r="L1020" s="70" t="n"/>
      <c r="M1020" s="71" t="inlineStr">
        <is>
          <t>台</t>
        </is>
      </c>
      <c r="N1020" s="72" t="n">
        <v>7312.31</v>
      </c>
      <c r="O1020" s="72">
        <f>ROUND(N1020*(1+$F$10),2)</f>
        <v/>
      </c>
      <c r="P1020" s="73">
        <f>ROUND(K1020*N1020,2)</f>
        <v/>
      </c>
      <c r="Q1020" s="74">
        <f>ROUND(L1020*N1020,2)</f>
        <v/>
      </c>
      <c r="R1020" s="75" t="n"/>
      <c r="S1020" s="76" t="n"/>
      <c r="T1020" s="77">
        <f>K1020-L1020</f>
        <v/>
      </c>
      <c r="U1020" s="77">
        <f>P1020-Q1020</f>
        <v/>
      </c>
      <c r="V1020" s="77">
        <f>ABS(U1020)</f>
        <v/>
      </c>
      <c r="W1020" s="78">
        <f>T1020/L1020</f>
        <v/>
      </c>
      <c r="X1020" s="79">
        <f>ABS(W1020)</f>
        <v/>
      </c>
      <c r="AG1020" s="6" t="inlineStr">
        <is>
          <t>个数</t>
        </is>
      </c>
    </row>
    <row r="1021" ht="11.4" customHeight="1">
      <c r="A1021" s="67" t="inlineStr">
        <is>
          <t>145</t>
        </is>
      </c>
      <c r="B1021" s="67" t="inlineStr">
        <is>
          <t>1151</t>
        </is>
      </c>
      <c r="C1021" s="67" t="inlineStr">
        <is>
          <t>8492</t>
        </is>
      </c>
      <c r="D1021" s="68" t="inlineStr">
        <is>
          <t>01</t>
        </is>
      </c>
      <c r="E1021" s="68" t="inlineStr">
        <is>
          <t>8 设备</t>
        </is>
      </c>
      <c r="F1021" s="68" t="inlineStr">
        <is>
          <t>8.5a 承包商供应施工材料和设备</t>
        </is>
      </c>
      <c r="G1021" s="68" t="inlineStr">
        <is>
          <t>8.5.2 热水器</t>
        </is>
      </c>
      <c r="H1021" s="68" t="inlineStr">
        <is>
          <t>热水器</t>
        </is>
      </c>
      <c r="I1021" s="69" t="inlineStr">
        <is>
          <t>1000040122</t>
        </is>
      </c>
      <c r="J1021" s="69" t="inlineStr">
        <is>
          <t>供应(不含安装) 瑞美120升电热水器</t>
        </is>
      </c>
      <c r="K1021" s="70" t="n"/>
      <c r="L1021" s="70" t="n"/>
      <c r="M1021" s="71" t="inlineStr">
        <is>
          <t>台</t>
        </is>
      </c>
      <c r="N1021" s="72" t="n">
        <v>6892.31</v>
      </c>
      <c r="O1021" s="72">
        <f>ROUND(N1021*(1+$F$10),2)</f>
        <v/>
      </c>
      <c r="P1021" s="73">
        <f>ROUND(K1021*N1021,2)</f>
        <v/>
      </c>
      <c r="Q1021" s="74">
        <f>ROUND(L1021*N1021,2)</f>
        <v/>
      </c>
      <c r="R1021" s="75" t="n"/>
      <c r="S1021" s="76" t="n"/>
      <c r="T1021" s="77">
        <f>K1021-L1021</f>
        <v/>
      </c>
      <c r="U1021" s="77">
        <f>P1021-Q1021</f>
        <v/>
      </c>
      <c r="V1021" s="77">
        <f>ABS(U1021)</f>
        <v/>
      </c>
      <c r="W1021" s="78">
        <f>T1021/L1021</f>
        <v/>
      </c>
      <c r="X1021" s="79">
        <f>ABS(W1021)</f>
        <v/>
      </c>
      <c r="AG1021" s="6" t="inlineStr">
        <is>
          <t>个数</t>
        </is>
      </c>
    </row>
    <row r="1022" ht="11.4" customHeight="1">
      <c r="A1022" s="67" t="inlineStr">
        <is>
          <t>145</t>
        </is>
      </c>
      <c r="B1022" s="67" t="inlineStr">
        <is>
          <t>1151</t>
        </is>
      </c>
      <c r="C1022" s="67" t="inlineStr">
        <is>
          <t>8492</t>
        </is>
      </c>
      <c r="D1022" s="68" t="inlineStr">
        <is>
          <t>01</t>
        </is>
      </c>
      <c r="E1022" s="68" t="inlineStr">
        <is>
          <t>8 设备</t>
        </is>
      </c>
      <c r="F1022" s="68" t="inlineStr">
        <is>
          <t>8.5a 承包商供应施工材料和设备</t>
        </is>
      </c>
      <c r="G1022" s="68" t="inlineStr">
        <is>
          <t>8.5.2 热水器</t>
        </is>
      </c>
      <c r="H1022" s="68" t="inlineStr">
        <is>
          <t>热水器</t>
        </is>
      </c>
      <c r="I1022" s="69" t="inlineStr">
        <is>
          <t>1000040123</t>
        </is>
      </c>
      <c r="J1022" s="69" t="inlineStr">
        <is>
          <t>供应(不含安装) 瑞美60升电热水器</t>
        </is>
      </c>
      <c r="K1022" s="70" t="n"/>
      <c r="L1022" s="70" t="n"/>
      <c r="M1022" s="71" t="inlineStr">
        <is>
          <t>台</t>
        </is>
      </c>
      <c r="N1022" s="72" t="n">
        <v>1400</v>
      </c>
      <c r="O1022" s="72">
        <f>ROUND(N1022*(1+$F$10),2)</f>
        <v/>
      </c>
      <c r="P1022" s="73">
        <f>ROUND(K1022*N1022,2)</f>
        <v/>
      </c>
      <c r="Q1022" s="74">
        <f>ROUND(L1022*N1022,2)</f>
        <v/>
      </c>
      <c r="R1022" s="75" t="n"/>
      <c r="S1022" s="76" t="n"/>
      <c r="T1022" s="77">
        <f>K1022-L1022</f>
        <v/>
      </c>
      <c r="U1022" s="77">
        <f>P1022-Q1022</f>
        <v/>
      </c>
      <c r="V1022" s="77">
        <f>ABS(U1022)</f>
        <v/>
      </c>
      <c r="W1022" s="78">
        <f>T1022/L1022</f>
        <v/>
      </c>
      <c r="X1022" s="79">
        <f>ABS(W1022)</f>
        <v/>
      </c>
      <c r="AG1022" s="6" t="inlineStr">
        <is>
          <t>个数</t>
        </is>
      </c>
    </row>
    <row r="1023" ht="11.4" customHeight="1">
      <c r="A1023" s="67" t="inlineStr">
        <is>
          <t>149</t>
        </is>
      </c>
      <c r="B1023" s="67" t="inlineStr">
        <is>
          <t>1155</t>
        </is>
      </c>
      <c r="C1023" s="67" t="inlineStr">
        <is>
          <t>8496</t>
        </is>
      </c>
      <c r="D1023" s="68" t="inlineStr">
        <is>
          <t>01</t>
        </is>
      </c>
      <c r="E1023" s="68" t="inlineStr">
        <is>
          <t>8 设备</t>
        </is>
      </c>
      <c r="F1023" s="68" t="inlineStr">
        <is>
          <t>8.5a 承包商供应施工材料和设备</t>
        </is>
      </c>
      <c r="G1023" s="68" t="inlineStr">
        <is>
          <t>8.5.6 厨房抽油烟机</t>
        </is>
      </c>
      <c r="H1023" s="68" t="inlineStr">
        <is>
          <t>厨房抽油烟机</t>
        </is>
      </c>
      <c r="I1023" s="69" t="inlineStr">
        <is>
          <t>1000021597</t>
        </is>
      </c>
      <c r="J1023" s="69" t="inlineStr">
        <is>
          <t>供应(不含安装) Infinair 厨房抽油烟机</t>
        </is>
      </c>
      <c r="K1023" s="70" t="n"/>
      <c r="L1023" s="70" t="n"/>
      <c r="M1023" s="71" t="inlineStr">
        <is>
          <t>台</t>
        </is>
      </c>
      <c r="N1023" s="72" t="n">
        <v>3437.7</v>
      </c>
      <c r="O1023" s="72">
        <f>ROUND(N1023*(1+$F$10),2)</f>
        <v/>
      </c>
      <c r="P1023" s="73">
        <f>ROUND(K1023*N1023,2)</f>
        <v/>
      </c>
      <c r="Q1023" s="74">
        <f>ROUND(L1023*N1023,2)</f>
        <v/>
      </c>
      <c r="R1023" s="75" t="n"/>
      <c r="S1023" s="76" t="n"/>
      <c r="T1023" s="77">
        <f>K1023-L1023</f>
        <v/>
      </c>
      <c r="U1023" s="77">
        <f>P1023-Q1023</f>
        <v/>
      </c>
      <c r="V1023" s="77">
        <f>ABS(U1023)</f>
        <v/>
      </c>
      <c r="W1023" s="78">
        <f>T1023/L1023</f>
        <v/>
      </c>
      <c r="X1023" s="79">
        <f>ABS(W1023)</f>
        <v/>
      </c>
      <c r="AG1023" s="80" t="n"/>
      <c r="AH1023" s="80" t="inlineStr">
        <is>
          <t>委托书</t>
        </is>
      </c>
    </row>
    <row r="1024" ht="11.4" customHeight="1">
      <c r="A1024" s="67" t="inlineStr">
        <is>
          <t>149</t>
        </is>
      </c>
      <c r="B1024" s="67" t="inlineStr">
        <is>
          <t>1155</t>
        </is>
      </c>
      <c r="C1024" s="67" t="inlineStr">
        <is>
          <t>8496</t>
        </is>
      </c>
      <c r="D1024" s="68" t="inlineStr">
        <is>
          <t>01</t>
        </is>
      </c>
      <c r="E1024" s="68" t="inlineStr">
        <is>
          <t>8 设备</t>
        </is>
      </c>
      <c r="F1024" s="68" t="inlineStr">
        <is>
          <t>8.5a 承包商供应施工材料和设备</t>
        </is>
      </c>
      <c r="G1024" s="68" t="inlineStr">
        <is>
          <t>8.5.6 厨房抽油烟机</t>
        </is>
      </c>
      <c r="H1024" s="68" t="inlineStr">
        <is>
          <t>厨房抽油烟机</t>
        </is>
      </c>
      <c r="I1024" s="69" t="inlineStr">
        <is>
          <t>1000051730</t>
        </is>
      </c>
      <c r="J1024" s="69" t="inlineStr">
        <is>
          <t>供应(不含安装) Infinair 厨房抽油烟机2.2kw</t>
        </is>
      </c>
      <c r="K1024" s="70" t="n"/>
      <c r="L1024" s="70" t="n"/>
      <c r="M1024" s="71" t="inlineStr">
        <is>
          <t>台</t>
        </is>
      </c>
      <c r="N1024" s="72" t="n">
        <v>4340.7</v>
      </c>
      <c r="O1024" s="72">
        <f>ROUND(N1024*(1+$F$10),2)</f>
        <v/>
      </c>
      <c r="P1024" s="73">
        <f>ROUND(K1024*N1024,2)</f>
        <v/>
      </c>
      <c r="Q1024" s="74">
        <f>ROUND(L1024*N1024,2)</f>
        <v/>
      </c>
      <c r="R1024" s="75" t="n"/>
      <c r="S1024" s="76" t="n"/>
      <c r="T1024" s="77">
        <f>K1024-L1024</f>
        <v/>
      </c>
      <c r="U1024" s="77">
        <f>P1024-Q1024</f>
        <v/>
      </c>
      <c r="V1024" s="77">
        <f>ABS(U1024)</f>
        <v/>
      </c>
      <c r="W1024" s="78">
        <f>T1024/L1024</f>
        <v/>
      </c>
      <c r="X1024" s="79">
        <f>ABS(W1024)</f>
        <v/>
      </c>
      <c r="AG1024" s="80" t="n"/>
      <c r="AH1024" s="80" t="inlineStr">
        <is>
          <t>委托书</t>
        </is>
      </c>
    </row>
    <row r="1025" ht="11.4" customHeight="1">
      <c r="A1025" s="67" t="inlineStr">
        <is>
          <t>150</t>
        </is>
      </c>
      <c r="B1025" s="67" t="inlineStr">
        <is>
          <t>1156</t>
        </is>
      </c>
      <c r="C1025" s="67" t="inlineStr">
        <is>
          <t>8497</t>
        </is>
      </c>
      <c r="D1025" s="68" t="inlineStr">
        <is>
          <t>01</t>
        </is>
      </c>
      <c r="E1025" s="68" t="inlineStr">
        <is>
          <t>8 设备</t>
        </is>
      </c>
      <c r="F1025" s="68" t="inlineStr">
        <is>
          <t>8.5a 承包商供应施工材料和设备</t>
        </is>
      </c>
      <c r="G1025" s="68" t="inlineStr">
        <is>
          <t>8.5.7 其他五金件</t>
        </is>
      </c>
      <c r="H1025" s="68" t="inlineStr">
        <is>
          <t>卷帘门</t>
        </is>
      </c>
      <c r="I1025" s="69" t="inlineStr">
        <is>
          <t>1000022079</t>
        </is>
      </c>
      <c r="J1025" s="69" t="inlineStr">
        <is>
          <t>防盗卷帘门连门框及全部配件</t>
        </is>
      </c>
      <c r="K1025" s="70" t="n"/>
      <c r="L1025" s="70" t="n"/>
      <c r="M1025" s="71" t="inlineStr">
        <is>
          <t>m2</t>
        </is>
      </c>
      <c r="N1025" s="72" t="n">
        <v>298</v>
      </c>
      <c r="O1025" s="72">
        <f>ROUND(N1025*(1+$F$10),2)</f>
        <v/>
      </c>
      <c r="P1025" s="73">
        <f>ROUND(K1025*N1025,2)</f>
        <v/>
      </c>
      <c r="Q1025" s="74">
        <f>ROUND(L1025*N1025,2)</f>
        <v/>
      </c>
      <c r="R1025" s="75" t="n"/>
      <c r="S1025" s="76" t="n"/>
      <c r="T1025" s="77">
        <f>K1025-L1025</f>
        <v/>
      </c>
      <c r="U1025" s="77">
        <f>P1025-Q1025</f>
        <v/>
      </c>
      <c r="V1025" s="77">
        <f>ABS(U1025)</f>
        <v/>
      </c>
      <c r="W1025" s="78">
        <f>T1025/L1025</f>
        <v/>
      </c>
      <c r="X1025" s="79">
        <f>ABS(W1025)</f>
        <v/>
      </c>
      <c r="AG1025" s="80" t="inlineStr">
        <is>
          <t>基本墙面积</t>
        </is>
      </c>
    </row>
    <row r="1026" ht="11.4" customHeight="1">
      <c r="A1026" s="67" t="inlineStr">
        <is>
          <t>150</t>
        </is>
      </c>
      <c r="B1026" s="67" t="inlineStr">
        <is>
          <t>1156</t>
        </is>
      </c>
      <c r="C1026" s="67" t="inlineStr">
        <is>
          <t>8497</t>
        </is>
      </c>
      <c r="D1026" s="68" t="inlineStr">
        <is>
          <t>01</t>
        </is>
      </c>
      <c r="E1026" s="68" t="inlineStr">
        <is>
          <t>8 设备</t>
        </is>
      </c>
      <c r="F1026" s="68" t="inlineStr">
        <is>
          <t>8.5a 承包商供应施工材料和设备</t>
        </is>
      </c>
      <c r="G1026" s="68" t="inlineStr">
        <is>
          <t>8.5.7 其他五金件</t>
        </is>
      </c>
      <c r="H1026" s="68" t="inlineStr">
        <is>
          <t>卷帘门</t>
        </is>
      </c>
      <c r="I1026" s="69" t="inlineStr">
        <is>
          <t>1000022080</t>
        </is>
      </c>
      <c r="J1026" s="69" t="inlineStr">
        <is>
          <t>防盗卷帘门电机系统及全部配件</t>
        </is>
      </c>
      <c r="K1026" s="70" t="n"/>
      <c r="L1026" s="70" t="n"/>
      <c r="M1026" s="71" t="inlineStr">
        <is>
          <t>台</t>
        </is>
      </c>
      <c r="N1026" s="72" t="n">
        <v>2330</v>
      </c>
      <c r="O1026" s="72">
        <f>ROUND(N1026*(1+$F$10),2)</f>
        <v/>
      </c>
      <c r="P1026" s="73">
        <f>ROUND(K1026*N1026,2)</f>
        <v/>
      </c>
      <c r="Q1026" s="74">
        <f>ROUND(L1026*N1026,2)</f>
        <v/>
      </c>
      <c r="R1026" s="75" t="n"/>
      <c r="S1026" s="76" t="n"/>
      <c r="T1026" s="77">
        <f>K1026-L1026</f>
        <v/>
      </c>
      <c r="U1026" s="77">
        <f>P1026-Q1026</f>
        <v/>
      </c>
      <c r="V1026" s="77">
        <f>ABS(U1026)</f>
        <v/>
      </c>
      <c r="W1026" s="78">
        <f>T1026/L1026</f>
        <v/>
      </c>
      <c r="X1026" s="79">
        <f>ABS(W1026)</f>
        <v/>
      </c>
      <c r="AG1026" s="80" t="inlineStr">
        <is>
          <t>个数</t>
        </is>
      </c>
    </row>
    <row r="1027" ht="11.4" customHeight="1">
      <c r="A1027" s="67" t="inlineStr">
        <is>
          <t>123</t>
        </is>
      </c>
      <c r="B1027" s="67" t="inlineStr">
        <is>
          <t>1121</t>
        </is>
      </c>
      <c r="C1027" s="67" t="inlineStr">
        <is>
          <t>8352</t>
        </is>
      </c>
      <c r="D1027" s="68" t="inlineStr">
        <is>
          <t>01</t>
        </is>
      </c>
      <c r="E1027" s="68" t="inlineStr">
        <is>
          <t>8 设备</t>
        </is>
      </c>
      <c r="F1027" s="68" t="inlineStr">
        <is>
          <t>8.7 其他设备</t>
        </is>
      </c>
      <c r="G1027" s="68" t="inlineStr">
        <is>
          <t>其他设备</t>
        </is>
      </c>
      <c r="H1027" s="68" t="inlineStr">
        <is>
          <t>其他设备</t>
        </is>
      </c>
      <c r="I1027" s="69" t="inlineStr">
        <is>
          <t>1000022090</t>
        </is>
      </c>
      <c r="J1027" s="69" t="inlineStr">
        <is>
          <t>冰箱</t>
        </is>
      </c>
      <c r="K1027" s="70" t="n">
        <v>1</v>
      </c>
      <c r="L1027" s="70" t="n">
        <v>1</v>
      </c>
      <c r="M1027" s="71" t="inlineStr">
        <is>
          <t>台</t>
        </is>
      </c>
      <c r="N1027" s="72" t="n">
        <v>881</v>
      </c>
      <c r="O1027" s="72">
        <f>ROUND(N1027*(1+$F$10),2)</f>
        <v/>
      </c>
      <c r="P1027" s="73">
        <f>ROUND(K1027*N1027,2)</f>
        <v/>
      </c>
      <c r="Q1027" s="74">
        <f>ROUND(L1027*N1027,2)</f>
        <v/>
      </c>
      <c r="R1027" s="75" t="n"/>
      <c r="S1027" s="76" t="n"/>
      <c r="T1027" s="77">
        <f>K1027-L1027</f>
        <v/>
      </c>
      <c r="U1027" s="77">
        <f>P1027-Q1027</f>
        <v/>
      </c>
      <c r="V1027" s="77">
        <f>ABS(U1027)</f>
        <v/>
      </c>
      <c r="W1027" s="78">
        <f>T1027/L1027</f>
        <v/>
      </c>
      <c r="X1027" s="79">
        <f>ABS(W1027)</f>
        <v/>
      </c>
      <c r="AH1027" s="80" t="inlineStr">
        <is>
          <t>委托书</t>
        </is>
      </c>
    </row>
    <row r="1028" ht="11.4" customHeight="1">
      <c r="A1028" s="67" t="inlineStr">
        <is>
          <t>152</t>
        </is>
      </c>
      <c r="B1028" s="67" t="inlineStr">
        <is>
          <t>1158</t>
        </is>
      </c>
      <c r="C1028" s="67" t="inlineStr">
        <is>
          <t>8900</t>
        </is>
      </c>
      <c r="D1028" s="68" t="inlineStr">
        <is>
          <t>01</t>
        </is>
      </c>
      <c r="E1028" s="68" t="inlineStr">
        <is>
          <t>8 设备</t>
        </is>
      </c>
      <c r="F1028" s="68" t="inlineStr">
        <is>
          <t>8.7 其他设备</t>
        </is>
      </c>
      <c r="G1028" s="68" t="inlineStr">
        <is>
          <t>其他设备</t>
        </is>
      </c>
      <c r="H1028" s="68" t="inlineStr">
        <is>
          <t>其他设备</t>
        </is>
      </c>
      <c r="I1028" s="69" t="inlineStr">
        <is>
          <t>1000022091</t>
        </is>
      </c>
      <c r="J1028" s="69" t="inlineStr">
        <is>
          <t>饮水机</t>
        </is>
      </c>
      <c r="K1028" s="70" t="n"/>
      <c r="L1028" s="70" t="n"/>
      <c r="M1028" s="71" t="inlineStr">
        <is>
          <t>台</t>
        </is>
      </c>
      <c r="N1028" s="72" t="n">
        <v>258</v>
      </c>
      <c r="O1028" s="72">
        <f>ROUND(N1028*(1+$F$10),2)</f>
        <v/>
      </c>
      <c r="P1028" s="73">
        <f>ROUND(K1028*N1028,2)</f>
        <v/>
      </c>
      <c r="Q1028" s="74">
        <f>ROUND(L1028*N1028,2)</f>
        <v/>
      </c>
      <c r="R1028" s="75" t="n"/>
      <c r="S1028" s="76" t="n"/>
      <c r="T1028" s="77">
        <f>K1028-L1028</f>
        <v/>
      </c>
      <c r="U1028" s="77">
        <f>P1028-Q1028</f>
        <v/>
      </c>
      <c r="V1028" s="77">
        <f>ABS(U1028)</f>
        <v/>
      </c>
      <c r="W1028" s="78">
        <f>T1028/L1028</f>
        <v/>
      </c>
      <c r="X1028" s="79">
        <f>ABS(W1028)</f>
        <v/>
      </c>
      <c r="AH1028" s="80" t="inlineStr">
        <is>
          <t>委托书</t>
        </is>
      </c>
    </row>
    <row r="1029" ht="11.4" customHeight="1">
      <c r="A1029" s="67" t="inlineStr">
        <is>
          <t>138</t>
        </is>
      </c>
      <c r="B1029" s="67" t="inlineStr">
        <is>
          <t>1136</t>
        </is>
      </c>
      <c r="C1029" s="67" t="inlineStr">
        <is>
          <t>8451</t>
        </is>
      </c>
      <c r="D1029" s="68" t="inlineStr">
        <is>
          <t>01</t>
        </is>
      </c>
      <c r="E1029" s="68" t="inlineStr">
        <is>
          <t>8 设备</t>
        </is>
      </c>
      <c r="F1029" s="68" t="inlineStr">
        <is>
          <t>8.7 其他设备</t>
        </is>
      </c>
      <c r="G1029" s="68" t="inlineStr">
        <is>
          <t>其他设备</t>
        </is>
      </c>
      <c r="H1029" s="68" t="inlineStr">
        <is>
          <t>其他设备</t>
        </is>
      </c>
      <c r="I1029" s="69" t="inlineStr">
        <is>
          <t>1000022092</t>
        </is>
      </c>
      <c r="J1029" s="69" t="inlineStr">
        <is>
          <t>电熨斗</t>
        </is>
      </c>
      <c r="K1029" s="70" t="n"/>
      <c r="L1029" s="70" t="n"/>
      <c r="M1029" s="71" t="inlineStr">
        <is>
          <t>台</t>
        </is>
      </c>
      <c r="N1029" s="72" t="n">
        <v>300</v>
      </c>
      <c r="O1029" s="72">
        <f>ROUND(N1029*(1+$F$10),2)</f>
        <v/>
      </c>
      <c r="P1029" s="73">
        <f>ROUND(K1029*N1029,2)</f>
        <v/>
      </c>
      <c r="Q1029" s="74">
        <f>ROUND(L1029*N1029,2)</f>
        <v/>
      </c>
      <c r="R1029" s="75" t="n"/>
      <c r="S1029" s="76" t="n"/>
      <c r="T1029" s="77">
        <f>K1029-L1029</f>
        <v/>
      </c>
      <c r="U1029" s="77">
        <f>P1029-Q1029</f>
        <v/>
      </c>
      <c r="V1029" s="77">
        <f>ABS(U1029)</f>
        <v/>
      </c>
      <c r="W1029" s="78">
        <f>T1029/L1029</f>
        <v/>
      </c>
      <c r="X1029" s="79">
        <f>ABS(W1029)</f>
        <v/>
      </c>
      <c r="AH1029" s="80" t="inlineStr">
        <is>
          <t>委托书</t>
        </is>
      </c>
    </row>
    <row r="1030" ht="11.4" customHeight="1">
      <c r="A1030" s="67" t="inlineStr">
        <is>
          <t>152</t>
        </is>
      </c>
      <c r="B1030" s="67" t="inlineStr">
        <is>
          <t>1158</t>
        </is>
      </c>
      <c r="C1030" s="67" t="inlineStr">
        <is>
          <t>8900</t>
        </is>
      </c>
      <c r="D1030" s="68" t="inlineStr">
        <is>
          <t>01</t>
        </is>
      </c>
      <c r="E1030" s="68" t="inlineStr">
        <is>
          <t>8 设备</t>
        </is>
      </c>
      <c r="F1030" s="68" t="inlineStr">
        <is>
          <t>8.7 其他设备</t>
        </is>
      </c>
      <c r="G1030" s="68" t="inlineStr">
        <is>
          <t>其他设备</t>
        </is>
      </c>
      <c r="H1030" s="68" t="inlineStr">
        <is>
          <t>其他设备</t>
        </is>
      </c>
      <c r="I1030" s="69" t="inlineStr">
        <is>
          <t>1000022081</t>
        </is>
      </c>
      <c r="J1030" s="69" t="inlineStr">
        <is>
          <t>冷冻、冷藏一对(两根)冷媒管</t>
        </is>
      </c>
      <c r="K1030" s="70" t="n"/>
      <c r="L1030" s="70" t="n"/>
      <c r="M1030" s="71" t="inlineStr">
        <is>
          <t>米</t>
        </is>
      </c>
      <c r="N1030" s="72" t="n">
        <v>99.31999999999999</v>
      </c>
      <c r="O1030" s="72">
        <f>ROUND(N1030*(1+$F$10),2)</f>
        <v/>
      </c>
      <c r="P1030" s="73">
        <f>ROUND(K1030*N1030,2)</f>
        <v/>
      </c>
      <c r="Q1030" s="74">
        <f>ROUND(L1030*N1030,2)</f>
        <v/>
      </c>
      <c r="R1030" s="75" t="n"/>
      <c r="S1030" s="76" t="n"/>
      <c r="T1030" s="77">
        <f>K1030-L1030</f>
        <v/>
      </c>
      <c r="U1030" s="77">
        <f>P1030-Q1030</f>
        <v/>
      </c>
      <c r="V1030" s="77">
        <f>ABS(U1030)</f>
        <v/>
      </c>
      <c r="W1030" s="78">
        <f>T1030/L1030</f>
        <v/>
      </c>
      <c r="X1030" s="79">
        <f>ABS(W1030)</f>
        <v/>
      </c>
      <c r="AG1030" s="6" t="inlineStr">
        <is>
          <t>总长度（插件计算）水管</t>
        </is>
      </c>
    </row>
    <row r="1031" ht="11.4" customHeight="1">
      <c r="A1031" s="67" t="inlineStr">
        <is>
          <t>152</t>
        </is>
      </c>
      <c r="B1031" s="67" t="inlineStr">
        <is>
          <t>1158</t>
        </is>
      </c>
      <c r="C1031" s="67" t="inlineStr">
        <is>
          <t>8900</t>
        </is>
      </c>
      <c r="D1031" s="68" t="inlineStr">
        <is>
          <t>01</t>
        </is>
      </c>
      <c r="E1031" s="68" t="inlineStr">
        <is>
          <t>8 设备</t>
        </is>
      </c>
      <c r="F1031" s="68" t="inlineStr">
        <is>
          <t>8.7 其他设备</t>
        </is>
      </c>
      <c r="G1031" s="68" t="inlineStr">
        <is>
          <t>其他设备</t>
        </is>
      </c>
      <c r="H1031" s="68" t="inlineStr">
        <is>
          <t>其他设备</t>
        </is>
      </c>
      <c r="I1031" s="69" t="inlineStr">
        <is>
          <t>1000022082</t>
        </is>
      </c>
      <c r="J1031" s="69" t="inlineStr">
        <is>
          <t>制冰机与汽水机一对(两根)冷媒管</t>
        </is>
      </c>
      <c r="K1031" s="70" t="n"/>
      <c r="L1031" s="70" t="n"/>
      <c r="M1031" s="71" t="inlineStr">
        <is>
          <t>米</t>
        </is>
      </c>
      <c r="N1031" s="72" t="n">
        <v>99.31999999999999</v>
      </c>
      <c r="O1031" s="72">
        <f>ROUND(N1031*(1+$F$10),2)</f>
        <v/>
      </c>
      <c r="P1031" s="73">
        <f>ROUND(K1031*N1031,2)</f>
        <v/>
      </c>
      <c r="Q1031" s="74">
        <f>ROUND(L1031*N1031,2)</f>
        <v/>
      </c>
      <c r="R1031" s="75" t="n"/>
      <c r="S1031" s="76" t="n"/>
      <c r="T1031" s="77">
        <f>K1031-L1031</f>
        <v/>
      </c>
      <c r="U1031" s="77">
        <f>P1031-Q1031</f>
        <v/>
      </c>
      <c r="V1031" s="77">
        <f>ABS(U1031)</f>
        <v/>
      </c>
      <c r="W1031" s="78">
        <f>T1031/L1031</f>
        <v/>
      </c>
      <c r="X1031" s="79">
        <f>ABS(W1031)</f>
        <v/>
      </c>
      <c r="AG1031" s="80" t="inlineStr">
        <is>
          <t>取消</t>
        </is>
      </c>
    </row>
    <row r="1032" ht="11.4" customHeight="1">
      <c r="A1032" s="67" t="inlineStr">
        <is>
          <t>152</t>
        </is>
      </c>
      <c r="B1032" s="67" t="inlineStr">
        <is>
          <t>1158</t>
        </is>
      </c>
      <c r="C1032" s="67" t="inlineStr">
        <is>
          <t>8900</t>
        </is>
      </c>
      <c r="D1032" s="68" t="inlineStr">
        <is>
          <t>01</t>
        </is>
      </c>
      <c r="E1032" s="68" t="inlineStr">
        <is>
          <t>8 设备</t>
        </is>
      </c>
      <c r="F1032" s="68" t="inlineStr">
        <is>
          <t>8.7 其他设备</t>
        </is>
      </c>
      <c r="G1032" s="68" t="inlineStr">
        <is>
          <t>其他设备</t>
        </is>
      </c>
      <c r="H1032" s="68" t="inlineStr">
        <is>
          <t>其他设备</t>
        </is>
      </c>
      <c r="I1032" s="69" t="inlineStr">
        <is>
          <t>1000022093</t>
        </is>
      </c>
      <c r="J1032" s="69" t="inlineStr">
        <is>
          <t>小米随身USB风扇</t>
        </is>
      </c>
      <c r="K1032" s="70" t="n">
        <v>1</v>
      </c>
      <c r="L1032" s="70" t="n">
        <v>1</v>
      </c>
      <c r="M1032" s="71" t="inlineStr">
        <is>
          <t>个</t>
        </is>
      </c>
      <c r="N1032" s="72" t="n">
        <v>21</v>
      </c>
      <c r="O1032" s="72">
        <f>ROUND(N1032*(1+$F$10),2)</f>
        <v/>
      </c>
      <c r="P1032" s="73">
        <f>ROUND(K1032*N1032,2)</f>
        <v/>
      </c>
      <c r="Q1032" s="74">
        <f>ROUND(L1032*N1032,2)</f>
        <v/>
      </c>
      <c r="R1032" s="75" t="n"/>
      <c r="S1032" s="76" t="n"/>
      <c r="T1032" s="77">
        <f>K1032-L1032</f>
        <v/>
      </c>
      <c r="U1032" s="77">
        <f>P1032-Q1032</f>
        <v/>
      </c>
      <c r="V1032" s="77">
        <f>ABS(U1032)</f>
        <v/>
      </c>
      <c r="W1032" s="78">
        <f>T1032/L1032</f>
        <v/>
      </c>
      <c r="X1032" s="79">
        <f>ABS(W1032)</f>
        <v/>
      </c>
      <c r="AH1032" s="6" t="inlineStr">
        <is>
          <t>餐厅常规配置</t>
        </is>
      </c>
    </row>
    <row r="1033" ht="11.4" customHeight="1">
      <c r="A1033" s="67" t="inlineStr">
        <is>
          <t>156</t>
        </is>
      </c>
      <c r="B1033" s="67" t="inlineStr">
        <is>
          <t>1162</t>
        </is>
      </c>
      <c r="C1033" s="67" t="inlineStr">
        <is>
          <t>2991</t>
        </is>
      </c>
      <c r="D1033" s="68" t="inlineStr">
        <is>
          <t>01</t>
        </is>
      </c>
      <c r="E1033" s="68" t="inlineStr">
        <is>
          <t>9 座位</t>
        </is>
      </c>
      <c r="F1033" s="68" t="inlineStr">
        <is>
          <t>9.3 座位安装</t>
        </is>
      </c>
      <c r="G1033" s="68" t="inlineStr">
        <is>
          <t>座位安装</t>
        </is>
      </c>
      <c r="H1033" s="68" t="inlineStr">
        <is>
          <t>座位安装</t>
        </is>
      </c>
      <c r="I1033" s="69" t="inlineStr">
        <is>
          <t>1000022095</t>
        </is>
      </c>
      <c r="J1033" s="69" t="inlineStr">
        <is>
          <t>座位下货及安装</t>
        </is>
      </c>
      <c r="K1033" s="70" t="n">
        <v>1</v>
      </c>
      <c r="L1033" s="70" t="n">
        <v>1</v>
      </c>
      <c r="M1033" s="71" t="inlineStr">
        <is>
          <t>项</t>
        </is>
      </c>
      <c r="N1033" s="72" t="n">
        <v>3735</v>
      </c>
      <c r="O1033" s="72">
        <f>ROUND(N1033*(1+$F$10),2)</f>
        <v/>
      </c>
      <c r="P1033" s="73">
        <f>ROUND(K1033*N1033,2)</f>
        <v/>
      </c>
      <c r="Q1033" s="74">
        <f>ROUND(L1033*N1033,2)</f>
        <v/>
      </c>
      <c r="R1033" s="75" t="n"/>
      <c r="S1033" s="76" t="n"/>
      <c r="T1033" s="77">
        <f>K1033-L1033</f>
        <v/>
      </c>
      <c r="U1033" s="77">
        <f>P1033-Q1033</f>
        <v/>
      </c>
      <c r="V1033" s="77">
        <f>ABS(U1033)</f>
        <v/>
      </c>
      <c r="W1033" s="78">
        <f>T1033/L1033</f>
        <v/>
      </c>
      <c r="X1033" s="79">
        <f>ABS(W1033)</f>
        <v/>
      </c>
      <c r="AH1033" s="6" t="inlineStr">
        <is>
          <t>餐厅常规配置</t>
        </is>
      </c>
    </row>
    <row r="1034" ht="11.4" customHeight="1">
      <c r="A1034" s="67" t="inlineStr">
        <is>
          <t>166</t>
        </is>
      </c>
      <c r="B1034" s="67" t="inlineStr">
        <is>
          <t>1172</t>
        </is>
      </c>
      <c r="C1034" s="67" t="inlineStr">
        <is>
          <t>4081</t>
        </is>
      </c>
      <c r="D1034" s="68" t="inlineStr">
        <is>
          <t>01</t>
        </is>
      </c>
      <c r="E1034" s="68" t="inlineStr">
        <is>
          <t>10 装饰品及其他</t>
        </is>
      </c>
      <c r="F1034" s="68" t="inlineStr">
        <is>
          <t>10.08 其它装饰品</t>
        </is>
      </c>
      <c r="G1034" s="68" t="inlineStr">
        <is>
          <t>室内指示牌</t>
        </is>
      </c>
      <c r="H1034" s="68" t="inlineStr">
        <is>
          <t>室内指示牌</t>
        </is>
      </c>
      <c r="I1034" s="69" t="inlineStr">
        <is>
          <t>1000021598</t>
        </is>
      </c>
      <c r="J1034" s="69" t="inlineStr">
        <is>
          <t>室内指示牌（仅主材）</t>
        </is>
      </c>
      <c r="K1034" s="70" t="n"/>
      <c r="L1034" s="70" t="n"/>
      <c r="M1034" s="71" t="inlineStr">
        <is>
          <t>项</t>
        </is>
      </c>
      <c r="N1034" s="72" t="n">
        <v>538.4400000000001</v>
      </c>
      <c r="O1034" s="72">
        <f>ROUND(N1034*(1+$F$10),2)</f>
        <v/>
      </c>
      <c r="P1034" s="73">
        <f>ROUND(K1034*N1034,2)</f>
        <v/>
      </c>
      <c r="Q1034" s="74">
        <f>ROUND(L1034*N1034,2)</f>
        <v/>
      </c>
      <c r="R1034" s="75" t="n"/>
      <c r="S1034" s="76" t="n"/>
      <c r="T1034" s="77">
        <f>K1034-L1034</f>
        <v/>
      </c>
      <c r="U1034" s="77">
        <f>P1034-Q1034</f>
        <v/>
      </c>
      <c r="V1034" s="77">
        <f>ABS(U1034)</f>
        <v/>
      </c>
      <c r="W1034" s="78">
        <f>T1034/L1034</f>
        <v/>
      </c>
      <c r="X1034" s="79">
        <f>ABS(W1034)</f>
        <v/>
      </c>
      <c r="AH1034" s="6" t="inlineStr">
        <is>
          <t>餐厅常规配置</t>
        </is>
      </c>
    </row>
    <row r="1035" ht="11.4" customHeight="1">
      <c r="A1035" s="67" t="inlineStr">
        <is>
          <t>166</t>
        </is>
      </c>
      <c r="B1035" s="67" t="inlineStr">
        <is>
          <t>1172</t>
        </is>
      </c>
      <c r="C1035" s="67" t="inlineStr">
        <is>
          <t>4081</t>
        </is>
      </c>
      <c r="D1035" s="68" t="inlineStr">
        <is>
          <t>01</t>
        </is>
      </c>
      <c r="E1035" s="68" t="inlineStr">
        <is>
          <t>10 装饰品及其他</t>
        </is>
      </c>
      <c r="F1035" s="68" t="inlineStr">
        <is>
          <t>10.08 其它装饰品</t>
        </is>
      </c>
      <c r="G1035" s="68" t="inlineStr">
        <is>
          <t>室内指示牌</t>
        </is>
      </c>
      <c r="H1035" s="68" t="inlineStr">
        <is>
          <t>室内指示牌</t>
        </is>
      </c>
      <c r="I1035" s="69" t="inlineStr">
        <is>
          <t>1000022096</t>
        </is>
      </c>
      <c r="J1035" s="69" t="inlineStr">
        <is>
          <t>室内指示牌安装</t>
        </is>
      </c>
      <c r="K1035" s="83" t="n"/>
      <c r="L1035" s="70" t="n">
        <v>1</v>
      </c>
      <c r="M1035" s="71" t="inlineStr">
        <is>
          <t>项</t>
        </is>
      </c>
      <c r="N1035" s="72" t="n">
        <v>200.08</v>
      </c>
      <c r="O1035" s="72">
        <f>ROUND(N1035*(1+$F$10),2)</f>
        <v/>
      </c>
      <c r="P1035" s="73">
        <f>ROUND(K1035*N1035,2)</f>
        <v/>
      </c>
      <c r="Q1035" s="74">
        <f>ROUND(L1035*N1035,2)</f>
        <v/>
      </c>
      <c r="R1035" s="75" t="n"/>
      <c r="S1035" s="76" t="n"/>
      <c r="T1035" s="77">
        <f>K1035-L1035</f>
        <v/>
      </c>
      <c r="U1035" s="77">
        <f>P1035-Q1035</f>
        <v/>
      </c>
      <c r="V1035" s="77">
        <f>ABS(U1035)</f>
        <v/>
      </c>
      <c r="W1035" s="78">
        <f>T1035/L1035</f>
        <v/>
      </c>
      <c r="X1035" s="79">
        <f>ABS(W1035)</f>
        <v/>
      </c>
      <c r="AH1035" s="6" t="inlineStr">
        <is>
          <t>餐厅常规配置</t>
        </is>
      </c>
    </row>
    <row r="1036" ht="11.4" customHeight="1">
      <c r="A1036" s="67" t="inlineStr">
        <is>
          <t>165</t>
        </is>
      </c>
      <c r="B1036" s="67" t="inlineStr">
        <is>
          <t>1171</t>
        </is>
      </c>
      <c r="C1036" s="67" t="inlineStr">
        <is>
          <t>4007</t>
        </is>
      </c>
      <c r="D1036" s="68" t="inlineStr">
        <is>
          <t>01</t>
        </is>
      </c>
      <c r="E1036" s="68" t="inlineStr">
        <is>
          <t>10 装饰品及其他</t>
        </is>
      </c>
      <c r="F1036" s="68" t="inlineStr">
        <is>
          <t>10.07 主题装饰品</t>
        </is>
      </c>
      <c r="G1036" s="68" t="inlineStr">
        <is>
          <t>主题装饰（由承包商采购）</t>
        </is>
      </c>
      <c r="H1036" s="68" t="inlineStr">
        <is>
          <t>主题装饰（由承包商采购）</t>
        </is>
      </c>
      <c r="I1036" s="69" t="inlineStr">
        <is>
          <t>1000040117</t>
        </is>
      </c>
      <c r="J1036" s="69" t="inlineStr">
        <is>
          <t>主题装饰（由承包商采购的龙门架、屏风、吊灯、沟通栏等）</t>
        </is>
      </c>
      <c r="K1036" s="70" t="n"/>
      <c r="L1036" s="70" t="n"/>
      <c r="M1036" s="71" t="inlineStr">
        <is>
          <t>项</t>
        </is>
      </c>
      <c r="N1036" s="72" t="n"/>
      <c r="O1036" s="72">
        <f>ROUND(N1036*(1+$F$10),2)</f>
        <v/>
      </c>
      <c r="P1036" s="73">
        <f>ROUND(K1036*N1036,2)</f>
        <v/>
      </c>
      <c r="Q1036" s="74">
        <f>ROUND(L1036*N1036,2)</f>
        <v/>
      </c>
      <c r="R1036" s="75" t="n"/>
      <c r="S1036" s="76" t="n"/>
      <c r="T1036" s="77">
        <f>K1036-L1036</f>
        <v/>
      </c>
      <c r="U1036" s="77">
        <f>P1036-Q1036</f>
        <v/>
      </c>
      <c r="V1036" s="77">
        <f>ABS(U1036)</f>
        <v/>
      </c>
      <c r="W1036" s="78">
        <f>T1036/L1036</f>
        <v/>
      </c>
      <c r="X1036" s="79">
        <f>ABS(W1036)</f>
        <v/>
      </c>
      <c r="AH1036" s="80" t="inlineStr">
        <is>
          <t>待定</t>
        </is>
      </c>
    </row>
    <row r="1037" ht="11.4" customHeight="1">
      <c r="A1037" s="67" t="inlineStr">
        <is>
          <t>165</t>
        </is>
      </c>
      <c r="B1037" s="67" t="inlineStr">
        <is>
          <t>1171</t>
        </is>
      </c>
      <c r="C1037" s="67" t="inlineStr">
        <is>
          <t>4007</t>
        </is>
      </c>
      <c r="D1037" s="68" t="inlineStr">
        <is>
          <t>01</t>
        </is>
      </c>
      <c r="E1037" s="68" t="inlineStr">
        <is>
          <t>10 装饰品及其他</t>
        </is>
      </c>
      <c r="F1037" s="68" t="inlineStr">
        <is>
          <t>10.07 主题装饰品</t>
        </is>
      </c>
      <c r="G1037" s="68" t="inlineStr">
        <is>
          <t>主题装饰（由承包商采购）</t>
        </is>
      </c>
      <c r="H1037" s="68" t="inlineStr">
        <is>
          <t>主题装饰（由承包商采购）</t>
        </is>
      </c>
      <c r="I1037" s="69" t="inlineStr">
        <is>
          <t>1000021609</t>
        </is>
      </c>
      <c r="J1037" s="69" t="inlineStr">
        <is>
          <t>挂画Alp主材(600*900)</t>
        </is>
      </c>
      <c r="K1037" s="70" t="n"/>
      <c r="L1037" s="70" t="n"/>
      <c r="M1037" s="71" t="inlineStr">
        <is>
          <t>个</t>
        </is>
      </c>
      <c r="N1037" s="72" t="n"/>
      <c r="O1037" s="72">
        <f>ROUND(N1037*(1+$F$10),2)</f>
        <v/>
      </c>
      <c r="P1037" s="73">
        <f>ROUND(K1037*N1037,2)</f>
        <v/>
      </c>
      <c r="Q1037" s="74">
        <f>ROUND(L1037*N1037,2)</f>
        <v/>
      </c>
      <c r="R1037" s="75" t="n"/>
      <c r="S1037" s="76" t="n"/>
      <c r="T1037" s="77">
        <f>K1037-L1037</f>
        <v/>
      </c>
      <c r="U1037" s="77">
        <f>P1037-Q1037</f>
        <v/>
      </c>
      <c r="V1037" s="77">
        <f>ABS(U1037)</f>
        <v/>
      </c>
      <c r="W1037" s="78">
        <f>T1037/L1037</f>
        <v/>
      </c>
      <c r="X1037" s="79">
        <f>ABS(W1037)</f>
        <v/>
      </c>
      <c r="AH1037" s="80" t="inlineStr">
        <is>
          <t>待定</t>
        </is>
      </c>
    </row>
    <row r="1038" ht="11.4" customHeight="1">
      <c r="A1038" s="67" t="inlineStr">
        <is>
          <t>165</t>
        </is>
      </c>
      <c r="B1038" s="67" t="inlineStr">
        <is>
          <t>1171</t>
        </is>
      </c>
      <c r="C1038" s="67" t="inlineStr">
        <is>
          <t>4007</t>
        </is>
      </c>
      <c r="D1038" s="68" t="inlineStr">
        <is>
          <t>01</t>
        </is>
      </c>
      <c r="E1038" s="68" t="inlineStr">
        <is>
          <t>10 装饰品及其他</t>
        </is>
      </c>
      <c r="F1038" s="68" t="inlineStr">
        <is>
          <t>10.07 主题装饰品</t>
        </is>
      </c>
      <c r="G1038" s="68" t="inlineStr">
        <is>
          <t>主题装饰（由承包商采购）</t>
        </is>
      </c>
      <c r="H1038" s="68" t="inlineStr">
        <is>
          <t>主题装饰（由承包商采购）</t>
        </is>
      </c>
      <c r="I1038" s="69" t="inlineStr">
        <is>
          <t>1000021610</t>
        </is>
      </c>
      <c r="J1038" s="69" t="inlineStr">
        <is>
          <t>挂画Alp主材(1240*1800)</t>
        </is>
      </c>
      <c r="K1038" s="70" t="n"/>
      <c r="L1038" s="70" t="n"/>
      <c r="M1038" s="71" t="inlineStr">
        <is>
          <t>个</t>
        </is>
      </c>
      <c r="N1038" s="72" t="n"/>
      <c r="O1038" s="72">
        <f>ROUND(N1038*(1+$F$10),2)</f>
        <v/>
      </c>
      <c r="P1038" s="73">
        <f>ROUND(K1038*N1038,2)</f>
        <v/>
      </c>
      <c r="Q1038" s="74">
        <f>ROUND(L1038*N1038,2)</f>
        <v/>
      </c>
      <c r="R1038" s="75" t="n"/>
      <c r="S1038" s="76" t="n"/>
      <c r="T1038" s="77">
        <f>K1038-L1038</f>
        <v/>
      </c>
      <c r="U1038" s="77">
        <f>P1038-Q1038</f>
        <v/>
      </c>
      <c r="V1038" s="77">
        <f>ABS(U1038)</f>
        <v/>
      </c>
      <c r="W1038" s="78">
        <f>T1038/L1038</f>
        <v/>
      </c>
      <c r="X1038" s="79">
        <f>ABS(W1038)</f>
        <v/>
      </c>
      <c r="AH1038" s="80" t="inlineStr">
        <is>
          <t>待定</t>
        </is>
      </c>
    </row>
    <row r="1039" ht="11.4" customHeight="1">
      <c r="A1039" s="67" t="inlineStr">
        <is>
          <t>165</t>
        </is>
      </c>
      <c r="B1039" s="67" t="inlineStr">
        <is>
          <t>1171</t>
        </is>
      </c>
      <c r="C1039" s="67" t="inlineStr">
        <is>
          <t>4007</t>
        </is>
      </c>
      <c r="D1039" s="68" t="inlineStr">
        <is>
          <t>01</t>
        </is>
      </c>
      <c r="E1039" s="68" t="inlineStr">
        <is>
          <t>10 装饰品及其他</t>
        </is>
      </c>
      <c r="F1039" s="68" t="inlineStr">
        <is>
          <t>10.07 主题装饰品</t>
        </is>
      </c>
      <c r="G1039" s="68" t="inlineStr">
        <is>
          <t>主题装饰（由承包商采购）</t>
        </is>
      </c>
      <c r="H1039" s="68" t="inlineStr">
        <is>
          <t>主题装饰（由承包商采购）</t>
        </is>
      </c>
      <c r="I1039" s="69" t="inlineStr">
        <is>
          <t>1000040085</t>
        </is>
      </c>
      <c r="J1039" s="69" t="inlineStr">
        <is>
          <t>挂画Ele主材(295*400)</t>
        </is>
      </c>
      <c r="K1039" s="70" t="n"/>
      <c r="L1039" s="70" t="n"/>
      <c r="M1039" s="71" t="inlineStr">
        <is>
          <t>个</t>
        </is>
      </c>
      <c r="N1039" s="72" t="n">
        <v>495.5</v>
      </c>
      <c r="O1039" s="72">
        <f>ROUND(N1039*(1+$F$10),2)</f>
        <v/>
      </c>
      <c r="P1039" s="73">
        <f>ROUND(K1039*N1039,2)</f>
        <v/>
      </c>
      <c r="Q1039" s="74">
        <f>ROUND(L1039*N1039,2)</f>
        <v/>
      </c>
      <c r="R1039" s="75" t="n"/>
      <c r="S1039" s="76" t="n"/>
      <c r="T1039" s="77">
        <f>K1039-L1039</f>
        <v/>
      </c>
      <c r="U1039" s="77">
        <f>P1039-Q1039</f>
        <v/>
      </c>
      <c r="V1039" s="77">
        <f>ABS(U1039)</f>
        <v/>
      </c>
      <c r="W1039" s="78">
        <f>T1039/L1039</f>
        <v/>
      </c>
      <c r="X1039" s="79">
        <f>ABS(W1039)</f>
        <v/>
      </c>
      <c r="AH1039" s="80" t="inlineStr">
        <is>
          <t>待定</t>
        </is>
      </c>
    </row>
    <row r="1040" ht="11.4" customHeight="1">
      <c r="A1040" s="67" t="inlineStr">
        <is>
          <t>165</t>
        </is>
      </c>
      <c r="B1040" s="67" t="inlineStr">
        <is>
          <t>1171</t>
        </is>
      </c>
      <c r="C1040" s="67" t="inlineStr">
        <is>
          <t>4007</t>
        </is>
      </c>
      <c r="D1040" s="68" t="inlineStr">
        <is>
          <t>01</t>
        </is>
      </c>
      <c r="E1040" s="68" t="inlineStr">
        <is>
          <t>10 装饰品及其他</t>
        </is>
      </c>
      <c r="F1040" s="68" t="inlineStr">
        <is>
          <t>10.07 主题装饰品</t>
        </is>
      </c>
      <c r="G1040" s="68" t="inlineStr">
        <is>
          <t>主题装饰（由承包商采购）</t>
        </is>
      </c>
      <c r="H1040" s="68" t="inlineStr">
        <is>
          <t>主题装饰（由承包商采购）</t>
        </is>
      </c>
      <c r="I1040" s="69" t="inlineStr">
        <is>
          <t>1000040086</t>
        </is>
      </c>
      <c r="J1040" s="69" t="inlineStr">
        <is>
          <t>挂画Ele主材(350*450)</t>
        </is>
      </c>
      <c r="K1040" s="70" t="n"/>
      <c r="L1040" s="70" t="n"/>
      <c r="M1040" s="71" t="inlineStr">
        <is>
          <t>个</t>
        </is>
      </c>
      <c r="N1040" s="72" t="n">
        <v>553.15</v>
      </c>
      <c r="O1040" s="72">
        <f>ROUND(N1040*(1+$F$10),2)</f>
        <v/>
      </c>
      <c r="P1040" s="73">
        <f>ROUND(K1040*N1040,2)</f>
        <v/>
      </c>
      <c r="Q1040" s="74">
        <f>ROUND(L1040*N1040,2)</f>
        <v/>
      </c>
      <c r="R1040" s="75" t="n"/>
      <c r="S1040" s="76" t="n"/>
      <c r="T1040" s="77">
        <f>K1040-L1040</f>
        <v/>
      </c>
      <c r="U1040" s="77">
        <f>P1040-Q1040</f>
        <v/>
      </c>
      <c r="V1040" s="77">
        <f>ABS(U1040)</f>
        <v/>
      </c>
      <c r="W1040" s="78">
        <f>T1040/L1040</f>
        <v/>
      </c>
      <c r="X1040" s="79">
        <f>ABS(W1040)</f>
        <v/>
      </c>
      <c r="AH1040" s="80" t="inlineStr">
        <is>
          <t>待定</t>
        </is>
      </c>
    </row>
    <row r="1041" ht="11.4" customHeight="1">
      <c r="A1041" s="67" t="inlineStr">
        <is>
          <t>167</t>
        </is>
      </c>
      <c r="B1041" s="67" t="inlineStr">
        <is>
          <t>1173</t>
        </is>
      </c>
      <c r="C1041" s="67" t="inlineStr">
        <is>
          <t>4991</t>
        </is>
      </c>
      <c r="D1041" s="68" t="inlineStr">
        <is>
          <t>01</t>
        </is>
      </c>
      <c r="E1041" s="68" t="inlineStr">
        <is>
          <t>10 装饰品及其他</t>
        </is>
      </c>
      <c r="F1041" s="68" t="inlineStr">
        <is>
          <t>10.09 装饰品安装</t>
        </is>
      </c>
      <c r="G1041" s="68" t="inlineStr">
        <is>
          <t>装饰品安装</t>
        </is>
      </c>
      <c r="H1041" s="68" t="inlineStr">
        <is>
          <t>装饰品安装</t>
        </is>
      </c>
      <c r="I1041" s="69" t="inlineStr">
        <is>
          <t>1000022097</t>
        </is>
      </c>
      <c r="J1041" s="69" t="inlineStr">
        <is>
          <t>儿童乐园安装（地垫、软包、游乐设施）</t>
        </is>
      </c>
      <c r="K1041" s="70" t="n"/>
      <c r="L1041" s="70" t="n"/>
      <c r="M1041" s="71" t="inlineStr">
        <is>
          <t>项</t>
        </is>
      </c>
      <c r="N1041" s="72" t="n">
        <v>3715</v>
      </c>
      <c r="O1041" s="72">
        <f>ROUND(N1041*(1+$F$10),2)</f>
        <v/>
      </c>
      <c r="P1041" s="73">
        <f>ROUND(K1041*N1041,2)</f>
        <v/>
      </c>
      <c r="Q1041" s="74">
        <f>ROUND(L1041*N1041,2)</f>
        <v/>
      </c>
      <c r="R1041" s="75" t="n"/>
      <c r="S1041" s="76" t="n"/>
      <c r="T1041" s="77">
        <f>K1041-L1041</f>
        <v/>
      </c>
      <c r="U1041" s="77">
        <f>P1041-Q1041</f>
        <v/>
      </c>
      <c r="V1041" s="77">
        <f>ABS(U1041)</f>
        <v/>
      </c>
      <c r="W1041" s="78">
        <f>T1041/L1041</f>
        <v/>
      </c>
      <c r="X1041" s="79">
        <f>ABS(W1041)</f>
        <v/>
      </c>
      <c r="AH1041" s="80" t="inlineStr">
        <is>
          <t>委托书</t>
        </is>
      </c>
    </row>
    <row r="1042" ht="11.4" customHeight="1">
      <c r="A1042" s="67" t="inlineStr">
        <is>
          <t>167</t>
        </is>
      </c>
      <c r="B1042" s="67" t="inlineStr">
        <is>
          <t>1173</t>
        </is>
      </c>
      <c r="C1042" s="67" t="inlineStr">
        <is>
          <t>4991</t>
        </is>
      </c>
      <c r="D1042" s="68" t="inlineStr">
        <is>
          <t>01</t>
        </is>
      </c>
      <c r="E1042" s="68" t="inlineStr">
        <is>
          <t>10 装饰品及其他</t>
        </is>
      </c>
      <c r="F1042" s="68" t="inlineStr">
        <is>
          <t>10.09 装饰品安装</t>
        </is>
      </c>
      <c r="G1042" s="68" t="inlineStr">
        <is>
          <t>装饰品安装</t>
        </is>
      </c>
      <c r="H1042" s="68" t="inlineStr">
        <is>
          <t>装饰品安装</t>
        </is>
      </c>
      <c r="I1042" s="69" t="inlineStr">
        <is>
          <t>1000022098</t>
        </is>
      </c>
      <c r="J1042" s="69" t="inlineStr">
        <is>
          <t>happy meal安装</t>
        </is>
      </c>
      <c r="K1042" s="70" t="n"/>
      <c r="L1042" s="70" t="n"/>
      <c r="M1042" s="71" t="inlineStr">
        <is>
          <t>个</t>
        </is>
      </c>
      <c r="N1042" s="72" t="n">
        <v>395.49</v>
      </c>
      <c r="O1042" s="72">
        <f>ROUND(N1042*(1+$F$10),2)</f>
        <v/>
      </c>
      <c r="P1042" s="73">
        <f>ROUND(K1042*N1042,2)</f>
        <v/>
      </c>
      <c r="Q1042" s="74">
        <f>ROUND(L1042*N1042,2)</f>
        <v/>
      </c>
      <c r="R1042" s="75" t="n"/>
      <c r="S1042" s="76" t="n"/>
      <c r="T1042" s="77">
        <f>K1042-L1042</f>
        <v/>
      </c>
      <c r="U1042" s="77">
        <f>P1042-Q1042</f>
        <v/>
      </c>
      <c r="V1042" s="77">
        <f>ABS(U1042)</f>
        <v/>
      </c>
      <c r="W1042" s="78">
        <f>T1042/L1042</f>
        <v/>
      </c>
      <c r="X1042" s="79">
        <f>ABS(W1042)</f>
        <v/>
      </c>
      <c r="AG1042" s="80" t="inlineStr">
        <is>
          <t>个数</t>
        </is>
      </c>
    </row>
    <row r="1043" ht="11.4" customHeight="1">
      <c r="A1043" s="67" t="inlineStr">
        <is>
          <t>167</t>
        </is>
      </c>
      <c r="B1043" s="67" t="inlineStr">
        <is>
          <t>1173</t>
        </is>
      </c>
      <c r="C1043" s="67" t="inlineStr">
        <is>
          <t>4991</t>
        </is>
      </c>
      <c r="D1043" s="68" t="inlineStr">
        <is>
          <t>01</t>
        </is>
      </c>
      <c r="E1043" s="68" t="inlineStr">
        <is>
          <t>10 装饰品及其他</t>
        </is>
      </c>
      <c r="F1043" s="68" t="inlineStr">
        <is>
          <t>10.09 装饰品安装</t>
        </is>
      </c>
      <c r="G1043" s="68" t="inlineStr">
        <is>
          <t>装饰品安装</t>
        </is>
      </c>
      <c r="H1043" s="68" t="inlineStr">
        <is>
          <t>装饰品安装</t>
        </is>
      </c>
      <c r="I1043" s="69" t="inlineStr">
        <is>
          <t>1000022099</t>
        </is>
      </c>
      <c r="J1043" s="69" t="inlineStr">
        <is>
          <t>成品龙门架安装（含结构钢架）</t>
        </is>
      </c>
      <c r="K1043" s="70" t="n"/>
      <c r="L1043" s="70" t="n"/>
      <c r="M1043" s="71" t="inlineStr">
        <is>
          <t>米</t>
        </is>
      </c>
      <c r="N1043" s="72" t="n">
        <v>103.83</v>
      </c>
      <c r="O1043" s="72">
        <f>ROUND(N1043*(1+$F$10),2)</f>
        <v/>
      </c>
      <c r="P1043" s="73">
        <f>ROUND(K1043*N1043,2)</f>
        <v/>
      </c>
      <c r="Q1043" s="74">
        <f>ROUND(L1043*N1043,2)</f>
        <v/>
      </c>
      <c r="R1043" s="75" t="n"/>
      <c r="S1043" s="76" t="n"/>
      <c r="T1043" s="77">
        <f>K1043-L1043</f>
        <v/>
      </c>
      <c r="U1043" s="77">
        <f>P1043-Q1043</f>
        <v/>
      </c>
      <c r="V1043" s="77">
        <f>ABS(U1043)</f>
        <v/>
      </c>
      <c r="W1043" s="78">
        <f>T1043/L1043</f>
        <v/>
      </c>
      <c r="X1043" s="79">
        <f>ABS(W1043)</f>
        <v/>
      </c>
      <c r="AH1043" s="80" t="inlineStr">
        <is>
          <t>待定</t>
        </is>
      </c>
    </row>
    <row r="1044" ht="11.4" customHeight="1">
      <c r="A1044" s="67" t="inlineStr">
        <is>
          <t>167</t>
        </is>
      </c>
      <c r="B1044" s="67" t="inlineStr">
        <is>
          <t>1173</t>
        </is>
      </c>
      <c r="C1044" s="67" t="inlineStr">
        <is>
          <t>4991</t>
        </is>
      </c>
      <c r="D1044" s="68" t="inlineStr">
        <is>
          <t>01</t>
        </is>
      </c>
      <c r="E1044" s="68" t="inlineStr">
        <is>
          <t>10 装饰品及其他</t>
        </is>
      </c>
      <c r="F1044" s="68" t="inlineStr">
        <is>
          <t>10.09 装饰品安装</t>
        </is>
      </c>
      <c r="G1044" s="68" t="inlineStr">
        <is>
          <t>装饰品安装</t>
        </is>
      </c>
      <c r="H1044" s="68" t="inlineStr">
        <is>
          <t>装饰品安装</t>
        </is>
      </c>
      <c r="I1044" s="69" t="inlineStr">
        <is>
          <t>1000022100</t>
        </is>
      </c>
      <c r="J1044" s="69" t="inlineStr">
        <is>
          <t>挂画安装</t>
        </is>
      </c>
      <c r="K1044" s="70" t="n">
        <v>12</v>
      </c>
      <c r="L1044" s="70" t="n">
        <v>12</v>
      </c>
      <c r="M1044" s="71" t="inlineStr">
        <is>
          <t>个</t>
        </is>
      </c>
      <c r="N1044" s="72" t="n">
        <v>24.29</v>
      </c>
      <c r="O1044" s="72">
        <f>ROUND(N1044*(1+$F$10),2)</f>
        <v/>
      </c>
      <c r="P1044" s="73">
        <f>ROUND(K1044*N1044,2)</f>
        <v/>
      </c>
      <c r="Q1044" s="74">
        <f>ROUND(L1044*N1044,2)</f>
        <v/>
      </c>
      <c r="R1044" s="75" t="n"/>
      <c r="S1044" s="76" t="n"/>
      <c r="T1044" s="77">
        <f>K1044-L1044</f>
        <v/>
      </c>
      <c r="U1044" s="77">
        <f>P1044-Q1044</f>
        <v/>
      </c>
      <c r="V1044" s="77">
        <f>ABS(U1044)</f>
        <v/>
      </c>
      <c r="W1044" s="78">
        <f>T1044/L1044</f>
        <v/>
      </c>
      <c r="X1044" s="79">
        <f>ABS(W1044)</f>
        <v/>
      </c>
      <c r="AG1044" s="80" t="inlineStr">
        <is>
          <t>个数</t>
        </is>
      </c>
    </row>
    <row r="1045" ht="11.4" customHeight="1">
      <c r="A1045" s="67" t="inlineStr">
        <is>
          <t>167</t>
        </is>
      </c>
      <c r="B1045" s="67" t="inlineStr">
        <is>
          <t>1173</t>
        </is>
      </c>
      <c r="C1045" s="67" t="inlineStr">
        <is>
          <t>4991</t>
        </is>
      </c>
      <c r="D1045" s="68" t="inlineStr">
        <is>
          <t>01</t>
        </is>
      </c>
      <c r="E1045" s="68" t="inlineStr">
        <is>
          <t>10 装饰品及其他</t>
        </is>
      </c>
      <c r="F1045" s="68" t="inlineStr">
        <is>
          <t>10.09 装饰品安装</t>
        </is>
      </c>
      <c r="G1045" s="68" t="inlineStr">
        <is>
          <t>装饰品安装</t>
        </is>
      </c>
      <c r="H1045" s="68" t="inlineStr">
        <is>
          <t>装饰品安装</t>
        </is>
      </c>
      <c r="I1045" s="69" t="inlineStr">
        <is>
          <t>1000022101</t>
        </is>
      </c>
      <c r="J1045" s="69" t="inlineStr">
        <is>
          <t>装饰品隔断安装（1组3个小隔断）</t>
        </is>
      </c>
      <c r="K1045" s="70" t="n"/>
      <c r="L1045" s="70" t="n"/>
      <c r="M1045" s="71" t="inlineStr">
        <is>
          <t>项</t>
        </is>
      </c>
      <c r="N1045" s="72" t="n">
        <v>784.55</v>
      </c>
      <c r="O1045" s="72">
        <f>ROUND(N1045*(1+$F$10),2)</f>
        <v/>
      </c>
      <c r="P1045" s="73">
        <f>ROUND(K1045*N1045,2)</f>
        <v/>
      </c>
      <c r="Q1045" s="74">
        <f>ROUND(L1045*N1045,2)</f>
        <v/>
      </c>
      <c r="R1045" s="75" t="n"/>
      <c r="S1045" s="76" t="n"/>
      <c r="T1045" s="77">
        <f>K1045-L1045</f>
        <v/>
      </c>
      <c r="U1045" s="77">
        <f>P1045-Q1045</f>
        <v/>
      </c>
      <c r="V1045" s="77">
        <f>ABS(U1045)</f>
        <v/>
      </c>
      <c r="W1045" s="78">
        <f>T1045/L1045</f>
        <v/>
      </c>
      <c r="X1045" s="79">
        <f>ABS(W1045)</f>
        <v/>
      </c>
      <c r="AH1045" s="80" t="inlineStr">
        <is>
          <t>待定</t>
        </is>
      </c>
    </row>
    <row r="1046" ht="11.4" customHeight="1">
      <c r="A1046" s="67" t="inlineStr">
        <is>
          <t>167</t>
        </is>
      </c>
      <c r="B1046" s="67" t="inlineStr">
        <is>
          <t>1173</t>
        </is>
      </c>
      <c r="C1046" s="67" t="inlineStr">
        <is>
          <t>4991</t>
        </is>
      </c>
      <c r="D1046" s="68" t="inlineStr">
        <is>
          <t>01</t>
        </is>
      </c>
      <c r="E1046" s="68" t="inlineStr">
        <is>
          <t>10 装饰品及其他</t>
        </is>
      </c>
      <c r="F1046" s="68" t="inlineStr">
        <is>
          <t>10.09 装饰品安装</t>
        </is>
      </c>
      <c r="G1046" s="68" t="inlineStr">
        <is>
          <t>装饰品安装</t>
        </is>
      </c>
      <c r="H1046" s="68" t="inlineStr">
        <is>
          <t>装饰品安装</t>
        </is>
      </c>
      <c r="I1046" s="69" t="inlineStr">
        <is>
          <t>1000022102</t>
        </is>
      </c>
      <c r="J1046" s="69" t="inlineStr">
        <is>
          <t>成品镜子安装</t>
        </is>
      </c>
      <c r="K1046" s="70" t="n"/>
      <c r="L1046" s="70" t="n"/>
      <c r="M1046" s="71" t="inlineStr">
        <is>
          <t>项</t>
        </is>
      </c>
      <c r="N1046" s="72" t="n">
        <v>80.33</v>
      </c>
      <c r="O1046" s="72">
        <f>ROUND(N1046*(1+$F$10),2)</f>
        <v/>
      </c>
      <c r="P1046" s="73">
        <f>ROUND(K1046*N1046,2)</f>
        <v/>
      </c>
      <c r="Q1046" s="74">
        <f>ROUND(L1046*N1046,2)</f>
        <v/>
      </c>
      <c r="R1046" s="75" t="n"/>
      <c r="S1046" s="76" t="n"/>
      <c r="T1046" s="77">
        <f>K1046-L1046</f>
        <v/>
      </c>
      <c r="U1046" s="77">
        <f>P1046-Q1046</f>
        <v/>
      </c>
      <c r="V1046" s="77">
        <f>ABS(U1046)</f>
        <v/>
      </c>
      <c r="W1046" s="78">
        <f>T1046/L1046</f>
        <v/>
      </c>
      <c r="X1046" s="79">
        <f>ABS(W1046)</f>
        <v/>
      </c>
      <c r="AG1046" s="80" t="inlineStr">
        <is>
          <t>个数</t>
        </is>
      </c>
    </row>
    <row r="1047" ht="11.4" customHeight="1">
      <c r="A1047" s="67" t="inlineStr">
        <is>
          <t>167</t>
        </is>
      </c>
      <c r="B1047" s="67" t="inlineStr">
        <is>
          <t>1173</t>
        </is>
      </c>
      <c r="C1047" s="67" t="inlineStr">
        <is>
          <t>4991</t>
        </is>
      </c>
      <c r="D1047" s="68" t="inlineStr">
        <is>
          <t>01</t>
        </is>
      </c>
      <c r="E1047" s="68" t="inlineStr">
        <is>
          <t>10 装饰品及其他</t>
        </is>
      </c>
      <c r="F1047" s="68" t="inlineStr">
        <is>
          <t>10.09 装饰品安装</t>
        </is>
      </c>
      <c r="G1047" s="68" t="inlineStr">
        <is>
          <t>装饰品安装</t>
        </is>
      </c>
      <c r="H1047" s="68" t="inlineStr">
        <is>
          <t>装饰品安装</t>
        </is>
      </c>
      <c r="I1047" s="69" t="inlineStr">
        <is>
          <t>1000022094</t>
        </is>
      </c>
      <c r="J1047" s="69" t="inlineStr">
        <is>
          <t>大生定制图案图形安装</t>
        </is>
      </c>
      <c r="K1047" s="70" t="n"/>
      <c r="L1047" s="70" t="n"/>
      <c r="M1047" s="71" t="inlineStr">
        <is>
          <t>个</t>
        </is>
      </c>
      <c r="N1047" s="72" t="n">
        <v>23.74</v>
      </c>
      <c r="O1047" s="72">
        <f>ROUND(N1047*(1+$F$10),2)</f>
        <v/>
      </c>
      <c r="P1047" s="73">
        <f>ROUND(K1047*N1047,2)</f>
        <v/>
      </c>
      <c r="Q1047" s="74">
        <f>ROUND(L1047*N1047,2)</f>
        <v/>
      </c>
      <c r="R1047" s="75" t="n"/>
      <c r="S1047" s="76" t="n"/>
      <c r="T1047" s="77">
        <f>K1047-L1047</f>
        <v/>
      </c>
      <c r="U1047" s="77">
        <f>P1047-Q1047</f>
        <v/>
      </c>
      <c r="V1047" s="77">
        <f>ABS(U1047)</f>
        <v/>
      </c>
      <c r="W1047" s="78">
        <f>T1047/L1047</f>
        <v/>
      </c>
      <c r="X1047" s="79">
        <f>ABS(W1047)</f>
        <v/>
      </c>
      <c r="AG1047" s="80" t="inlineStr">
        <is>
          <t>个数</t>
        </is>
      </c>
    </row>
    <row r="1048" ht="11.4" customHeight="1">
      <c r="A1048" s="67" t="inlineStr">
        <is>
          <t>167</t>
        </is>
      </c>
      <c r="B1048" s="67" t="inlineStr">
        <is>
          <t>1173</t>
        </is>
      </c>
      <c r="C1048" s="67" t="inlineStr">
        <is>
          <t>4991</t>
        </is>
      </c>
      <c r="D1048" s="68" t="inlineStr">
        <is>
          <t>01</t>
        </is>
      </c>
      <c r="E1048" s="68" t="inlineStr">
        <is>
          <t>10 装饰品及其他</t>
        </is>
      </c>
      <c r="F1048" s="68" t="inlineStr">
        <is>
          <t>10.09 装饰品安装</t>
        </is>
      </c>
      <c r="G1048" s="68" t="inlineStr">
        <is>
          <t>装饰品安装</t>
        </is>
      </c>
      <c r="H1048" s="68" t="inlineStr">
        <is>
          <t>装饰品安装</t>
        </is>
      </c>
      <c r="I1048" s="69" t="inlineStr">
        <is>
          <t>1000051726</t>
        </is>
      </c>
      <c r="J1048" s="69" t="inlineStr">
        <is>
          <t>吊装挂画安装（含支撑钢架）</t>
        </is>
      </c>
      <c r="K1048" s="70" t="n"/>
      <c r="L1048" s="70" t="n"/>
      <c r="M1048" s="71" t="inlineStr">
        <is>
          <t>组</t>
        </is>
      </c>
      <c r="N1048" s="72" t="n">
        <v>917</v>
      </c>
      <c r="O1048" s="72">
        <f>ROUND(N1048*(1+$F$10),2)</f>
        <v/>
      </c>
      <c r="P1048" s="73">
        <f>ROUND(K1048*N1048,2)</f>
        <v/>
      </c>
      <c r="Q1048" s="74">
        <f>ROUND(L1048*N1048,2)</f>
        <v/>
      </c>
      <c r="R1048" s="75" t="n"/>
      <c r="S1048" s="76" t="n"/>
      <c r="T1048" s="77">
        <f>K1048-L1048</f>
        <v/>
      </c>
      <c r="U1048" s="77">
        <f>P1048-Q1048</f>
        <v/>
      </c>
      <c r="V1048" s="77">
        <f>ABS(U1048)</f>
        <v/>
      </c>
      <c r="W1048" s="78">
        <f>T1048/L1048</f>
        <v/>
      </c>
      <c r="X1048" s="79">
        <f>ABS(W1048)</f>
        <v/>
      </c>
      <c r="AG1048" s="80" t="inlineStr">
        <is>
          <t>个数</t>
        </is>
      </c>
    </row>
    <row r="1049" ht="11.4" customHeight="1">
      <c r="A1049" s="67" t="inlineStr">
        <is>
          <t>167</t>
        </is>
      </c>
      <c r="B1049" s="67" t="inlineStr">
        <is>
          <t>1173</t>
        </is>
      </c>
      <c r="C1049" s="67" t="inlineStr">
        <is>
          <t>4991</t>
        </is>
      </c>
      <c r="D1049" s="68" t="inlineStr">
        <is>
          <t>01</t>
        </is>
      </c>
      <c r="E1049" s="68" t="inlineStr">
        <is>
          <t>10 装饰品及其他</t>
        </is>
      </c>
      <c r="F1049" s="68" t="inlineStr">
        <is>
          <t>10.09 装饰品安装</t>
        </is>
      </c>
      <c r="G1049" s="68" t="inlineStr">
        <is>
          <t>装饰品安装</t>
        </is>
      </c>
      <c r="H1049" s="68" t="inlineStr">
        <is>
          <t>装饰品安装</t>
        </is>
      </c>
      <c r="I1049" s="69" t="inlineStr">
        <is>
          <t>1000085725</t>
        </is>
      </c>
      <c r="J1049" s="69" t="inlineStr">
        <is>
          <t>EI2.0 挂画安装</t>
        </is>
      </c>
      <c r="K1049" s="70" t="n"/>
      <c r="L1049" s="70" t="n"/>
      <c r="M1049" s="71" t="inlineStr">
        <is>
          <t>项</t>
        </is>
      </c>
      <c r="N1049" s="72" t="n">
        <v>255</v>
      </c>
      <c r="O1049" s="72">
        <f>ROUND(N1049*(1+$F$10),2)</f>
        <v/>
      </c>
      <c r="P1049" s="73">
        <f>ROUND(K1049*N1049,2)</f>
        <v/>
      </c>
      <c r="Q1049" s="74">
        <f>ROUND(L1049*N1049,2)</f>
        <v/>
      </c>
      <c r="R1049" s="75" t="n"/>
      <c r="S1049" s="76" t="n"/>
      <c r="T1049" s="77">
        <f>K1049-L1049</f>
        <v/>
      </c>
      <c r="U1049" s="77">
        <f>P1049-Q1049</f>
        <v/>
      </c>
      <c r="V1049" s="77">
        <f>ABS(U1049)</f>
        <v/>
      </c>
      <c r="W1049" s="78">
        <f>T1049/L1049</f>
        <v/>
      </c>
      <c r="X1049" s="79">
        <f>ABS(W1049)</f>
        <v/>
      </c>
      <c r="AH1049" s="80" t="inlineStr">
        <is>
          <t>委托书</t>
        </is>
      </c>
    </row>
    <row r="1050" ht="11.4" customHeight="1">
      <c r="A1050" s="67" t="inlineStr">
        <is>
          <t>167</t>
        </is>
      </c>
      <c r="B1050" s="67" t="inlineStr">
        <is>
          <t>1173</t>
        </is>
      </c>
      <c r="C1050" s="67" t="inlineStr">
        <is>
          <t>4991</t>
        </is>
      </c>
      <c r="D1050" s="68" t="inlineStr">
        <is>
          <t>01</t>
        </is>
      </c>
      <c r="E1050" s="68" t="inlineStr">
        <is>
          <t>10 装饰品及其他</t>
        </is>
      </c>
      <c r="F1050" s="68" t="inlineStr">
        <is>
          <t>10.09 装饰品安装</t>
        </is>
      </c>
      <c r="G1050" s="68" t="inlineStr">
        <is>
          <t>装饰品安装</t>
        </is>
      </c>
      <c r="H1050" s="68" t="inlineStr">
        <is>
          <t>装饰品安装</t>
        </is>
      </c>
      <c r="I1050" s="69" t="inlineStr">
        <is>
          <t>1000085726</t>
        </is>
      </c>
      <c r="J1050" s="69" t="inlineStr">
        <is>
          <t>CUBE 挂画安装</t>
        </is>
      </c>
      <c r="K1050" s="70" t="n"/>
      <c r="L1050" s="70" t="n"/>
      <c r="M1050" s="71" t="inlineStr">
        <is>
          <t>项</t>
        </is>
      </c>
      <c r="N1050" s="72" t="n">
        <v>255</v>
      </c>
      <c r="O1050" s="72">
        <f>ROUND(N1050*(1+$F$10),2)</f>
        <v/>
      </c>
      <c r="P1050" s="73">
        <f>ROUND(K1050*N1050,2)</f>
        <v/>
      </c>
      <c r="Q1050" s="74">
        <f>ROUND(L1050*N1050,2)</f>
        <v/>
      </c>
      <c r="R1050" s="75" t="n"/>
      <c r="S1050" s="76" t="n"/>
      <c r="T1050" s="77">
        <f>K1050-L1050</f>
        <v/>
      </c>
      <c r="U1050" s="77">
        <f>P1050-Q1050</f>
        <v/>
      </c>
      <c r="V1050" s="77">
        <f>ABS(U1050)</f>
        <v/>
      </c>
      <c r="W1050" s="78">
        <f>T1050/L1050</f>
        <v/>
      </c>
      <c r="X1050" s="79">
        <f>ABS(W1050)</f>
        <v/>
      </c>
      <c r="AH1050" s="80" t="inlineStr">
        <is>
          <t>委托书</t>
        </is>
      </c>
    </row>
    <row r="1051" ht="11.4" customHeight="1">
      <c r="A1051" s="67" t="inlineStr">
        <is>
          <t>167</t>
        </is>
      </c>
      <c r="B1051" s="67" t="inlineStr">
        <is>
          <t>1173</t>
        </is>
      </c>
      <c r="C1051" s="67" t="inlineStr">
        <is>
          <t>4991</t>
        </is>
      </c>
      <c r="D1051" s="68" t="inlineStr">
        <is>
          <t>01</t>
        </is>
      </c>
      <c r="E1051" s="68" t="inlineStr">
        <is>
          <t>10 装饰品及其他</t>
        </is>
      </c>
      <c r="F1051" s="68" t="inlineStr">
        <is>
          <t>10.09 装饰品安装</t>
        </is>
      </c>
      <c r="G1051" s="68" t="inlineStr">
        <is>
          <t>装饰品安装</t>
        </is>
      </c>
      <c r="H1051" s="68" t="inlineStr">
        <is>
          <t>装饰品安装</t>
        </is>
      </c>
      <c r="I1051" s="69" t="inlineStr">
        <is>
          <t>1000085727</t>
        </is>
      </c>
      <c r="J1051" s="69" t="inlineStr">
        <is>
          <t>室内可乐、汉堡、冰淇淋立体图案安装</t>
        </is>
      </c>
      <c r="K1051" s="70" t="n"/>
      <c r="L1051" s="70" t="n"/>
      <c r="M1051" s="71" t="inlineStr">
        <is>
          <t>m2</t>
        </is>
      </c>
      <c r="N1051" s="72" t="n">
        <v>255</v>
      </c>
      <c r="O1051" s="72">
        <f>ROUND(N1051*(1+$F$10),2)</f>
        <v/>
      </c>
      <c r="P1051" s="73">
        <f>ROUND(K1051*N1051,2)</f>
        <v/>
      </c>
      <c r="Q1051" s="74">
        <f>ROUND(L1051*N1051,2)</f>
        <v/>
      </c>
      <c r="R1051" s="75" t="n"/>
      <c r="S1051" s="76" t="n"/>
      <c r="T1051" s="77">
        <f>K1051-L1051</f>
        <v/>
      </c>
      <c r="U1051" s="77">
        <f>P1051-Q1051</f>
        <v/>
      </c>
      <c r="V1051" s="77">
        <f>ABS(U1051)</f>
        <v/>
      </c>
      <c r="W1051" s="78">
        <f>T1051/L1051</f>
        <v/>
      </c>
      <c r="X1051" s="79">
        <f>ABS(W1051)</f>
        <v/>
      </c>
      <c r="AG1051" s="80" t="inlineStr">
        <is>
          <t>基本墙面积</t>
        </is>
      </c>
      <c r="AH1051" s="80" t="inlineStr">
        <is>
          <t>待定</t>
        </is>
      </c>
    </row>
    <row r="1052" ht="11.4" customHeight="1">
      <c r="A1052" s="67" t="inlineStr">
        <is>
          <t>167</t>
        </is>
      </c>
      <c r="B1052" s="67" t="inlineStr">
        <is>
          <t>1173</t>
        </is>
      </c>
      <c r="C1052" s="67" t="inlineStr">
        <is>
          <t>4991</t>
        </is>
      </c>
      <c r="D1052" s="68" t="inlineStr">
        <is>
          <t>01</t>
        </is>
      </c>
      <c r="E1052" s="68" t="inlineStr">
        <is>
          <t>10 装饰品及其他</t>
        </is>
      </c>
      <c r="F1052" s="68" t="inlineStr">
        <is>
          <t>10.09 装饰品安装</t>
        </is>
      </c>
      <c r="G1052" s="68" t="inlineStr">
        <is>
          <t>装饰品安装</t>
        </is>
      </c>
      <c r="H1052" s="68" t="inlineStr">
        <is>
          <t>装饰品安装</t>
        </is>
      </c>
      <c r="I1052" s="69" t="inlineStr">
        <is>
          <t>1000085728</t>
        </is>
      </c>
      <c r="J1052" s="69" t="inlineStr">
        <is>
          <t>玻璃屏风安装</t>
        </is>
      </c>
      <c r="K1052" s="70" t="n"/>
      <c r="L1052" s="70" t="n"/>
      <c r="M1052" s="71" t="inlineStr">
        <is>
          <t>个</t>
        </is>
      </c>
      <c r="N1052" s="72" t="n">
        <v>410.55</v>
      </c>
      <c r="O1052" s="72">
        <f>ROUND(N1052*(1+$F$10),2)</f>
        <v/>
      </c>
      <c r="P1052" s="73">
        <f>ROUND(K1052*N1052,2)</f>
        <v/>
      </c>
      <c r="Q1052" s="74">
        <f>ROUND(L1052*N1052,2)</f>
        <v/>
      </c>
      <c r="R1052" s="75" t="n"/>
      <c r="S1052" s="76" t="n"/>
      <c r="T1052" s="77">
        <f>K1052-L1052</f>
        <v/>
      </c>
      <c r="U1052" s="77">
        <f>P1052-Q1052</f>
        <v/>
      </c>
      <c r="V1052" s="77">
        <f>ABS(U1052)</f>
        <v/>
      </c>
      <c r="W1052" s="78">
        <f>T1052/L1052</f>
        <v/>
      </c>
      <c r="X1052" s="79">
        <f>ABS(W1052)</f>
        <v/>
      </c>
      <c r="AG1052" s="80" t="inlineStr">
        <is>
          <t>个数</t>
        </is>
      </c>
      <c r="AH1052" s="80" t="inlineStr">
        <is>
          <t>待定</t>
        </is>
      </c>
    </row>
    <row r="1053" ht="11.4" customHeight="1">
      <c r="A1053" s="67" t="inlineStr">
        <is>
          <t>167</t>
        </is>
      </c>
      <c r="B1053" s="67" t="inlineStr">
        <is>
          <t>1173</t>
        </is>
      </c>
      <c r="C1053" s="67" t="inlineStr">
        <is>
          <t>4991</t>
        </is>
      </c>
      <c r="D1053" s="68" t="inlineStr">
        <is>
          <t>01</t>
        </is>
      </c>
      <c r="E1053" s="68" t="inlineStr">
        <is>
          <t>10 装饰品及其他</t>
        </is>
      </c>
      <c r="F1053" s="68" t="inlineStr">
        <is>
          <t>10.09 装饰品安装</t>
        </is>
      </c>
      <c r="G1053" s="68" t="inlineStr">
        <is>
          <t>装饰品安装</t>
        </is>
      </c>
      <c r="H1053" s="68" t="inlineStr">
        <is>
          <t>装饰品安装</t>
        </is>
      </c>
      <c r="I1053" s="69" t="inlineStr">
        <is>
          <t>1000085737</t>
        </is>
      </c>
      <c r="J1053" s="69" t="inlineStr">
        <is>
          <t>1200*1200非标绿色折弯花架（仅安装）</t>
        </is>
      </c>
      <c r="K1053" s="70" t="n"/>
      <c r="L1053" s="70" t="n"/>
      <c r="M1053" s="71" t="inlineStr">
        <is>
          <t>只</t>
        </is>
      </c>
      <c r="N1053" s="72" t="n">
        <v>1457.26</v>
      </c>
      <c r="O1053" s="72">
        <f>ROUND(N1053*(1+$F$10),2)</f>
        <v/>
      </c>
      <c r="P1053" s="73">
        <f>ROUND(K1053*N1053,2)</f>
        <v/>
      </c>
      <c r="Q1053" s="74">
        <f>ROUND(L1053*N1053,2)</f>
        <v/>
      </c>
      <c r="R1053" s="75" t="n"/>
      <c r="S1053" s="76" t="n"/>
      <c r="T1053" s="77">
        <f>K1053-L1053</f>
        <v/>
      </c>
      <c r="U1053" s="77">
        <f>P1053-Q1053</f>
        <v/>
      </c>
      <c r="V1053" s="77">
        <f>ABS(U1053)</f>
        <v/>
      </c>
      <c r="W1053" s="78">
        <f>T1053/L1053</f>
        <v/>
      </c>
      <c r="X1053" s="79">
        <f>ABS(W1053)</f>
        <v/>
      </c>
      <c r="AH1053" s="80" t="inlineStr">
        <is>
          <t>待定</t>
        </is>
      </c>
    </row>
    <row r="1054" ht="11.4" customHeight="1">
      <c r="A1054" s="67" t="inlineStr">
        <is>
          <t>6056</t>
        </is>
      </c>
      <c r="B1054" s="67" t="inlineStr">
        <is>
          <t>1054</t>
        </is>
      </c>
      <c r="C1054" s="67" t="inlineStr">
        <is>
          <t>1611</t>
        </is>
      </c>
      <c r="D1054" s="68" t="inlineStr">
        <is>
          <t>61</t>
        </is>
      </c>
      <c r="E1054" s="68" t="inlineStr">
        <is>
          <t>McCafe-LHI</t>
        </is>
      </c>
      <c r="F1054" s="68" t="inlineStr">
        <is>
          <t>麦咖啡装修</t>
        </is>
      </c>
      <c r="G1054" s="68" t="inlineStr">
        <is>
          <t>麦咖啡装修</t>
        </is>
      </c>
      <c r="H1054" s="68" t="inlineStr">
        <is>
          <t>麦咖啡-地面</t>
        </is>
      </c>
      <c r="I1054" s="69" t="inlineStr">
        <is>
          <t>1000021456</t>
        </is>
      </c>
      <c r="J1054" s="69" t="inlineStr">
        <is>
          <t>国产同质砖（琛雄，含不超过50mm厚的找平层）</t>
        </is>
      </c>
      <c r="K1054" s="70" t="n"/>
      <c r="L1054" s="70" t="n"/>
      <c r="M1054" s="71" t="inlineStr">
        <is>
          <t>m2</t>
        </is>
      </c>
      <c r="N1054" s="72" t="n">
        <v>180.78</v>
      </c>
      <c r="O1054" s="72">
        <f>ROUND(N1054*(1+$F$10),2)</f>
        <v/>
      </c>
      <c r="P1054" s="73">
        <f>ROUND(K1054*N1054,2)</f>
        <v/>
      </c>
      <c r="Q1054" s="74">
        <f>ROUND(L1054*N1054,2)</f>
        <v/>
      </c>
      <c r="R1054" s="75" t="n"/>
      <c r="S1054" s="76" t="n"/>
      <c r="T1054" s="77">
        <f>K1054-L1054</f>
        <v/>
      </c>
      <c r="U1054" s="77">
        <f>P1054-Q1054</f>
        <v/>
      </c>
      <c r="V1054" s="77">
        <f>ABS(U1054)</f>
        <v/>
      </c>
      <c r="W1054" s="78">
        <f>T1054/L1054</f>
        <v/>
      </c>
      <c r="X1054" s="79">
        <f>ABS(W1054)</f>
        <v/>
      </c>
    </row>
    <row r="1055" ht="11.4" customHeight="1">
      <c r="A1055" s="67" t="inlineStr">
        <is>
          <t>6056</t>
        </is>
      </c>
      <c r="B1055" s="67" t="inlineStr">
        <is>
          <t>1054</t>
        </is>
      </c>
      <c r="C1055" s="67" t="inlineStr">
        <is>
          <t>1611</t>
        </is>
      </c>
      <c r="D1055" s="68" t="inlineStr">
        <is>
          <t>61</t>
        </is>
      </c>
      <c r="E1055" s="68" t="inlineStr">
        <is>
          <t>McCafe-LHI</t>
        </is>
      </c>
      <c r="F1055" s="68" t="inlineStr">
        <is>
          <t>麦咖啡装修</t>
        </is>
      </c>
      <c r="G1055" s="68" t="inlineStr">
        <is>
          <t>麦咖啡装修</t>
        </is>
      </c>
      <c r="H1055" s="68" t="inlineStr">
        <is>
          <t>麦咖啡-地面</t>
        </is>
      </c>
      <c r="I1055" s="69" t="inlineStr">
        <is>
          <t>1000021457</t>
        </is>
      </c>
      <c r="J1055" s="69" t="inlineStr">
        <is>
          <t>国产同质砖踢脚（琛雄）</t>
        </is>
      </c>
      <c r="K1055" s="70" t="n"/>
      <c r="L1055" s="70" t="n"/>
      <c r="M1055" s="71" t="inlineStr">
        <is>
          <t>米</t>
        </is>
      </c>
      <c r="N1055" s="72" t="n">
        <v>41.36</v>
      </c>
      <c r="O1055" s="72">
        <f>ROUND(N1055*(1+$F$10),2)</f>
        <v/>
      </c>
      <c r="P1055" s="73">
        <f>ROUND(K1055*N1055,2)</f>
        <v/>
      </c>
      <c r="Q1055" s="74">
        <f>ROUND(L1055*N1055,2)</f>
        <v/>
      </c>
      <c r="R1055" s="75" t="n"/>
      <c r="S1055" s="76" t="n"/>
      <c r="T1055" s="77">
        <f>K1055-L1055</f>
        <v/>
      </c>
      <c r="U1055" s="77">
        <f>P1055-Q1055</f>
        <v/>
      </c>
      <c r="V1055" s="77">
        <f>ABS(U1055)</f>
        <v/>
      </c>
      <c r="W1055" s="78">
        <f>T1055/L1055</f>
        <v/>
      </c>
      <c r="X1055" s="79">
        <f>ABS(W1055)</f>
        <v/>
      </c>
    </row>
    <row r="1056" ht="11.4" customHeight="1">
      <c r="A1056" s="67" t="inlineStr">
        <is>
          <t>6056</t>
        </is>
      </c>
      <c r="B1056" s="67" t="inlineStr">
        <is>
          <t>1054</t>
        </is>
      </c>
      <c r="C1056" s="67" t="inlineStr">
        <is>
          <t>1611</t>
        </is>
      </c>
      <c r="D1056" s="68" t="inlineStr">
        <is>
          <t>61</t>
        </is>
      </c>
      <c r="E1056" s="68" t="inlineStr">
        <is>
          <t>McCafe-LHI</t>
        </is>
      </c>
      <c r="F1056" s="68" t="inlineStr">
        <is>
          <t>麦咖啡装修</t>
        </is>
      </c>
      <c r="G1056" s="68" t="inlineStr">
        <is>
          <t>麦咖啡装修</t>
        </is>
      </c>
      <c r="H1056" s="68" t="inlineStr">
        <is>
          <t>麦咖啡-地面</t>
        </is>
      </c>
      <c r="I1056" s="69" t="inlineStr">
        <is>
          <t>1000021643</t>
        </is>
      </c>
      <c r="J1056" s="69" t="inlineStr">
        <is>
          <t>国产同质砖（共荣，含不超过50mm厚的找平层）</t>
        </is>
      </c>
      <c r="K1056" s="70" t="n"/>
      <c r="L1056" s="70" t="n"/>
      <c r="M1056" s="71" t="inlineStr">
        <is>
          <t>m2</t>
        </is>
      </c>
      <c r="N1056" s="72" t="n">
        <v>160.21</v>
      </c>
      <c r="O1056" s="72">
        <f>ROUND(N1056*(1+$F$10),2)</f>
        <v/>
      </c>
      <c r="P1056" s="73">
        <f>ROUND(K1056*N1056,2)</f>
        <v/>
      </c>
      <c r="Q1056" s="74">
        <f>ROUND(L1056*N1056,2)</f>
        <v/>
      </c>
      <c r="R1056" s="75" t="n"/>
      <c r="S1056" s="76" t="n"/>
      <c r="T1056" s="77">
        <f>K1056-L1056</f>
        <v/>
      </c>
      <c r="U1056" s="77">
        <f>P1056-Q1056</f>
        <v/>
      </c>
      <c r="V1056" s="77">
        <f>ABS(U1056)</f>
        <v/>
      </c>
      <c r="W1056" s="78">
        <f>T1056/L1056</f>
        <v/>
      </c>
      <c r="X1056" s="79">
        <f>ABS(W1056)</f>
        <v/>
      </c>
    </row>
    <row r="1057" ht="11.4" customHeight="1">
      <c r="A1057" s="67" t="inlineStr">
        <is>
          <t>6056</t>
        </is>
      </c>
      <c r="B1057" s="67" t="inlineStr">
        <is>
          <t>1054</t>
        </is>
      </c>
      <c r="C1057" s="67" t="inlineStr">
        <is>
          <t>1611</t>
        </is>
      </c>
      <c r="D1057" s="68" t="inlineStr">
        <is>
          <t>61</t>
        </is>
      </c>
      <c r="E1057" s="68" t="inlineStr">
        <is>
          <t>McCafe-LHI</t>
        </is>
      </c>
      <c r="F1057" s="68" t="inlineStr">
        <is>
          <t>麦咖啡装修</t>
        </is>
      </c>
      <c r="G1057" s="68" t="inlineStr">
        <is>
          <t>麦咖啡装修</t>
        </is>
      </c>
      <c r="H1057" s="68" t="inlineStr">
        <is>
          <t>麦咖啡-地面</t>
        </is>
      </c>
      <c r="I1057" s="69" t="inlineStr">
        <is>
          <t>1000021644</t>
        </is>
      </c>
      <c r="J1057" s="69" t="inlineStr">
        <is>
          <t>国产同质砖踢脚（共荣）</t>
        </is>
      </c>
      <c r="K1057" s="70" t="n"/>
      <c r="L1057" s="70" t="n"/>
      <c r="M1057" s="71" t="inlineStr">
        <is>
          <t>米</t>
        </is>
      </c>
      <c r="N1057" s="72" t="n">
        <v>38.94</v>
      </c>
      <c r="O1057" s="72">
        <f>ROUND(N1057*(1+$F$10),2)</f>
        <v/>
      </c>
      <c r="P1057" s="73">
        <f>ROUND(K1057*N1057,2)</f>
        <v/>
      </c>
      <c r="Q1057" s="74">
        <f>ROUND(L1057*N1057,2)</f>
        <v/>
      </c>
      <c r="R1057" s="75" t="n"/>
      <c r="S1057" s="76" t="n"/>
      <c r="T1057" s="77">
        <f>K1057-L1057</f>
        <v/>
      </c>
      <c r="U1057" s="77">
        <f>P1057-Q1057</f>
        <v/>
      </c>
      <c r="V1057" s="77">
        <f>ABS(U1057)</f>
        <v/>
      </c>
      <c r="W1057" s="78">
        <f>T1057/L1057</f>
        <v/>
      </c>
      <c r="X1057" s="79">
        <f>ABS(W1057)</f>
        <v/>
      </c>
    </row>
    <row r="1058" ht="11.4" customHeight="1">
      <c r="A1058" s="67" t="inlineStr">
        <is>
          <t>6056</t>
        </is>
      </c>
      <c r="B1058" s="67" t="inlineStr">
        <is>
          <t>1054</t>
        </is>
      </c>
      <c r="C1058" s="67" t="inlineStr">
        <is>
          <t>1611</t>
        </is>
      </c>
      <c r="D1058" s="68" t="inlineStr">
        <is>
          <t>61</t>
        </is>
      </c>
      <c r="E1058" s="68" t="inlineStr">
        <is>
          <t>McCafe-LHI</t>
        </is>
      </c>
      <c r="F1058" s="68" t="inlineStr">
        <is>
          <t>麦咖啡装修</t>
        </is>
      </c>
      <c r="G1058" s="68" t="inlineStr">
        <is>
          <t>麦咖啡装修</t>
        </is>
      </c>
      <c r="H1058" s="68" t="inlineStr">
        <is>
          <t>麦咖啡-地面</t>
        </is>
      </c>
      <c r="I1058" s="69" t="inlineStr">
        <is>
          <t>1000021622</t>
        </is>
      </c>
      <c r="J1058" s="69" t="inlineStr">
        <is>
          <t>国产同质砖（冠军，含不超过50mm厚的找平层）</t>
        </is>
      </c>
      <c r="K1058" s="70" t="n"/>
      <c r="L1058" s="70" t="n"/>
      <c r="M1058" s="71" t="inlineStr">
        <is>
          <t>m2</t>
        </is>
      </c>
      <c r="N1058" s="72" t="n">
        <v>181.99</v>
      </c>
      <c r="O1058" s="72">
        <f>ROUND(N1058*(1+$F$10),2)</f>
        <v/>
      </c>
      <c r="P1058" s="73">
        <f>ROUND(K1058*N1058,2)</f>
        <v/>
      </c>
      <c r="Q1058" s="74">
        <f>ROUND(L1058*N1058,2)</f>
        <v/>
      </c>
      <c r="R1058" s="75" t="n"/>
      <c r="S1058" s="76" t="n"/>
      <c r="T1058" s="77">
        <f>K1058-L1058</f>
        <v/>
      </c>
      <c r="U1058" s="77">
        <f>P1058-Q1058</f>
        <v/>
      </c>
      <c r="V1058" s="77">
        <f>ABS(U1058)</f>
        <v/>
      </c>
      <c r="W1058" s="78">
        <f>T1058/L1058</f>
        <v/>
      </c>
      <c r="X1058" s="79">
        <f>ABS(W1058)</f>
        <v/>
      </c>
    </row>
    <row r="1059" ht="11.4" customHeight="1">
      <c r="A1059" s="67" t="inlineStr">
        <is>
          <t>6056</t>
        </is>
      </c>
      <c r="B1059" s="67" t="inlineStr">
        <is>
          <t>1054</t>
        </is>
      </c>
      <c r="C1059" s="67" t="inlineStr">
        <is>
          <t>1611</t>
        </is>
      </c>
      <c r="D1059" s="68" t="inlineStr">
        <is>
          <t>61</t>
        </is>
      </c>
      <c r="E1059" s="68" t="inlineStr">
        <is>
          <t>McCafe-LHI</t>
        </is>
      </c>
      <c r="F1059" s="68" t="inlineStr">
        <is>
          <t>麦咖啡装修</t>
        </is>
      </c>
      <c r="G1059" s="68" t="inlineStr">
        <is>
          <t>麦咖啡装修</t>
        </is>
      </c>
      <c r="H1059" s="68" t="inlineStr">
        <is>
          <t>麦咖啡-地面</t>
        </is>
      </c>
      <c r="I1059" s="69" t="inlineStr">
        <is>
          <t>1000021623</t>
        </is>
      </c>
      <c r="J1059" s="69" t="inlineStr">
        <is>
          <t>国产同质砖踢脚（冠军）</t>
        </is>
      </c>
      <c r="K1059" s="70" t="n"/>
      <c r="L1059" s="70" t="n"/>
      <c r="M1059" s="71" t="inlineStr">
        <is>
          <t>米</t>
        </is>
      </c>
      <c r="N1059" s="72" t="n">
        <v>42.57</v>
      </c>
      <c r="O1059" s="72">
        <f>ROUND(N1059*(1+$F$10),2)</f>
        <v/>
      </c>
      <c r="P1059" s="73">
        <f>ROUND(K1059*N1059,2)</f>
        <v/>
      </c>
      <c r="Q1059" s="74">
        <f>ROUND(L1059*N1059,2)</f>
        <v/>
      </c>
      <c r="R1059" s="75" t="n"/>
      <c r="S1059" s="76" t="n"/>
      <c r="T1059" s="77">
        <f>K1059-L1059</f>
        <v/>
      </c>
      <c r="U1059" s="77">
        <f>P1059-Q1059</f>
        <v/>
      </c>
      <c r="V1059" s="77">
        <f>ABS(U1059)</f>
        <v/>
      </c>
      <c r="W1059" s="78">
        <f>T1059/L1059</f>
        <v/>
      </c>
      <c r="X1059" s="79">
        <f>ABS(W1059)</f>
        <v/>
      </c>
    </row>
    <row r="1060" ht="11.4" customHeight="1">
      <c r="A1060" s="67" t="inlineStr">
        <is>
          <t>6056</t>
        </is>
      </c>
      <c r="B1060" s="67" t="inlineStr">
        <is>
          <t>1054</t>
        </is>
      </c>
      <c r="C1060" s="67" t="inlineStr">
        <is>
          <t>1611</t>
        </is>
      </c>
      <c r="D1060" s="68" t="inlineStr">
        <is>
          <t>61</t>
        </is>
      </c>
      <c r="E1060" s="68" t="inlineStr">
        <is>
          <t>McCafe-LHI</t>
        </is>
      </c>
      <c r="F1060" s="68" t="inlineStr">
        <is>
          <t>麦咖啡装修</t>
        </is>
      </c>
      <c r="G1060" s="68" t="inlineStr">
        <is>
          <t>麦咖啡装修</t>
        </is>
      </c>
      <c r="H1060" s="68" t="inlineStr">
        <is>
          <t>麦咖啡-地面</t>
        </is>
      </c>
      <c r="I1060" s="69" t="inlineStr">
        <is>
          <t>1000051755</t>
        </is>
      </c>
      <c r="J1060" s="69" t="inlineStr">
        <is>
          <t>600*600mm灰色水泥地砖（琛雄，含不超过50mm厚的找平层）</t>
        </is>
      </c>
      <c r="K1060" s="70" t="n"/>
      <c r="L1060" s="70" t="n"/>
      <c r="M1060" s="71" t="inlineStr">
        <is>
          <t>m2</t>
        </is>
      </c>
      <c r="N1060" s="72" t="n">
        <v>187.98</v>
      </c>
      <c r="O1060" s="72">
        <f>ROUND(N1060*(1+$F$10),2)</f>
        <v/>
      </c>
      <c r="P1060" s="73">
        <f>ROUND(K1060*N1060,2)</f>
        <v/>
      </c>
      <c r="Q1060" s="74">
        <f>ROUND(L1060*N1060,2)</f>
        <v/>
      </c>
      <c r="R1060" s="75" t="n"/>
      <c r="S1060" s="76" t="n"/>
      <c r="T1060" s="77">
        <f>K1060-L1060</f>
        <v/>
      </c>
      <c r="U1060" s="77">
        <f>P1060-Q1060</f>
        <v/>
      </c>
      <c r="V1060" s="77">
        <f>ABS(U1060)</f>
        <v/>
      </c>
      <c r="W1060" s="78">
        <f>T1060/L1060</f>
        <v/>
      </c>
      <c r="X1060" s="79">
        <f>ABS(W1060)</f>
        <v/>
      </c>
    </row>
    <row r="1061" ht="11.4" customHeight="1">
      <c r="A1061" s="67" t="inlineStr">
        <is>
          <t>6056</t>
        </is>
      </c>
      <c r="B1061" s="67" t="inlineStr">
        <is>
          <t>1054</t>
        </is>
      </c>
      <c r="C1061" s="67" t="inlineStr">
        <is>
          <t>1611</t>
        </is>
      </c>
      <c r="D1061" s="68" t="inlineStr">
        <is>
          <t>61</t>
        </is>
      </c>
      <c r="E1061" s="68" t="inlineStr">
        <is>
          <t>McCafe-LHI</t>
        </is>
      </c>
      <c r="F1061" s="68" t="inlineStr">
        <is>
          <t>麦咖啡装修</t>
        </is>
      </c>
      <c r="G1061" s="68" t="inlineStr">
        <is>
          <t>麦咖啡装修</t>
        </is>
      </c>
      <c r="H1061" s="68" t="inlineStr">
        <is>
          <t>麦咖啡-地面</t>
        </is>
      </c>
      <c r="I1061" s="69" t="inlineStr">
        <is>
          <t>1000051756</t>
        </is>
      </c>
      <c r="J1061" s="69" t="inlineStr">
        <is>
          <t>600*600mm灰色水泥地砖（共荣，含不超过50mm厚的找平层）</t>
        </is>
      </c>
      <c r="K1061" s="70" t="n"/>
      <c r="L1061" s="70" t="n"/>
      <c r="M1061" s="71" t="inlineStr">
        <is>
          <t>m2</t>
        </is>
      </c>
      <c r="N1061" s="72" t="n">
        <v>171.66</v>
      </c>
      <c r="O1061" s="72">
        <f>ROUND(N1061*(1+$F$10),2)</f>
        <v/>
      </c>
      <c r="P1061" s="73">
        <f>ROUND(K1061*N1061,2)</f>
        <v/>
      </c>
      <c r="Q1061" s="74">
        <f>ROUND(L1061*N1061,2)</f>
        <v/>
      </c>
      <c r="R1061" s="75" t="n"/>
      <c r="S1061" s="76" t="n"/>
      <c r="T1061" s="77">
        <f>K1061-L1061</f>
        <v/>
      </c>
      <c r="U1061" s="77">
        <f>P1061-Q1061</f>
        <v/>
      </c>
      <c r="V1061" s="77">
        <f>ABS(U1061)</f>
        <v/>
      </c>
      <c r="W1061" s="78">
        <f>T1061/L1061</f>
        <v/>
      </c>
      <c r="X1061" s="79">
        <f>ABS(W1061)</f>
        <v/>
      </c>
    </row>
    <row r="1062" ht="11.4" customHeight="1">
      <c r="A1062" s="67" t="inlineStr">
        <is>
          <t>6056</t>
        </is>
      </c>
      <c r="B1062" s="67" t="inlineStr">
        <is>
          <t>1054</t>
        </is>
      </c>
      <c r="C1062" s="67" t="inlineStr">
        <is>
          <t>1611</t>
        </is>
      </c>
      <c r="D1062" s="68" t="inlineStr">
        <is>
          <t>61</t>
        </is>
      </c>
      <c r="E1062" s="68" t="inlineStr">
        <is>
          <t>McCafe-LHI</t>
        </is>
      </c>
      <c r="F1062" s="68" t="inlineStr">
        <is>
          <t>麦咖啡装修</t>
        </is>
      </c>
      <c r="G1062" s="68" t="inlineStr">
        <is>
          <t>麦咖啡装修</t>
        </is>
      </c>
      <c r="H1062" s="68" t="inlineStr">
        <is>
          <t>麦咖啡-地面</t>
        </is>
      </c>
      <c r="I1062" s="69" t="inlineStr">
        <is>
          <t>1000051757</t>
        </is>
      </c>
      <c r="J1062" s="69" t="inlineStr">
        <is>
          <t>600*600mm灰色水泥地砖（冠军，含不超过50mm厚的找平层）</t>
        </is>
      </c>
      <c r="K1062" s="70" t="n"/>
      <c r="L1062" s="70" t="n"/>
      <c r="M1062" s="71" t="inlineStr">
        <is>
          <t>m2</t>
        </is>
      </c>
      <c r="N1062" s="72" t="n">
        <v>189.15</v>
      </c>
      <c r="O1062" s="72">
        <f>ROUND(N1062*(1+$F$10),2)</f>
        <v/>
      </c>
      <c r="P1062" s="73">
        <f>ROUND(K1062*N1062,2)</f>
        <v/>
      </c>
      <c r="Q1062" s="74">
        <f>ROUND(L1062*N1062,2)</f>
        <v/>
      </c>
      <c r="R1062" s="75" t="n"/>
      <c r="S1062" s="76" t="n"/>
      <c r="T1062" s="77">
        <f>K1062-L1062</f>
        <v/>
      </c>
      <c r="U1062" s="77">
        <f>P1062-Q1062</f>
        <v/>
      </c>
      <c r="V1062" s="77">
        <f>ABS(U1062)</f>
        <v/>
      </c>
      <c r="W1062" s="78">
        <f>T1062/L1062</f>
        <v/>
      </c>
      <c r="X1062" s="79">
        <f>ABS(W1062)</f>
        <v/>
      </c>
    </row>
    <row r="1063" ht="11.4" customHeight="1">
      <c r="A1063" s="67" t="inlineStr">
        <is>
          <t>6056</t>
        </is>
      </c>
      <c r="B1063" s="67" t="inlineStr">
        <is>
          <t>1054</t>
        </is>
      </c>
      <c r="C1063" s="67" t="inlineStr">
        <is>
          <t>1611</t>
        </is>
      </c>
      <c r="D1063" s="68" t="inlineStr">
        <is>
          <t>61</t>
        </is>
      </c>
      <c r="E1063" s="68" t="inlineStr">
        <is>
          <t>McCafe-LHI</t>
        </is>
      </c>
      <c r="F1063" s="68" t="inlineStr">
        <is>
          <t>麦咖啡装修</t>
        </is>
      </c>
      <c r="G1063" s="68" t="inlineStr">
        <is>
          <t>麦咖啡装修</t>
        </is>
      </c>
      <c r="H1063" s="68" t="inlineStr">
        <is>
          <t>麦咖啡-地面</t>
        </is>
      </c>
      <c r="I1063" s="69" t="inlineStr">
        <is>
          <t>1000053612</t>
        </is>
      </c>
      <c r="J1063" s="69" t="inlineStr">
        <is>
          <t>灰色水泥纹踢脚（琛雄）</t>
        </is>
      </c>
      <c r="K1063" s="70" t="n"/>
      <c r="L1063" s="70" t="n"/>
      <c r="M1063" s="71" t="inlineStr">
        <is>
          <t>米</t>
        </is>
      </c>
      <c r="N1063" s="72" t="n">
        <v>41.36</v>
      </c>
      <c r="O1063" s="72">
        <f>ROUND(N1063*(1+$F$10),2)</f>
        <v/>
      </c>
      <c r="P1063" s="73">
        <f>ROUND(K1063*N1063,2)</f>
        <v/>
      </c>
      <c r="Q1063" s="74">
        <f>ROUND(L1063*N1063,2)</f>
        <v/>
      </c>
      <c r="R1063" s="75" t="n"/>
      <c r="S1063" s="76" t="n"/>
      <c r="T1063" s="77">
        <f>K1063-L1063</f>
        <v/>
      </c>
      <c r="U1063" s="77">
        <f>P1063-Q1063</f>
        <v/>
      </c>
      <c r="V1063" s="77">
        <f>ABS(U1063)</f>
        <v/>
      </c>
      <c r="W1063" s="78">
        <f>T1063/L1063</f>
        <v/>
      </c>
      <c r="X1063" s="79">
        <f>ABS(W1063)</f>
        <v/>
      </c>
    </row>
    <row r="1064" ht="11.4" customHeight="1">
      <c r="A1064" s="67" t="inlineStr">
        <is>
          <t>6056</t>
        </is>
      </c>
      <c r="B1064" s="67" t="inlineStr">
        <is>
          <t>1054</t>
        </is>
      </c>
      <c r="C1064" s="67" t="inlineStr">
        <is>
          <t>1611</t>
        </is>
      </c>
      <c r="D1064" s="68" t="inlineStr">
        <is>
          <t>61</t>
        </is>
      </c>
      <c r="E1064" s="68" t="inlineStr">
        <is>
          <t>McCafe-LHI</t>
        </is>
      </c>
      <c r="F1064" s="68" t="inlineStr">
        <is>
          <t>麦咖啡装修</t>
        </is>
      </c>
      <c r="G1064" s="68" t="inlineStr">
        <is>
          <t>麦咖啡装修</t>
        </is>
      </c>
      <c r="H1064" s="68" t="inlineStr">
        <is>
          <t>麦咖啡-地面</t>
        </is>
      </c>
      <c r="I1064" s="69" t="inlineStr">
        <is>
          <t>1000053613</t>
        </is>
      </c>
      <c r="J1064" s="69" t="inlineStr">
        <is>
          <t>灰色水泥纹踢脚（共荣）</t>
        </is>
      </c>
      <c r="K1064" s="70" t="n"/>
      <c r="L1064" s="70" t="n"/>
      <c r="M1064" s="71" t="inlineStr">
        <is>
          <t>米</t>
        </is>
      </c>
      <c r="N1064" s="72" t="n">
        <v>38.94</v>
      </c>
      <c r="O1064" s="72">
        <f>ROUND(N1064*(1+$F$10),2)</f>
        <v/>
      </c>
      <c r="P1064" s="73">
        <f>ROUND(K1064*N1064,2)</f>
        <v/>
      </c>
      <c r="Q1064" s="74">
        <f>ROUND(L1064*N1064,2)</f>
        <v/>
      </c>
      <c r="R1064" s="75" t="n"/>
      <c r="S1064" s="76" t="n"/>
      <c r="T1064" s="77">
        <f>K1064-L1064</f>
        <v/>
      </c>
      <c r="U1064" s="77">
        <f>P1064-Q1064</f>
        <v/>
      </c>
      <c r="V1064" s="77">
        <f>ABS(U1064)</f>
        <v/>
      </c>
      <c r="W1064" s="78">
        <f>T1064/L1064</f>
        <v/>
      </c>
      <c r="X1064" s="79">
        <f>ABS(W1064)</f>
        <v/>
      </c>
    </row>
    <row r="1065" ht="11.4" customHeight="1">
      <c r="A1065" s="67" t="inlineStr">
        <is>
          <t>6056</t>
        </is>
      </c>
      <c r="B1065" s="67" t="inlineStr">
        <is>
          <t>1054</t>
        </is>
      </c>
      <c r="C1065" s="67" t="inlineStr">
        <is>
          <t>1611</t>
        </is>
      </c>
      <c r="D1065" s="68" t="inlineStr">
        <is>
          <t>61</t>
        </is>
      </c>
      <c r="E1065" s="68" t="inlineStr">
        <is>
          <t>McCafe-LHI</t>
        </is>
      </c>
      <c r="F1065" s="68" t="inlineStr">
        <is>
          <t>麦咖啡装修</t>
        </is>
      </c>
      <c r="G1065" s="68" t="inlineStr">
        <is>
          <t>麦咖啡装修</t>
        </is>
      </c>
      <c r="H1065" s="68" t="inlineStr">
        <is>
          <t>麦咖啡-地面</t>
        </is>
      </c>
      <c r="I1065" s="69" t="inlineStr">
        <is>
          <t>1000053614</t>
        </is>
      </c>
      <c r="J1065" s="69" t="inlineStr">
        <is>
          <t>灰色水泥纹踢脚（冠军）</t>
        </is>
      </c>
      <c r="K1065" s="70" t="n"/>
      <c r="L1065" s="70" t="n"/>
      <c r="M1065" s="71" t="inlineStr">
        <is>
          <t>米</t>
        </is>
      </c>
      <c r="N1065" s="72" t="n">
        <v>40.15</v>
      </c>
      <c r="O1065" s="72">
        <f>ROUND(N1065*(1+$F$10),2)</f>
        <v/>
      </c>
      <c r="P1065" s="73">
        <f>ROUND(K1065*N1065,2)</f>
        <v/>
      </c>
      <c r="Q1065" s="74">
        <f>ROUND(L1065*N1065,2)</f>
        <v/>
      </c>
      <c r="R1065" s="75" t="n"/>
      <c r="S1065" s="76" t="n"/>
      <c r="T1065" s="77">
        <f>K1065-L1065</f>
        <v/>
      </c>
      <c r="U1065" s="77">
        <f>P1065-Q1065</f>
        <v/>
      </c>
      <c r="V1065" s="77">
        <f>ABS(U1065)</f>
        <v/>
      </c>
      <c r="W1065" s="78">
        <f>T1065/L1065</f>
        <v/>
      </c>
      <c r="X1065" s="79">
        <f>ABS(W1065)</f>
        <v/>
      </c>
    </row>
    <row r="1066" ht="11.4" customHeight="1">
      <c r="A1066" s="67" t="inlineStr">
        <is>
          <t>6056</t>
        </is>
      </c>
      <c r="B1066" s="67" t="inlineStr">
        <is>
          <t>1054</t>
        </is>
      </c>
      <c r="C1066" s="67" t="inlineStr">
        <is>
          <t>1611</t>
        </is>
      </c>
      <c r="D1066" s="68" t="inlineStr">
        <is>
          <t>61</t>
        </is>
      </c>
      <c r="E1066" s="68" t="inlineStr">
        <is>
          <t>McCafe-LHI</t>
        </is>
      </c>
      <c r="F1066" s="68" t="inlineStr">
        <is>
          <t>麦咖啡装修</t>
        </is>
      </c>
      <c r="G1066" s="68" t="inlineStr">
        <is>
          <t>麦咖啡装修</t>
        </is>
      </c>
      <c r="H1066" s="68" t="inlineStr">
        <is>
          <t>麦咖啡-地面</t>
        </is>
      </c>
      <c r="I1066" s="69" t="inlineStr">
        <is>
          <t>1000021679</t>
        </is>
      </c>
      <c r="J1066" s="69" t="inlineStr">
        <is>
          <t>混凝土地面砖（琛雄，人字形拼接）</t>
        </is>
      </c>
      <c r="K1066" s="70" t="n"/>
      <c r="L1066" s="70" t="n"/>
      <c r="M1066" s="71" t="inlineStr">
        <is>
          <t>m2</t>
        </is>
      </c>
      <c r="N1066" s="72" t="n">
        <v>219.86</v>
      </c>
      <c r="O1066" s="72">
        <f>ROUND(N1066*(1+$F$10),2)</f>
        <v/>
      </c>
      <c r="P1066" s="73">
        <f>ROUND(K1066*N1066,2)</f>
        <v/>
      </c>
      <c r="Q1066" s="74">
        <f>ROUND(L1066*N1066,2)</f>
        <v/>
      </c>
      <c r="R1066" s="75" t="n"/>
      <c r="S1066" s="76" t="n"/>
      <c r="T1066" s="77">
        <f>K1066-L1066</f>
        <v/>
      </c>
      <c r="U1066" s="77">
        <f>P1066-Q1066</f>
        <v/>
      </c>
      <c r="V1066" s="77">
        <f>ABS(U1066)</f>
        <v/>
      </c>
      <c r="W1066" s="78">
        <f>T1066/L1066</f>
        <v/>
      </c>
      <c r="X1066" s="79">
        <f>ABS(W1066)</f>
        <v/>
      </c>
    </row>
    <row r="1067" ht="11.4" customHeight="1">
      <c r="A1067" s="67" t="inlineStr">
        <is>
          <t>6056</t>
        </is>
      </c>
      <c r="B1067" s="67" t="inlineStr">
        <is>
          <t>1054</t>
        </is>
      </c>
      <c r="C1067" s="67" t="inlineStr">
        <is>
          <t>1611</t>
        </is>
      </c>
      <c r="D1067" s="68" t="inlineStr">
        <is>
          <t>61</t>
        </is>
      </c>
      <c r="E1067" s="68" t="inlineStr">
        <is>
          <t>McCafe-LHI</t>
        </is>
      </c>
      <c r="F1067" s="68" t="inlineStr">
        <is>
          <t>麦咖啡装修</t>
        </is>
      </c>
      <c r="G1067" s="68" t="inlineStr">
        <is>
          <t>麦咖啡装修</t>
        </is>
      </c>
      <c r="H1067" s="68" t="inlineStr">
        <is>
          <t>麦咖啡-地面</t>
        </is>
      </c>
      <c r="I1067" s="69" t="inlineStr">
        <is>
          <t>1000021678</t>
        </is>
      </c>
      <c r="J1067" s="69" t="inlineStr">
        <is>
          <t>混凝土地面砖（共荣，人字形拼接）</t>
        </is>
      </c>
      <c r="K1067" s="70" t="n"/>
      <c r="L1067" s="70" t="n"/>
      <c r="M1067" s="71" t="inlineStr">
        <is>
          <t>m2</t>
        </is>
      </c>
      <c r="N1067" s="72" t="n">
        <v>203.42</v>
      </c>
      <c r="O1067" s="72">
        <f>ROUND(N1067*(1+$F$10),2)</f>
        <v/>
      </c>
      <c r="P1067" s="73">
        <f>ROUND(K1067*N1067,2)</f>
        <v/>
      </c>
      <c r="Q1067" s="74">
        <f>ROUND(L1067*N1067,2)</f>
        <v/>
      </c>
      <c r="R1067" s="75" t="n"/>
      <c r="S1067" s="76" t="n"/>
      <c r="T1067" s="77">
        <f>K1067-L1067</f>
        <v/>
      </c>
      <c r="U1067" s="77">
        <f>P1067-Q1067</f>
        <v/>
      </c>
      <c r="V1067" s="77">
        <f>ABS(U1067)</f>
        <v/>
      </c>
      <c r="W1067" s="78">
        <f>T1067/L1067</f>
        <v/>
      </c>
      <c r="X1067" s="79">
        <f>ABS(W1067)</f>
        <v/>
      </c>
    </row>
    <row r="1068" ht="11.4" customHeight="1">
      <c r="A1068" s="67" t="inlineStr">
        <is>
          <t>6056</t>
        </is>
      </c>
      <c r="B1068" s="67" t="inlineStr">
        <is>
          <t>1054</t>
        </is>
      </c>
      <c r="C1068" s="67" t="inlineStr">
        <is>
          <t>1611</t>
        </is>
      </c>
      <c r="D1068" s="68" t="inlineStr">
        <is>
          <t>61</t>
        </is>
      </c>
      <c r="E1068" s="68" t="inlineStr">
        <is>
          <t>McCafe-LHI</t>
        </is>
      </c>
      <c r="F1068" s="68" t="inlineStr">
        <is>
          <t>麦咖啡装修</t>
        </is>
      </c>
      <c r="G1068" s="68" t="inlineStr">
        <is>
          <t>麦咖啡装修</t>
        </is>
      </c>
      <c r="H1068" s="68" t="inlineStr">
        <is>
          <t>麦咖啡-地面</t>
        </is>
      </c>
      <c r="I1068" s="69" t="inlineStr">
        <is>
          <t>1000021460</t>
        </is>
      </c>
      <c r="J1068" s="69" t="inlineStr">
        <is>
          <t>混凝土地面砖（冠军，人字形拼接）</t>
        </is>
      </c>
      <c r="K1068" s="70" t="n">
        <v>2.53</v>
      </c>
      <c r="L1068" s="70" t="n">
        <v>2.44</v>
      </c>
      <c r="M1068" s="71" t="inlineStr">
        <is>
          <t>m2</t>
        </is>
      </c>
      <c r="N1068" s="72" t="n">
        <v>222.39</v>
      </c>
      <c r="O1068" s="72">
        <f>ROUND(N1068*(1+$F$10),2)</f>
        <v/>
      </c>
      <c r="P1068" s="73">
        <f>ROUND(K1068*N1068,2)</f>
        <v/>
      </c>
      <c r="Q1068" s="74">
        <f>ROUND(L1068*N1068,2)</f>
        <v/>
      </c>
      <c r="R1068" s="75" t="n"/>
      <c r="S1068" s="76" t="n"/>
      <c r="T1068" s="77">
        <f>K1068-L1068</f>
        <v/>
      </c>
      <c r="U1068" s="77">
        <f>P1068-Q1068</f>
        <v/>
      </c>
      <c r="V1068" s="77">
        <f>ABS(U1068)</f>
        <v/>
      </c>
      <c r="W1068" s="78">
        <f>T1068/L1068</f>
        <v/>
      </c>
      <c r="X1068" s="79">
        <f>ABS(W1068)</f>
        <v/>
      </c>
    </row>
    <row r="1069" ht="11.4" customHeight="1">
      <c r="A1069" s="67" t="inlineStr">
        <is>
          <t>6056</t>
        </is>
      </c>
      <c r="B1069" s="67" t="inlineStr">
        <is>
          <t>1054</t>
        </is>
      </c>
      <c r="C1069" s="67" t="inlineStr">
        <is>
          <t>1611</t>
        </is>
      </c>
      <c r="D1069" s="68" t="inlineStr">
        <is>
          <t>61</t>
        </is>
      </c>
      <c r="E1069" s="68" t="inlineStr">
        <is>
          <t>McCafe-LHI</t>
        </is>
      </c>
      <c r="F1069" s="68" t="inlineStr">
        <is>
          <t>麦咖啡装修</t>
        </is>
      </c>
      <c r="G1069" s="68" t="inlineStr">
        <is>
          <t>麦咖啡装修</t>
        </is>
      </c>
      <c r="H1069" s="68" t="inlineStr">
        <is>
          <t>麦咖啡-地面</t>
        </is>
      </c>
      <c r="I1069" s="69" t="inlineStr">
        <is>
          <t>1000041810</t>
        </is>
      </c>
      <c r="J1069" s="69" t="inlineStr">
        <is>
          <t>黑色踢脚（琛雄，Geometry）</t>
        </is>
      </c>
      <c r="K1069" s="70" t="n"/>
      <c r="L1069" s="70" t="n"/>
      <c r="M1069" s="71" t="inlineStr">
        <is>
          <t>米</t>
        </is>
      </c>
      <c r="N1069" s="72" t="n">
        <v>41.36</v>
      </c>
      <c r="O1069" s="72">
        <f>ROUND(N1069*(1+$F$10),2)</f>
        <v/>
      </c>
      <c r="P1069" s="73">
        <f>ROUND(K1069*N1069,2)</f>
        <v/>
      </c>
      <c r="Q1069" s="74">
        <f>ROUND(L1069*N1069,2)</f>
        <v/>
      </c>
      <c r="R1069" s="75" t="n"/>
      <c r="S1069" s="76" t="n"/>
      <c r="T1069" s="77">
        <f>K1069-L1069</f>
        <v/>
      </c>
      <c r="U1069" s="77">
        <f>P1069-Q1069</f>
        <v/>
      </c>
      <c r="V1069" s="77">
        <f>ABS(U1069)</f>
        <v/>
      </c>
      <c r="W1069" s="78">
        <f>T1069/L1069</f>
        <v/>
      </c>
      <c r="X1069" s="79">
        <f>ABS(W1069)</f>
        <v/>
      </c>
    </row>
    <row r="1070" ht="11.4" customHeight="1">
      <c r="A1070" s="67" t="inlineStr">
        <is>
          <t>6056</t>
        </is>
      </c>
      <c r="B1070" s="67" t="inlineStr">
        <is>
          <t>1054</t>
        </is>
      </c>
      <c r="C1070" s="67" t="inlineStr">
        <is>
          <t>1611</t>
        </is>
      </c>
      <c r="D1070" s="68" t="inlineStr">
        <is>
          <t>61</t>
        </is>
      </c>
      <c r="E1070" s="68" t="inlineStr">
        <is>
          <t>McCafe-LHI</t>
        </is>
      </c>
      <c r="F1070" s="68" t="inlineStr">
        <is>
          <t>麦咖啡装修</t>
        </is>
      </c>
      <c r="G1070" s="68" t="inlineStr">
        <is>
          <t>麦咖啡装修</t>
        </is>
      </c>
      <c r="H1070" s="68" t="inlineStr">
        <is>
          <t>麦咖啡-地面</t>
        </is>
      </c>
      <c r="I1070" s="69" t="inlineStr">
        <is>
          <t>1000041812</t>
        </is>
      </c>
      <c r="J1070" s="69" t="inlineStr">
        <is>
          <t>黑色踢脚（共荣，Geometry）</t>
        </is>
      </c>
      <c r="K1070" s="70" t="n"/>
      <c r="L1070" s="70" t="n"/>
      <c r="M1070" s="71" t="inlineStr">
        <is>
          <t>米</t>
        </is>
      </c>
      <c r="N1070" s="72" t="n">
        <v>40.15</v>
      </c>
      <c r="O1070" s="72">
        <f>ROUND(N1070*(1+$F$10),2)</f>
        <v/>
      </c>
      <c r="P1070" s="73">
        <f>ROUND(K1070*N1070,2)</f>
        <v/>
      </c>
      <c r="Q1070" s="74">
        <f>ROUND(L1070*N1070,2)</f>
        <v/>
      </c>
      <c r="R1070" s="75" t="n"/>
      <c r="S1070" s="76" t="n"/>
      <c r="T1070" s="77">
        <f>K1070-L1070</f>
        <v/>
      </c>
      <c r="U1070" s="77">
        <f>P1070-Q1070</f>
        <v/>
      </c>
      <c r="V1070" s="77">
        <f>ABS(U1070)</f>
        <v/>
      </c>
      <c r="W1070" s="78">
        <f>T1070/L1070</f>
        <v/>
      </c>
      <c r="X1070" s="79">
        <f>ABS(W1070)</f>
        <v/>
      </c>
    </row>
    <row r="1071" ht="11.4" customHeight="1">
      <c r="A1071" s="67" t="inlineStr">
        <is>
          <t>6056</t>
        </is>
      </c>
      <c r="B1071" s="67" t="inlineStr">
        <is>
          <t>1054</t>
        </is>
      </c>
      <c r="C1071" s="67" t="inlineStr">
        <is>
          <t>1611</t>
        </is>
      </c>
      <c r="D1071" s="68" t="inlineStr">
        <is>
          <t>61</t>
        </is>
      </c>
      <c r="E1071" s="68" t="inlineStr">
        <is>
          <t>McCafe-LHI</t>
        </is>
      </c>
      <c r="F1071" s="68" t="inlineStr">
        <is>
          <t>麦咖啡装修</t>
        </is>
      </c>
      <c r="G1071" s="68" t="inlineStr">
        <is>
          <t>麦咖啡装修</t>
        </is>
      </c>
      <c r="H1071" s="68" t="inlineStr">
        <is>
          <t>麦咖啡-地面</t>
        </is>
      </c>
      <c r="I1071" s="69" t="inlineStr">
        <is>
          <t>1000041818</t>
        </is>
      </c>
      <c r="J1071" s="69" t="inlineStr">
        <is>
          <t>黑色踢脚（冠军，Geometry）</t>
        </is>
      </c>
      <c r="K1071" s="83" t="n">
        <v>0.36</v>
      </c>
      <c r="L1071" s="70" t="n">
        <v>0.31</v>
      </c>
      <c r="M1071" s="71" t="inlineStr">
        <is>
          <t>米</t>
        </is>
      </c>
      <c r="N1071" s="72" t="n">
        <v>41.36</v>
      </c>
      <c r="O1071" s="72">
        <f>ROUND(N1071*(1+$F$10),2)</f>
        <v/>
      </c>
      <c r="P1071" s="73">
        <f>ROUND(K1071*N1071,2)</f>
        <v/>
      </c>
      <c r="Q1071" s="74">
        <f>ROUND(L1071*N1071,2)</f>
        <v/>
      </c>
      <c r="R1071" s="75" t="n"/>
      <c r="S1071" s="76" t="n"/>
      <c r="T1071" s="77">
        <f>K1071-L1071</f>
        <v/>
      </c>
      <c r="U1071" s="77">
        <f>P1071-Q1071</f>
        <v/>
      </c>
      <c r="V1071" s="77">
        <f>ABS(U1071)</f>
        <v/>
      </c>
      <c r="W1071" s="78">
        <f>T1071/L1071</f>
        <v/>
      </c>
      <c r="X1071" s="79">
        <f>ABS(W1071)</f>
        <v/>
      </c>
    </row>
    <row r="1072" ht="11.4" customHeight="1">
      <c r="A1072" s="67" t="inlineStr">
        <is>
          <t>6056</t>
        </is>
      </c>
      <c r="B1072" s="67" t="inlineStr">
        <is>
          <t>1054</t>
        </is>
      </c>
      <c r="C1072" s="67" t="inlineStr">
        <is>
          <t>1611</t>
        </is>
      </c>
      <c r="D1072" s="68" t="inlineStr">
        <is>
          <t>61</t>
        </is>
      </c>
      <c r="E1072" s="68" t="inlineStr">
        <is>
          <t>McCafe-LHI</t>
        </is>
      </c>
      <c r="F1072" s="68" t="inlineStr">
        <is>
          <t>麦咖啡装修</t>
        </is>
      </c>
      <c r="G1072" s="68" t="inlineStr">
        <is>
          <t>麦咖啡装修</t>
        </is>
      </c>
      <c r="H1072" s="68" t="inlineStr">
        <is>
          <t>麦咖啡-地面</t>
        </is>
      </c>
      <c r="I1072" s="69" t="inlineStr">
        <is>
          <t>1000021666</t>
        </is>
      </c>
      <c r="J1072" s="69" t="inlineStr">
        <is>
          <t>600*600mm水磨石地砖（琛雄，含不超过50mm厚的找平层）</t>
        </is>
      </c>
      <c r="K1072" s="70" t="n"/>
      <c r="L1072" s="70" t="n"/>
      <c r="M1072" s="71" t="inlineStr">
        <is>
          <t>m2</t>
        </is>
      </c>
      <c r="N1072" s="72" t="n">
        <v>196.14</v>
      </c>
      <c r="O1072" s="72">
        <f>ROUND(N1072*(1+$F$10),2)</f>
        <v/>
      </c>
      <c r="P1072" s="73">
        <f>ROUND(K1072*N1072,2)</f>
        <v/>
      </c>
      <c r="Q1072" s="74">
        <f>ROUND(L1072*N1072,2)</f>
        <v/>
      </c>
      <c r="R1072" s="75" t="n"/>
      <c r="S1072" s="76" t="n"/>
      <c r="T1072" s="77">
        <f>K1072-L1072</f>
        <v/>
      </c>
      <c r="U1072" s="77">
        <f>P1072-Q1072</f>
        <v/>
      </c>
      <c r="V1072" s="77">
        <f>ABS(U1072)</f>
        <v/>
      </c>
      <c r="W1072" s="78">
        <f>T1072/L1072</f>
        <v/>
      </c>
      <c r="X1072" s="79">
        <f>ABS(W1072)</f>
        <v/>
      </c>
    </row>
    <row r="1073" ht="11.4" customHeight="1">
      <c r="A1073" s="67" t="inlineStr">
        <is>
          <t>6056</t>
        </is>
      </c>
      <c r="B1073" s="67" t="inlineStr">
        <is>
          <t>1054</t>
        </is>
      </c>
      <c r="C1073" s="67" t="inlineStr">
        <is>
          <t>1611</t>
        </is>
      </c>
      <c r="D1073" s="68" t="inlineStr">
        <is>
          <t>61</t>
        </is>
      </c>
      <c r="E1073" s="68" t="inlineStr">
        <is>
          <t>McCafe-LHI</t>
        </is>
      </c>
      <c r="F1073" s="68" t="inlineStr">
        <is>
          <t>麦咖啡装修</t>
        </is>
      </c>
      <c r="G1073" s="68" t="inlineStr">
        <is>
          <t>麦咖啡装修</t>
        </is>
      </c>
      <c r="H1073" s="68" t="inlineStr">
        <is>
          <t>麦咖啡-地面</t>
        </is>
      </c>
      <c r="I1073" s="69" t="inlineStr">
        <is>
          <t>1000021667</t>
        </is>
      </c>
      <c r="J1073" s="69" t="inlineStr">
        <is>
          <t>琛雄水磨石踢脚</t>
        </is>
      </c>
      <c r="K1073" s="70" t="n"/>
      <c r="L1073" s="70" t="n"/>
      <c r="M1073" s="71" t="inlineStr">
        <is>
          <t>米</t>
        </is>
      </c>
      <c r="N1073" s="72" t="n">
        <v>41.47</v>
      </c>
      <c r="O1073" s="72">
        <f>ROUND(N1073*(1+$F$10),2)</f>
        <v/>
      </c>
      <c r="P1073" s="73">
        <f>ROUND(K1073*N1073,2)</f>
        <v/>
      </c>
      <c r="Q1073" s="74">
        <f>ROUND(L1073*N1073,2)</f>
        <v/>
      </c>
      <c r="R1073" s="75" t="n"/>
      <c r="S1073" s="76" t="n"/>
      <c r="T1073" s="77">
        <f>K1073-L1073</f>
        <v/>
      </c>
      <c r="U1073" s="77">
        <f>P1073-Q1073</f>
        <v/>
      </c>
      <c r="V1073" s="77">
        <f>ABS(U1073)</f>
        <v/>
      </c>
      <c r="W1073" s="78">
        <f>T1073/L1073</f>
        <v/>
      </c>
      <c r="X1073" s="79">
        <f>ABS(W1073)</f>
        <v/>
      </c>
    </row>
    <row r="1074" ht="11.4" customHeight="1">
      <c r="A1074" s="67" t="inlineStr">
        <is>
          <t>6056</t>
        </is>
      </c>
      <c r="B1074" s="67" t="inlineStr">
        <is>
          <t>1054</t>
        </is>
      </c>
      <c r="C1074" s="67" t="inlineStr">
        <is>
          <t>1611</t>
        </is>
      </c>
      <c r="D1074" s="68" t="inlineStr">
        <is>
          <t>61</t>
        </is>
      </c>
      <c r="E1074" s="68" t="inlineStr">
        <is>
          <t>McCafe-LHI</t>
        </is>
      </c>
      <c r="F1074" s="68" t="inlineStr">
        <is>
          <t>麦咖啡装修</t>
        </is>
      </c>
      <c r="G1074" s="68" t="inlineStr">
        <is>
          <t>麦咖啡装修</t>
        </is>
      </c>
      <c r="H1074" s="68" t="inlineStr">
        <is>
          <t>麦咖啡-地面</t>
        </is>
      </c>
      <c r="I1074" s="69" t="inlineStr">
        <is>
          <t>1000021462</t>
        </is>
      </c>
      <c r="J1074" s="69" t="inlineStr">
        <is>
          <t>600*600mm水磨石地砖（共荣，含不超过50mm厚的找平层）</t>
        </is>
      </c>
      <c r="K1074" s="70" t="n"/>
      <c r="L1074" s="70" t="n"/>
      <c r="M1074" s="71" t="inlineStr">
        <is>
          <t>m2</t>
        </is>
      </c>
      <c r="N1074" s="72" t="n">
        <v>179.82</v>
      </c>
      <c r="O1074" s="72">
        <f>ROUND(N1074*(1+$F$10),2)</f>
        <v/>
      </c>
      <c r="P1074" s="73">
        <f>ROUND(K1074*N1074,2)</f>
        <v/>
      </c>
      <c r="Q1074" s="74">
        <f>ROUND(L1074*N1074,2)</f>
        <v/>
      </c>
      <c r="R1074" s="75" t="n"/>
      <c r="S1074" s="76" t="n"/>
      <c r="T1074" s="77">
        <f>K1074-L1074</f>
        <v/>
      </c>
      <c r="U1074" s="77">
        <f>P1074-Q1074</f>
        <v/>
      </c>
      <c r="V1074" s="77">
        <f>ABS(U1074)</f>
        <v/>
      </c>
      <c r="W1074" s="78">
        <f>T1074/L1074</f>
        <v/>
      </c>
      <c r="X1074" s="79">
        <f>ABS(W1074)</f>
        <v/>
      </c>
    </row>
    <row r="1075" ht="11.4" customHeight="1">
      <c r="A1075" s="67" t="inlineStr">
        <is>
          <t>6056</t>
        </is>
      </c>
      <c r="B1075" s="67" t="inlineStr">
        <is>
          <t>1054</t>
        </is>
      </c>
      <c r="C1075" s="67" t="inlineStr">
        <is>
          <t>1611</t>
        </is>
      </c>
      <c r="D1075" s="68" t="inlineStr">
        <is>
          <t>61</t>
        </is>
      </c>
      <c r="E1075" s="68" t="inlineStr">
        <is>
          <t>McCafe-LHI</t>
        </is>
      </c>
      <c r="F1075" s="68" t="inlineStr">
        <is>
          <t>麦咖啡装修</t>
        </is>
      </c>
      <c r="G1075" s="68" t="inlineStr">
        <is>
          <t>麦咖啡装修</t>
        </is>
      </c>
      <c r="H1075" s="68" t="inlineStr">
        <is>
          <t>麦咖啡-地面</t>
        </is>
      </c>
      <c r="I1075" s="69" t="inlineStr">
        <is>
          <t>1000021463</t>
        </is>
      </c>
      <c r="J1075" s="69" t="inlineStr">
        <is>
          <t>共荣水磨石踢脚</t>
        </is>
      </c>
      <c r="K1075" s="70" t="n"/>
      <c r="L1075" s="70" t="n"/>
      <c r="M1075" s="71" t="inlineStr">
        <is>
          <t>米</t>
        </is>
      </c>
      <c r="N1075" s="72" t="n">
        <v>37.84</v>
      </c>
      <c r="O1075" s="72">
        <f>ROUND(N1075*(1+$F$10),2)</f>
        <v/>
      </c>
      <c r="P1075" s="73">
        <f>ROUND(K1075*N1075,2)</f>
        <v/>
      </c>
      <c r="Q1075" s="74">
        <f>ROUND(L1075*N1075,2)</f>
        <v/>
      </c>
      <c r="R1075" s="75" t="n"/>
      <c r="S1075" s="76" t="n"/>
      <c r="T1075" s="77">
        <f>K1075-L1075</f>
        <v/>
      </c>
      <c r="U1075" s="77">
        <f>P1075-Q1075</f>
        <v/>
      </c>
      <c r="V1075" s="77">
        <f>ABS(U1075)</f>
        <v/>
      </c>
      <c r="W1075" s="78">
        <f>T1075/L1075</f>
        <v/>
      </c>
      <c r="X1075" s="79">
        <f>ABS(W1075)</f>
        <v/>
      </c>
    </row>
    <row r="1076" ht="11.4" customHeight="1">
      <c r="A1076" s="67" t="inlineStr">
        <is>
          <t>6056</t>
        </is>
      </c>
      <c r="B1076" s="67" t="inlineStr">
        <is>
          <t>1054</t>
        </is>
      </c>
      <c r="C1076" s="67" t="inlineStr">
        <is>
          <t>1611</t>
        </is>
      </c>
      <c r="D1076" s="68" t="inlineStr">
        <is>
          <t>61</t>
        </is>
      </c>
      <c r="E1076" s="68" t="inlineStr">
        <is>
          <t>McCafe-LHI</t>
        </is>
      </c>
      <c r="F1076" s="68" t="inlineStr">
        <is>
          <t>麦咖啡装修</t>
        </is>
      </c>
      <c r="G1076" s="68" t="inlineStr">
        <is>
          <t>麦咖啡装修</t>
        </is>
      </c>
      <c r="H1076" s="68" t="inlineStr">
        <is>
          <t>麦咖啡-地面</t>
        </is>
      </c>
      <c r="I1076" s="69" t="inlineStr">
        <is>
          <t>1000021668</t>
        </is>
      </c>
      <c r="J1076" s="69" t="inlineStr">
        <is>
          <t>600*600mm水磨石地砖（冠军，含不超过50mm厚的找平层）</t>
        </is>
      </c>
      <c r="K1076" s="70" t="n"/>
      <c r="L1076" s="70" t="n"/>
      <c r="M1076" s="71" t="inlineStr">
        <is>
          <t>m2</t>
        </is>
      </c>
      <c r="N1076" s="72" t="n">
        <v>193.81</v>
      </c>
      <c r="O1076" s="72">
        <f>ROUND(N1076*(1+$F$10),2)</f>
        <v/>
      </c>
      <c r="P1076" s="73">
        <f>ROUND(K1076*N1076,2)</f>
        <v/>
      </c>
      <c r="Q1076" s="74">
        <f>ROUND(L1076*N1076,2)</f>
        <v/>
      </c>
      <c r="R1076" s="75" t="n"/>
      <c r="S1076" s="76" t="n"/>
      <c r="T1076" s="77">
        <f>K1076-L1076</f>
        <v/>
      </c>
      <c r="U1076" s="77">
        <f>P1076-Q1076</f>
        <v/>
      </c>
      <c r="V1076" s="77">
        <f>ABS(U1076)</f>
        <v/>
      </c>
      <c r="W1076" s="78">
        <f>T1076/L1076</f>
        <v/>
      </c>
      <c r="X1076" s="79">
        <f>ABS(W1076)</f>
        <v/>
      </c>
    </row>
    <row r="1077" ht="11.4" customHeight="1">
      <c r="A1077" s="67" t="inlineStr">
        <is>
          <t>6056</t>
        </is>
      </c>
      <c r="B1077" s="67" t="inlineStr">
        <is>
          <t>1054</t>
        </is>
      </c>
      <c r="C1077" s="67" t="inlineStr">
        <is>
          <t>1611</t>
        </is>
      </c>
      <c r="D1077" s="68" t="inlineStr">
        <is>
          <t>61</t>
        </is>
      </c>
      <c r="E1077" s="68" t="inlineStr">
        <is>
          <t>McCafe-LHI</t>
        </is>
      </c>
      <c r="F1077" s="68" t="inlineStr">
        <is>
          <t>麦咖啡装修</t>
        </is>
      </c>
      <c r="G1077" s="68" t="inlineStr">
        <is>
          <t>麦咖啡装修</t>
        </is>
      </c>
      <c r="H1077" s="68" t="inlineStr">
        <is>
          <t>麦咖啡-地面</t>
        </is>
      </c>
      <c r="I1077" s="69" t="inlineStr">
        <is>
          <t>1000021669</t>
        </is>
      </c>
      <c r="J1077" s="69" t="inlineStr">
        <is>
          <t>冠军水磨石踢脚</t>
        </is>
      </c>
      <c r="K1077" s="70" t="n"/>
      <c r="L1077" s="70" t="n"/>
      <c r="M1077" s="71" t="inlineStr">
        <is>
          <t>米</t>
        </is>
      </c>
      <c r="N1077" s="72" t="n">
        <v>39.05</v>
      </c>
      <c r="O1077" s="72">
        <f>ROUND(N1077*(1+$F$10),2)</f>
        <v/>
      </c>
      <c r="P1077" s="73">
        <f>ROUND(K1077*N1077,2)</f>
        <v/>
      </c>
      <c r="Q1077" s="74">
        <f>ROUND(L1077*N1077,2)</f>
        <v/>
      </c>
      <c r="R1077" s="75" t="n"/>
      <c r="S1077" s="76" t="n"/>
      <c r="T1077" s="77">
        <f>K1077-L1077</f>
        <v/>
      </c>
      <c r="U1077" s="77">
        <f>P1077-Q1077</f>
        <v/>
      </c>
      <c r="V1077" s="77">
        <f>ABS(U1077)</f>
        <v/>
      </c>
      <c r="W1077" s="78">
        <f>T1077/L1077</f>
        <v/>
      </c>
      <c r="X1077" s="79">
        <f>ABS(W1077)</f>
        <v/>
      </c>
    </row>
    <row r="1078" ht="11.4" customHeight="1">
      <c r="A1078" s="67" t="inlineStr">
        <is>
          <t>6056</t>
        </is>
      </c>
      <c r="B1078" s="67" t="inlineStr">
        <is>
          <t>1054</t>
        </is>
      </c>
      <c r="C1078" s="67" t="inlineStr">
        <is>
          <t>1611</t>
        </is>
      </c>
      <c r="D1078" s="68" t="inlineStr">
        <is>
          <t>61</t>
        </is>
      </c>
      <c r="E1078" s="68" t="inlineStr">
        <is>
          <t>McCafe-LHI</t>
        </is>
      </c>
      <c r="F1078" s="68" t="inlineStr">
        <is>
          <t>麦咖啡装修</t>
        </is>
      </c>
      <c r="G1078" s="68" t="inlineStr">
        <is>
          <t>麦咖啡装修</t>
        </is>
      </c>
      <c r="H1078" s="68" t="inlineStr">
        <is>
          <t>麦咖啡-地面</t>
        </is>
      </c>
      <c r="I1078" s="69" t="inlineStr">
        <is>
          <t>1000021670</t>
        </is>
      </c>
      <c r="J1078" s="69" t="inlineStr">
        <is>
          <t>木纹砖(琛雄，含不超过50mm厚的找平层)</t>
        </is>
      </c>
      <c r="K1078" s="70" t="n"/>
      <c r="L1078" s="70" t="n"/>
      <c r="M1078" s="71" t="inlineStr">
        <is>
          <t>m2</t>
        </is>
      </c>
      <c r="N1078" s="72" t="n">
        <v>178.2</v>
      </c>
      <c r="O1078" s="72">
        <f>ROUND(N1078*(1+$F$10),2)</f>
        <v/>
      </c>
      <c r="P1078" s="73">
        <f>ROUND(K1078*N1078,2)</f>
        <v/>
      </c>
      <c r="Q1078" s="74">
        <f>ROUND(L1078*N1078,2)</f>
        <v/>
      </c>
      <c r="R1078" s="75" t="n"/>
      <c r="S1078" s="76" t="n"/>
      <c r="T1078" s="77">
        <f>K1078-L1078</f>
        <v/>
      </c>
      <c r="U1078" s="77">
        <f>P1078-Q1078</f>
        <v/>
      </c>
      <c r="V1078" s="77">
        <f>ABS(U1078)</f>
        <v/>
      </c>
      <c r="W1078" s="78">
        <f>T1078/L1078</f>
        <v/>
      </c>
      <c r="X1078" s="79">
        <f>ABS(W1078)</f>
        <v/>
      </c>
    </row>
    <row r="1079" ht="11.4" customHeight="1">
      <c r="A1079" s="67" t="inlineStr">
        <is>
          <t>6056</t>
        </is>
      </c>
      <c r="B1079" s="67" t="inlineStr">
        <is>
          <t>1054</t>
        </is>
      </c>
      <c r="C1079" s="67" t="inlineStr">
        <is>
          <t>1611</t>
        </is>
      </c>
      <c r="D1079" s="68" t="inlineStr">
        <is>
          <t>61</t>
        </is>
      </c>
      <c r="E1079" s="68" t="inlineStr">
        <is>
          <t>McCafe-LHI</t>
        </is>
      </c>
      <c r="F1079" s="68" t="inlineStr">
        <is>
          <t>麦咖啡装修</t>
        </is>
      </c>
      <c r="G1079" s="68" t="inlineStr">
        <is>
          <t>麦咖啡装修</t>
        </is>
      </c>
      <c r="H1079" s="68" t="inlineStr">
        <is>
          <t>麦咖啡-地面</t>
        </is>
      </c>
      <c r="I1079" s="69" t="inlineStr">
        <is>
          <t>1000021464</t>
        </is>
      </c>
      <c r="J1079" s="69" t="inlineStr">
        <is>
          <t>木纹砖（共荣，含不超过50mm厚的找平层）</t>
        </is>
      </c>
      <c r="K1079" s="70" t="n"/>
      <c r="L1079" s="70" t="n"/>
      <c r="M1079" s="71" t="inlineStr">
        <is>
          <t>m2</t>
        </is>
      </c>
      <c r="N1079" s="72" t="n">
        <v>170.67</v>
      </c>
      <c r="O1079" s="72">
        <f>ROUND(N1079*(1+$F$10),2)</f>
        <v/>
      </c>
      <c r="P1079" s="73">
        <f>ROUND(K1079*N1079,2)</f>
        <v/>
      </c>
      <c r="Q1079" s="74">
        <f>ROUND(L1079*N1079,2)</f>
        <v/>
      </c>
      <c r="R1079" s="75" t="n"/>
      <c r="S1079" s="76" t="n"/>
      <c r="T1079" s="77">
        <f>K1079-L1079</f>
        <v/>
      </c>
      <c r="U1079" s="77">
        <f>P1079-Q1079</f>
        <v/>
      </c>
      <c r="V1079" s="77">
        <f>ABS(U1079)</f>
        <v/>
      </c>
      <c r="W1079" s="78">
        <f>T1079/L1079</f>
        <v/>
      </c>
      <c r="X1079" s="79">
        <f>ABS(W1079)</f>
        <v/>
      </c>
    </row>
    <row r="1080" ht="11.4" customHeight="1">
      <c r="A1080" s="67" t="inlineStr">
        <is>
          <t>6056</t>
        </is>
      </c>
      <c r="B1080" s="67" t="inlineStr">
        <is>
          <t>1054</t>
        </is>
      </c>
      <c r="C1080" s="67" t="inlineStr">
        <is>
          <t>1611</t>
        </is>
      </c>
      <c r="D1080" s="68" t="inlineStr">
        <is>
          <t>61</t>
        </is>
      </c>
      <c r="E1080" s="68" t="inlineStr">
        <is>
          <t>McCafe-LHI</t>
        </is>
      </c>
      <c r="F1080" s="68" t="inlineStr">
        <is>
          <t>麦咖啡装修</t>
        </is>
      </c>
      <c r="G1080" s="68" t="inlineStr">
        <is>
          <t>麦咖啡装修</t>
        </is>
      </c>
      <c r="H1080" s="68" t="inlineStr">
        <is>
          <t>麦咖啡-地面</t>
        </is>
      </c>
      <c r="I1080" s="69" t="inlineStr">
        <is>
          <t>1000021671</t>
        </is>
      </c>
      <c r="J1080" s="69" t="inlineStr">
        <is>
          <t>木纹砖(冠军，含不超过50mm厚的找平层)</t>
        </is>
      </c>
      <c r="K1080" s="70" t="n"/>
      <c r="L1080" s="70" t="n"/>
      <c r="M1080" s="71" t="inlineStr">
        <is>
          <t>m2</t>
        </is>
      </c>
      <c r="N1080" s="72" t="n">
        <v>181.7</v>
      </c>
      <c r="O1080" s="72">
        <f>ROUND(N1080*(1+$F$10),2)</f>
        <v/>
      </c>
      <c r="P1080" s="73">
        <f>ROUND(K1080*N1080,2)</f>
        <v/>
      </c>
      <c r="Q1080" s="74">
        <f>ROUND(L1080*N1080,2)</f>
        <v/>
      </c>
      <c r="R1080" s="75" t="n"/>
      <c r="S1080" s="76" t="n"/>
      <c r="T1080" s="77">
        <f>K1080-L1080</f>
        <v/>
      </c>
      <c r="U1080" s="77">
        <f>P1080-Q1080</f>
        <v/>
      </c>
      <c r="V1080" s="77">
        <f>ABS(U1080)</f>
        <v/>
      </c>
      <c r="W1080" s="78">
        <f>T1080/L1080</f>
        <v/>
      </c>
      <c r="X1080" s="79">
        <f>ABS(W1080)</f>
        <v/>
      </c>
    </row>
    <row r="1081" ht="11.4" customHeight="1">
      <c r="A1081" s="67" t="inlineStr">
        <is>
          <t>6056</t>
        </is>
      </c>
      <c r="B1081" s="67" t="inlineStr">
        <is>
          <t>1054</t>
        </is>
      </c>
      <c r="C1081" s="67" t="inlineStr">
        <is>
          <t>1611</t>
        </is>
      </c>
      <c r="D1081" s="68" t="inlineStr">
        <is>
          <t>61</t>
        </is>
      </c>
      <c r="E1081" s="68" t="inlineStr">
        <is>
          <t>McCafe-LHI</t>
        </is>
      </c>
      <c r="F1081" s="68" t="inlineStr">
        <is>
          <t>麦咖啡装修</t>
        </is>
      </c>
      <c r="G1081" s="68" t="inlineStr">
        <is>
          <t>麦咖啡装修</t>
        </is>
      </c>
      <c r="H1081" s="68" t="inlineStr">
        <is>
          <t>麦咖啡-地面</t>
        </is>
      </c>
      <c r="I1081" s="69" t="inlineStr">
        <is>
          <t>1000021715</t>
        </is>
      </c>
      <c r="J1081" s="69" t="inlineStr">
        <is>
          <t>地面灰砖（琛雄，Luna）</t>
        </is>
      </c>
      <c r="K1081" s="70" t="n"/>
      <c r="L1081" s="70" t="n"/>
      <c r="M1081" s="71" t="inlineStr">
        <is>
          <t>m2</t>
        </is>
      </c>
      <c r="N1081" s="72" t="n">
        <v>180.78</v>
      </c>
      <c r="O1081" s="72">
        <f>ROUND(N1081*(1+$F$10),2)</f>
        <v/>
      </c>
      <c r="P1081" s="73">
        <f>ROUND(K1081*N1081,2)</f>
        <v/>
      </c>
      <c r="Q1081" s="74">
        <f>ROUND(L1081*N1081,2)</f>
        <v/>
      </c>
      <c r="R1081" s="75" t="n"/>
      <c r="S1081" s="76" t="n"/>
      <c r="T1081" s="77">
        <f>K1081-L1081</f>
        <v/>
      </c>
      <c r="U1081" s="77">
        <f>P1081-Q1081</f>
        <v/>
      </c>
      <c r="V1081" s="77">
        <f>ABS(U1081)</f>
        <v/>
      </c>
      <c r="W1081" s="78">
        <f>T1081/L1081</f>
        <v/>
      </c>
      <c r="X1081" s="79">
        <f>ABS(W1081)</f>
        <v/>
      </c>
    </row>
    <row r="1082" ht="11.4" customHeight="1">
      <c r="A1082" s="67" t="inlineStr">
        <is>
          <t>6056</t>
        </is>
      </c>
      <c r="B1082" s="67" t="inlineStr">
        <is>
          <t>1054</t>
        </is>
      </c>
      <c r="C1082" s="67" t="inlineStr">
        <is>
          <t>1611</t>
        </is>
      </c>
      <c r="D1082" s="68" t="inlineStr">
        <is>
          <t>61</t>
        </is>
      </c>
      <c r="E1082" s="68" t="inlineStr">
        <is>
          <t>McCafe-LHI</t>
        </is>
      </c>
      <c r="F1082" s="68" t="inlineStr">
        <is>
          <t>麦咖啡装修</t>
        </is>
      </c>
      <c r="G1082" s="68" t="inlineStr">
        <is>
          <t>麦咖啡装修</t>
        </is>
      </c>
      <c r="H1082" s="68" t="inlineStr">
        <is>
          <t>麦咖啡-地面</t>
        </is>
      </c>
      <c r="I1082" s="69" t="inlineStr">
        <is>
          <t>1000041815</t>
        </is>
      </c>
      <c r="J1082" s="69" t="inlineStr">
        <is>
          <t>地面灰砖（共荣，Luna）</t>
        </is>
      </c>
      <c r="K1082" s="70" t="n"/>
      <c r="L1082" s="70" t="n"/>
      <c r="M1082" s="71" t="inlineStr">
        <is>
          <t>m2</t>
        </is>
      </c>
      <c r="N1082" s="72" t="n">
        <v>162.63</v>
      </c>
      <c r="O1082" s="72">
        <f>ROUND(N1082*(1+$F$10),2)</f>
        <v/>
      </c>
      <c r="P1082" s="73">
        <f>ROUND(K1082*N1082,2)</f>
        <v/>
      </c>
      <c r="Q1082" s="74">
        <f>ROUND(L1082*N1082,2)</f>
        <v/>
      </c>
      <c r="R1082" s="75" t="n"/>
      <c r="S1082" s="76" t="n"/>
      <c r="T1082" s="77">
        <f>K1082-L1082</f>
        <v/>
      </c>
      <c r="U1082" s="77">
        <f>P1082-Q1082</f>
        <v/>
      </c>
      <c r="V1082" s="77">
        <f>ABS(U1082)</f>
        <v/>
      </c>
      <c r="W1082" s="78">
        <f>T1082/L1082</f>
        <v/>
      </c>
      <c r="X1082" s="79">
        <f>ABS(W1082)</f>
        <v/>
      </c>
    </row>
    <row r="1083" ht="11.4" customHeight="1">
      <c r="A1083" s="67" t="inlineStr">
        <is>
          <t>6056</t>
        </is>
      </c>
      <c r="B1083" s="67" t="inlineStr">
        <is>
          <t>1054</t>
        </is>
      </c>
      <c r="C1083" s="67" t="inlineStr">
        <is>
          <t>1611</t>
        </is>
      </c>
      <c r="D1083" s="68" t="inlineStr">
        <is>
          <t>61</t>
        </is>
      </c>
      <c r="E1083" s="68" t="inlineStr">
        <is>
          <t>McCafe-LHI</t>
        </is>
      </c>
      <c r="F1083" s="68" t="inlineStr">
        <is>
          <t>麦咖啡装修</t>
        </is>
      </c>
      <c r="G1083" s="68" t="inlineStr">
        <is>
          <t>麦咖啡装修</t>
        </is>
      </c>
      <c r="H1083" s="68" t="inlineStr">
        <is>
          <t>麦咖啡-地面</t>
        </is>
      </c>
      <c r="I1083" s="69" t="inlineStr">
        <is>
          <t>1000041821</t>
        </is>
      </c>
      <c r="J1083" s="69" t="inlineStr">
        <is>
          <t>地面灰砖（冠军，Luna）</t>
        </is>
      </c>
      <c r="K1083" s="70" t="n"/>
      <c r="L1083" s="70" t="n"/>
      <c r="M1083" s="71" t="inlineStr">
        <is>
          <t>m2</t>
        </is>
      </c>
      <c r="N1083" s="72" t="n">
        <v>183.2</v>
      </c>
      <c r="O1083" s="72">
        <f>ROUND(N1083*(1+$F$10),2)</f>
        <v/>
      </c>
      <c r="P1083" s="73">
        <f>ROUND(K1083*N1083,2)</f>
        <v/>
      </c>
      <c r="Q1083" s="74">
        <f>ROUND(L1083*N1083,2)</f>
        <v/>
      </c>
      <c r="R1083" s="75" t="n"/>
      <c r="S1083" s="76" t="n"/>
      <c r="T1083" s="77">
        <f>K1083-L1083</f>
        <v/>
      </c>
      <c r="U1083" s="77">
        <f>P1083-Q1083</f>
        <v/>
      </c>
      <c r="V1083" s="77">
        <f>ABS(U1083)</f>
        <v/>
      </c>
      <c r="W1083" s="78">
        <f>T1083/L1083</f>
        <v/>
      </c>
      <c r="X1083" s="79">
        <f>ABS(W1083)</f>
        <v/>
      </c>
    </row>
    <row r="1084" ht="11.4" customHeight="1">
      <c r="A1084" s="67" t="inlineStr">
        <is>
          <t>6056</t>
        </is>
      </c>
      <c r="B1084" s="67" t="inlineStr">
        <is>
          <t>1054</t>
        </is>
      </c>
      <c r="C1084" s="67" t="inlineStr">
        <is>
          <t>1611</t>
        </is>
      </c>
      <c r="D1084" s="68" t="inlineStr">
        <is>
          <t>61</t>
        </is>
      </c>
      <c r="E1084" s="68" t="inlineStr">
        <is>
          <t>McCafe-LHI</t>
        </is>
      </c>
      <c r="F1084" s="68" t="inlineStr">
        <is>
          <t>麦咖啡装修</t>
        </is>
      </c>
      <c r="G1084" s="68" t="inlineStr">
        <is>
          <t>麦咖啡装修</t>
        </is>
      </c>
      <c r="H1084" s="68" t="inlineStr">
        <is>
          <t>麦咖啡-地面</t>
        </is>
      </c>
      <c r="I1084" s="69" t="inlineStr">
        <is>
          <t>1000021454</t>
        </is>
      </c>
      <c r="J1084" s="69" t="inlineStr">
        <is>
          <t>150x150mm灰色砖地面（琛雄，含不超过50mm厚的找平层）</t>
        </is>
      </c>
      <c r="K1084" s="70" t="n"/>
      <c r="L1084" s="70" t="n"/>
      <c r="M1084" s="71" t="inlineStr">
        <is>
          <t>m2</t>
        </is>
      </c>
      <c r="N1084" s="72" t="n">
        <v>203.87</v>
      </c>
      <c r="O1084" s="72">
        <f>ROUND(N1084*(1+$F$10),2)</f>
        <v/>
      </c>
      <c r="P1084" s="73">
        <f>ROUND(K1084*N1084,2)</f>
        <v/>
      </c>
      <c r="Q1084" s="74">
        <f>ROUND(L1084*N1084,2)</f>
        <v/>
      </c>
      <c r="R1084" s="75" t="n"/>
      <c r="S1084" s="76" t="n"/>
      <c r="T1084" s="77">
        <f>K1084-L1084</f>
        <v/>
      </c>
      <c r="U1084" s="77">
        <f>P1084-Q1084</f>
        <v/>
      </c>
      <c r="V1084" s="77">
        <f>ABS(U1084)</f>
        <v/>
      </c>
      <c r="W1084" s="78">
        <f>T1084/L1084</f>
        <v/>
      </c>
      <c r="X1084" s="79">
        <f>ABS(W1084)</f>
        <v/>
      </c>
    </row>
    <row r="1085" ht="11.4" customHeight="1">
      <c r="A1085" s="67" t="inlineStr">
        <is>
          <t>6056</t>
        </is>
      </c>
      <c r="B1085" s="67" t="inlineStr">
        <is>
          <t>1054</t>
        </is>
      </c>
      <c r="C1085" s="67" t="inlineStr">
        <is>
          <t>1611</t>
        </is>
      </c>
      <c r="D1085" s="68" t="inlineStr">
        <is>
          <t>61</t>
        </is>
      </c>
      <c r="E1085" s="68" t="inlineStr">
        <is>
          <t>McCafe-LHI</t>
        </is>
      </c>
      <c r="F1085" s="68" t="inlineStr">
        <is>
          <t>麦咖啡装修</t>
        </is>
      </c>
      <c r="G1085" s="68" t="inlineStr">
        <is>
          <t>麦咖啡装修</t>
        </is>
      </c>
      <c r="H1085" s="68" t="inlineStr">
        <is>
          <t>麦咖啡-地面</t>
        </is>
      </c>
      <c r="I1085" s="69" t="inlineStr">
        <is>
          <t>1000021455</t>
        </is>
      </c>
      <c r="J1085" s="69" t="inlineStr">
        <is>
          <t>灰色砖踢脚（琛雄，含阴阳角）</t>
        </is>
      </c>
      <c r="K1085" s="70" t="n"/>
      <c r="L1085" s="70" t="n"/>
      <c r="M1085" s="71" t="inlineStr">
        <is>
          <t>米</t>
        </is>
      </c>
      <c r="N1085" s="72" t="n">
        <v>101.27</v>
      </c>
      <c r="O1085" s="72">
        <f>ROUND(N1085*(1+$F$10),2)</f>
        <v/>
      </c>
      <c r="P1085" s="73">
        <f>ROUND(K1085*N1085,2)</f>
        <v/>
      </c>
      <c r="Q1085" s="74">
        <f>ROUND(L1085*N1085,2)</f>
        <v/>
      </c>
      <c r="R1085" s="75" t="n"/>
      <c r="S1085" s="76" t="n"/>
      <c r="T1085" s="77">
        <f>K1085-L1085</f>
        <v/>
      </c>
      <c r="U1085" s="77">
        <f>P1085-Q1085</f>
        <v/>
      </c>
      <c r="V1085" s="77">
        <f>ABS(U1085)</f>
        <v/>
      </c>
      <c r="W1085" s="78">
        <f>T1085/L1085</f>
        <v/>
      </c>
      <c r="X1085" s="79">
        <f>ABS(W1085)</f>
        <v/>
      </c>
    </row>
    <row r="1086" ht="11.4" customHeight="1">
      <c r="A1086" s="67" t="inlineStr">
        <is>
          <t>6056</t>
        </is>
      </c>
      <c r="B1086" s="67" t="inlineStr">
        <is>
          <t>1054</t>
        </is>
      </c>
      <c r="C1086" s="67" t="inlineStr">
        <is>
          <t>1611</t>
        </is>
      </c>
      <c r="D1086" s="68" t="inlineStr">
        <is>
          <t>61</t>
        </is>
      </c>
      <c r="E1086" s="68" t="inlineStr">
        <is>
          <t>McCafe-LHI</t>
        </is>
      </c>
      <c r="F1086" s="68" t="inlineStr">
        <is>
          <t>麦咖啡装修</t>
        </is>
      </c>
      <c r="G1086" s="68" t="inlineStr">
        <is>
          <t>麦咖啡装修</t>
        </is>
      </c>
      <c r="H1086" s="68" t="inlineStr">
        <is>
          <t>麦咖啡-地面</t>
        </is>
      </c>
      <c r="I1086" s="69" t="inlineStr">
        <is>
          <t>1000021654</t>
        </is>
      </c>
      <c r="J1086" s="69" t="inlineStr">
        <is>
          <t>150x150mm灰色砖地面（共荣，含不超过50mm厚的找平层）</t>
        </is>
      </c>
      <c r="K1086" s="70" t="n"/>
      <c r="L1086" s="70" t="n"/>
      <c r="M1086" s="71" t="inlineStr">
        <is>
          <t>m2</t>
        </is>
      </c>
      <c r="N1086" s="72" t="n">
        <v>194.19</v>
      </c>
      <c r="O1086" s="72">
        <f>ROUND(N1086*(1+$F$10),2)</f>
        <v/>
      </c>
      <c r="P1086" s="73">
        <f>ROUND(K1086*N1086,2)</f>
        <v/>
      </c>
      <c r="Q1086" s="74">
        <f>ROUND(L1086*N1086,2)</f>
        <v/>
      </c>
      <c r="R1086" s="75" t="n"/>
      <c r="S1086" s="76" t="n"/>
      <c r="T1086" s="77">
        <f>K1086-L1086</f>
        <v/>
      </c>
      <c r="U1086" s="77">
        <f>P1086-Q1086</f>
        <v/>
      </c>
      <c r="V1086" s="77">
        <f>ABS(U1086)</f>
        <v/>
      </c>
      <c r="W1086" s="78">
        <f>T1086/L1086</f>
        <v/>
      </c>
      <c r="X1086" s="79">
        <f>ABS(W1086)</f>
        <v/>
      </c>
    </row>
    <row r="1087" ht="11.4" customHeight="1">
      <c r="A1087" s="67" t="inlineStr">
        <is>
          <t>6056</t>
        </is>
      </c>
      <c r="B1087" s="67" t="inlineStr">
        <is>
          <t>1054</t>
        </is>
      </c>
      <c r="C1087" s="67" t="inlineStr">
        <is>
          <t>1611</t>
        </is>
      </c>
      <c r="D1087" s="68" t="inlineStr">
        <is>
          <t>61</t>
        </is>
      </c>
      <c r="E1087" s="68" t="inlineStr">
        <is>
          <t>McCafe-LHI</t>
        </is>
      </c>
      <c r="F1087" s="68" t="inlineStr">
        <is>
          <t>麦咖啡装修</t>
        </is>
      </c>
      <c r="G1087" s="68" t="inlineStr">
        <is>
          <t>麦咖啡装修</t>
        </is>
      </c>
      <c r="H1087" s="68" t="inlineStr">
        <is>
          <t>麦咖啡-地面</t>
        </is>
      </c>
      <c r="I1087" s="69" t="inlineStr">
        <is>
          <t>1000021655</t>
        </is>
      </c>
      <c r="J1087" s="69" t="inlineStr">
        <is>
          <t>灰色砖踢脚（共荣，含阴阳角）</t>
        </is>
      </c>
      <c r="K1087" s="70" t="n"/>
      <c r="L1087" s="70" t="n"/>
      <c r="M1087" s="71" t="inlineStr">
        <is>
          <t>米</t>
        </is>
      </c>
      <c r="N1087" s="72" t="n">
        <v>83.12</v>
      </c>
      <c r="O1087" s="72">
        <f>ROUND(N1087*(1+$F$10),2)</f>
        <v/>
      </c>
      <c r="P1087" s="73">
        <f>ROUND(K1087*N1087,2)</f>
        <v/>
      </c>
      <c r="Q1087" s="74">
        <f>ROUND(L1087*N1087,2)</f>
        <v/>
      </c>
      <c r="R1087" s="75" t="n"/>
      <c r="S1087" s="76" t="n"/>
      <c r="T1087" s="77">
        <f>K1087-L1087</f>
        <v/>
      </c>
      <c r="U1087" s="77">
        <f>P1087-Q1087</f>
        <v/>
      </c>
      <c r="V1087" s="77">
        <f>ABS(U1087)</f>
        <v/>
      </c>
      <c r="W1087" s="78">
        <f>T1087/L1087</f>
        <v/>
      </c>
      <c r="X1087" s="79">
        <f>ABS(W1087)</f>
        <v/>
      </c>
    </row>
    <row r="1088" ht="11.4" customHeight="1">
      <c r="A1088" s="67" t="inlineStr">
        <is>
          <t>6056</t>
        </is>
      </c>
      <c r="B1088" s="67" t="inlineStr">
        <is>
          <t>1054</t>
        </is>
      </c>
      <c r="C1088" s="67" t="inlineStr">
        <is>
          <t>1611</t>
        </is>
      </c>
      <c r="D1088" s="68" t="inlineStr">
        <is>
          <t>61</t>
        </is>
      </c>
      <c r="E1088" s="68" t="inlineStr">
        <is>
          <t>McCafe-LHI</t>
        </is>
      </c>
      <c r="F1088" s="68" t="inlineStr">
        <is>
          <t>麦咖啡装修</t>
        </is>
      </c>
      <c r="G1088" s="68" t="inlineStr">
        <is>
          <t>麦咖啡装修</t>
        </is>
      </c>
      <c r="H1088" s="68" t="inlineStr">
        <is>
          <t>麦咖啡-地面</t>
        </is>
      </c>
      <c r="I1088" s="69" t="inlineStr">
        <is>
          <t>1000021676</t>
        </is>
      </c>
      <c r="J1088" s="69" t="inlineStr">
        <is>
          <t>150x150mm灰色砖地面（冠军，含不超过50mm厚的找平层）</t>
        </is>
      </c>
      <c r="K1088" s="70" t="n"/>
      <c r="L1088" s="70" t="n"/>
      <c r="M1088" s="71" t="inlineStr">
        <is>
          <t>m2</t>
        </is>
      </c>
      <c r="N1088" s="72" t="n">
        <v>202.66</v>
      </c>
      <c r="O1088" s="72">
        <f>ROUND(N1088*(1+$F$10),2)</f>
        <v/>
      </c>
      <c r="P1088" s="73">
        <f>ROUND(K1088*N1088,2)</f>
        <v/>
      </c>
      <c r="Q1088" s="74">
        <f>ROUND(L1088*N1088,2)</f>
        <v/>
      </c>
      <c r="R1088" s="75" t="n"/>
      <c r="S1088" s="76" t="n"/>
      <c r="T1088" s="77">
        <f>K1088-L1088</f>
        <v/>
      </c>
      <c r="U1088" s="77">
        <f>P1088-Q1088</f>
        <v/>
      </c>
      <c r="V1088" s="77">
        <f>ABS(U1088)</f>
        <v/>
      </c>
      <c r="W1088" s="78">
        <f>T1088/L1088</f>
        <v/>
      </c>
      <c r="X1088" s="79">
        <f>ABS(W1088)</f>
        <v/>
      </c>
    </row>
    <row r="1089" ht="11.4" customHeight="1">
      <c r="A1089" s="67" t="inlineStr">
        <is>
          <t>6056</t>
        </is>
      </c>
      <c r="B1089" s="67" t="inlineStr">
        <is>
          <t>1054</t>
        </is>
      </c>
      <c r="C1089" s="67" t="inlineStr">
        <is>
          <t>1611</t>
        </is>
      </c>
      <c r="D1089" s="68" t="inlineStr">
        <is>
          <t>61</t>
        </is>
      </c>
      <c r="E1089" s="68" t="inlineStr">
        <is>
          <t>McCafe-LHI</t>
        </is>
      </c>
      <c r="F1089" s="68" t="inlineStr">
        <is>
          <t>麦咖啡装修</t>
        </is>
      </c>
      <c r="G1089" s="68" t="inlineStr">
        <is>
          <t>麦咖啡装修</t>
        </is>
      </c>
      <c r="H1089" s="68" t="inlineStr">
        <is>
          <t>麦咖啡-地面</t>
        </is>
      </c>
      <c r="I1089" s="69" t="inlineStr">
        <is>
          <t>1000021677</t>
        </is>
      </c>
      <c r="J1089" s="69" t="inlineStr">
        <is>
          <t>灰色砖踢脚（冠军，含阴阳角）</t>
        </is>
      </c>
      <c r="K1089" s="70" t="n"/>
      <c r="L1089" s="70" t="n"/>
      <c r="M1089" s="71" t="inlineStr">
        <is>
          <t>米</t>
        </is>
      </c>
      <c r="N1089" s="72" t="n">
        <v>101.27</v>
      </c>
      <c r="O1089" s="72">
        <f>ROUND(N1089*(1+$F$10),2)</f>
        <v/>
      </c>
      <c r="P1089" s="73">
        <f>ROUND(K1089*N1089,2)</f>
        <v/>
      </c>
      <c r="Q1089" s="74">
        <f>ROUND(L1089*N1089,2)</f>
        <v/>
      </c>
      <c r="R1089" s="75" t="n"/>
      <c r="S1089" s="76" t="n"/>
      <c r="T1089" s="77">
        <f>K1089-L1089</f>
        <v/>
      </c>
      <c r="U1089" s="77">
        <f>P1089-Q1089</f>
        <v/>
      </c>
      <c r="V1089" s="77">
        <f>ABS(U1089)</f>
        <v/>
      </c>
      <c r="W1089" s="78">
        <f>T1089/L1089</f>
        <v/>
      </c>
      <c r="X1089" s="79">
        <f>ABS(W1089)</f>
        <v/>
      </c>
    </row>
    <row r="1090" ht="11.4" customHeight="1">
      <c r="A1090" s="67" t="inlineStr">
        <is>
          <t>6057</t>
        </is>
      </c>
      <c r="B1090" s="67" t="inlineStr">
        <is>
          <t>1055</t>
        </is>
      </c>
      <c r="C1090" s="67" t="inlineStr">
        <is>
          <t>1611</t>
        </is>
      </c>
      <c r="D1090" s="68" t="inlineStr">
        <is>
          <t>61</t>
        </is>
      </c>
      <c r="E1090" s="68" t="inlineStr">
        <is>
          <t>McCafe-LHI</t>
        </is>
      </c>
      <c r="F1090" s="68" t="inlineStr">
        <is>
          <t>麦咖啡装修</t>
        </is>
      </c>
      <c r="G1090" s="68" t="inlineStr">
        <is>
          <t>麦咖啡装修</t>
        </is>
      </c>
      <c r="H1090" s="68" t="inlineStr">
        <is>
          <t>麦咖啡-墙面</t>
        </is>
      </c>
      <c r="I1090" s="69" t="inlineStr">
        <is>
          <t>1000021481</t>
        </is>
      </c>
      <c r="J1090" s="69" t="inlineStr">
        <is>
          <t>100*300mm黑色哑光面砖（琛雄）</t>
        </is>
      </c>
      <c r="K1090" s="70" t="n"/>
      <c r="L1090" s="70" t="n"/>
      <c r="M1090" s="71" t="inlineStr">
        <is>
          <t>m2</t>
        </is>
      </c>
      <c r="N1090" s="72" t="n">
        <v>179.53</v>
      </c>
      <c r="O1090" s="72">
        <f>ROUND(N1090*(1+$F$10),2)</f>
        <v/>
      </c>
      <c r="P1090" s="73">
        <f>ROUND(K1090*N1090,2)</f>
        <v/>
      </c>
      <c r="Q1090" s="74">
        <f>ROUND(L1090*N1090,2)</f>
        <v/>
      </c>
      <c r="R1090" s="75" t="n"/>
      <c r="S1090" s="76" t="n"/>
      <c r="T1090" s="77">
        <f>K1090-L1090</f>
        <v/>
      </c>
      <c r="U1090" s="77">
        <f>P1090-Q1090</f>
        <v/>
      </c>
      <c r="V1090" s="77">
        <f>ABS(U1090)</f>
        <v/>
      </c>
      <c r="W1090" s="78">
        <f>T1090/L1090</f>
        <v/>
      </c>
      <c r="X1090" s="79">
        <f>ABS(W1090)</f>
        <v/>
      </c>
    </row>
    <row r="1091" ht="11.4" customHeight="1">
      <c r="A1091" s="67" t="inlineStr">
        <is>
          <t>6057</t>
        </is>
      </c>
      <c r="B1091" s="67" t="inlineStr">
        <is>
          <t>1055</t>
        </is>
      </c>
      <c r="C1091" s="67" t="inlineStr">
        <is>
          <t>1611</t>
        </is>
      </c>
      <c r="D1091" s="68" t="inlineStr">
        <is>
          <t>61</t>
        </is>
      </c>
      <c r="E1091" s="68" t="inlineStr">
        <is>
          <t>McCafe-LHI</t>
        </is>
      </c>
      <c r="F1091" s="68" t="inlineStr">
        <is>
          <t>麦咖啡装修</t>
        </is>
      </c>
      <c r="G1091" s="68" t="inlineStr">
        <is>
          <t>麦咖啡装修</t>
        </is>
      </c>
      <c r="H1091" s="68" t="inlineStr">
        <is>
          <t>麦咖啡-墙面</t>
        </is>
      </c>
      <c r="I1091" s="69" t="inlineStr">
        <is>
          <t>1000021672</t>
        </is>
      </c>
      <c r="J1091" s="69" t="inlineStr">
        <is>
          <t>100*300mm黑色哑光面砖（共荣）</t>
        </is>
      </c>
      <c r="K1091" s="70" t="n"/>
      <c r="L1091" s="70" t="n"/>
      <c r="M1091" s="71" t="inlineStr">
        <is>
          <t>m2</t>
        </is>
      </c>
      <c r="N1091" s="72" t="n">
        <v>168.64</v>
      </c>
      <c r="O1091" s="72">
        <f>ROUND(N1091*(1+$F$10),2)</f>
        <v/>
      </c>
      <c r="P1091" s="73">
        <f>ROUND(K1091*N1091,2)</f>
        <v/>
      </c>
      <c r="Q1091" s="74">
        <f>ROUND(L1091*N1091,2)</f>
        <v/>
      </c>
      <c r="R1091" s="75" t="n"/>
      <c r="S1091" s="76" t="n"/>
      <c r="T1091" s="77">
        <f>K1091-L1091</f>
        <v/>
      </c>
      <c r="U1091" s="77">
        <f>P1091-Q1091</f>
        <v/>
      </c>
      <c r="V1091" s="77">
        <f>ABS(U1091)</f>
        <v/>
      </c>
      <c r="W1091" s="78">
        <f>T1091/L1091</f>
        <v/>
      </c>
      <c r="X1091" s="79">
        <f>ABS(W1091)</f>
        <v/>
      </c>
    </row>
    <row r="1092" ht="11.4" customHeight="1">
      <c r="A1092" s="67" t="inlineStr">
        <is>
          <t>6057</t>
        </is>
      </c>
      <c r="B1092" s="67" t="inlineStr">
        <is>
          <t>1055</t>
        </is>
      </c>
      <c r="C1092" s="67" t="inlineStr">
        <is>
          <t>1611</t>
        </is>
      </c>
      <c r="D1092" s="68" t="inlineStr">
        <is>
          <t>61</t>
        </is>
      </c>
      <c r="E1092" s="68" t="inlineStr">
        <is>
          <t>McCafe-LHI</t>
        </is>
      </c>
      <c r="F1092" s="68" t="inlineStr">
        <is>
          <t>麦咖啡装修</t>
        </is>
      </c>
      <c r="G1092" s="68" t="inlineStr">
        <is>
          <t>麦咖啡装修</t>
        </is>
      </c>
      <c r="H1092" s="68" t="inlineStr">
        <is>
          <t>麦咖啡-墙面</t>
        </is>
      </c>
      <c r="I1092" s="69" t="inlineStr">
        <is>
          <t>1000021698</t>
        </is>
      </c>
      <c r="J1092" s="69" t="inlineStr">
        <is>
          <t>100*300mm黑色哑光面砖（冠军）</t>
        </is>
      </c>
      <c r="K1092" s="70" t="n"/>
      <c r="L1092" s="70" t="n"/>
      <c r="M1092" s="71" t="inlineStr">
        <is>
          <t>m2</t>
        </is>
      </c>
      <c r="N1092" s="72" t="n">
        <v>179.53</v>
      </c>
      <c r="O1092" s="72">
        <f>ROUND(N1092*(1+$F$10),2)</f>
        <v/>
      </c>
      <c r="P1092" s="73">
        <f>ROUND(K1092*N1092,2)</f>
        <v/>
      </c>
      <c r="Q1092" s="74">
        <f>ROUND(L1092*N1092,2)</f>
        <v/>
      </c>
      <c r="R1092" s="75" t="n"/>
      <c r="S1092" s="76" t="n"/>
      <c r="T1092" s="77">
        <f>K1092-L1092</f>
        <v/>
      </c>
      <c r="U1092" s="77">
        <f>P1092-Q1092</f>
        <v/>
      </c>
      <c r="V1092" s="77">
        <f>ABS(U1092)</f>
        <v/>
      </c>
      <c r="W1092" s="78">
        <f>T1092/L1092</f>
        <v/>
      </c>
      <c r="X1092" s="79">
        <f>ABS(W1092)</f>
        <v/>
      </c>
    </row>
    <row r="1093" ht="11.4" customHeight="1">
      <c r="A1093" s="67" t="inlineStr">
        <is>
          <t>6057</t>
        </is>
      </c>
      <c r="B1093" s="67" t="inlineStr">
        <is>
          <t>1055</t>
        </is>
      </c>
      <c r="C1093" s="67" t="inlineStr">
        <is>
          <t>1611</t>
        </is>
      </c>
      <c r="D1093" s="68" t="inlineStr">
        <is>
          <t>61</t>
        </is>
      </c>
      <c r="E1093" s="68" t="inlineStr">
        <is>
          <t>McCafe-LHI</t>
        </is>
      </c>
      <c r="F1093" s="68" t="inlineStr">
        <is>
          <t>麦咖啡装修</t>
        </is>
      </c>
      <c r="G1093" s="68" t="inlineStr">
        <is>
          <t>麦咖啡装修</t>
        </is>
      </c>
      <c r="H1093" s="68" t="inlineStr">
        <is>
          <t>麦咖啡-墙面</t>
        </is>
      </c>
      <c r="I1093" s="69" t="inlineStr">
        <is>
          <t>1000041811</t>
        </is>
      </c>
      <c r="J1093" s="69" t="inlineStr">
        <is>
          <t>100*300mm深灰色哑光面砖（琛雄，Geometry）</t>
        </is>
      </c>
      <c r="K1093" s="70" t="n"/>
      <c r="L1093" s="70" t="n"/>
      <c r="M1093" s="71" t="inlineStr">
        <is>
          <t>m2</t>
        </is>
      </c>
      <c r="N1093" s="72" t="n">
        <v>169.85</v>
      </c>
      <c r="O1093" s="72">
        <f>ROUND(N1093*(1+$F$10),2)</f>
        <v/>
      </c>
      <c r="P1093" s="73">
        <f>ROUND(K1093*N1093,2)</f>
        <v/>
      </c>
      <c r="Q1093" s="74">
        <f>ROUND(L1093*N1093,2)</f>
        <v/>
      </c>
      <c r="R1093" s="75" t="n"/>
      <c r="S1093" s="76" t="n"/>
      <c r="T1093" s="77">
        <f>K1093-L1093</f>
        <v/>
      </c>
      <c r="U1093" s="77">
        <f>P1093-Q1093</f>
        <v/>
      </c>
      <c r="V1093" s="77">
        <f>ABS(U1093)</f>
        <v/>
      </c>
      <c r="W1093" s="78">
        <f>T1093/L1093</f>
        <v/>
      </c>
      <c r="X1093" s="79">
        <f>ABS(W1093)</f>
        <v/>
      </c>
    </row>
    <row r="1094" ht="11.4" customHeight="1">
      <c r="A1094" s="67" t="inlineStr">
        <is>
          <t>6057</t>
        </is>
      </c>
      <c r="B1094" s="67" t="inlineStr">
        <is>
          <t>1055</t>
        </is>
      </c>
      <c r="C1094" s="67" t="inlineStr">
        <is>
          <t>1611</t>
        </is>
      </c>
      <c r="D1094" s="68" t="inlineStr">
        <is>
          <t>61</t>
        </is>
      </c>
      <c r="E1094" s="68" t="inlineStr">
        <is>
          <t>McCafe-LHI</t>
        </is>
      </c>
      <c r="F1094" s="68" t="inlineStr">
        <is>
          <t>麦咖啡装修</t>
        </is>
      </c>
      <c r="G1094" s="68" t="inlineStr">
        <is>
          <t>麦咖啡装修</t>
        </is>
      </c>
      <c r="H1094" s="68" t="inlineStr">
        <is>
          <t>麦咖啡-墙面</t>
        </is>
      </c>
      <c r="I1094" s="69" t="inlineStr">
        <is>
          <t>1000041817</t>
        </is>
      </c>
      <c r="J1094" s="69" t="inlineStr">
        <is>
          <t>100*300mm深灰色哑光面砖（共荣，Geometry）</t>
        </is>
      </c>
      <c r="K1094" s="70" t="n"/>
      <c r="L1094" s="70" t="n"/>
      <c r="M1094" s="71" t="inlineStr">
        <is>
          <t>m2</t>
        </is>
      </c>
      <c r="N1094" s="72" t="n">
        <v>165.01</v>
      </c>
      <c r="O1094" s="72">
        <f>ROUND(N1094*(1+$F$10),2)</f>
        <v/>
      </c>
      <c r="P1094" s="73">
        <f>ROUND(K1094*N1094,2)</f>
        <v/>
      </c>
      <c r="Q1094" s="74">
        <f>ROUND(L1094*N1094,2)</f>
        <v/>
      </c>
      <c r="R1094" s="75" t="n"/>
      <c r="S1094" s="76" t="n"/>
      <c r="T1094" s="77">
        <f>K1094-L1094</f>
        <v/>
      </c>
      <c r="U1094" s="77">
        <f>P1094-Q1094</f>
        <v/>
      </c>
      <c r="V1094" s="77">
        <f>ABS(U1094)</f>
        <v/>
      </c>
      <c r="W1094" s="78">
        <f>T1094/L1094</f>
        <v/>
      </c>
      <c r="X1094" s="79">
        <f>ABS(W1094)</f>
        <v/>
      </c>
    </row>
    <row r="1095" ht="11.4" customHeight="1">
      <c r="A1095" s="67" t="inlineStr">
        <is>
          <t>6057</t>
        </is>
      </c>
      <c r="B1095" s="67" t="inlineStr">
        <is>
          <t>1055</t>
        </is>
      </c>
      <c r="C1095" s="67" t="inlineStr">
        <is>
          <t>1611</t>
        </is>
      </c>
      <c r="D1095" s="68" t="inlineStr">
        <is>
          <t>61</t>
        </is>
      </c>
      <c r="E1095" s="68" t="inlineStr">
        <is>
          <t>McCafe-LHI</t>
        </is>
      </c>
      <c r="F1095" s="68" t="inlineStr">
        <is>
          <t>麦咖啡装修</t>
        </is>
      </c>
      <c r="G1095" s="68" t="inlineStr">
        <is>
          <t>麦咖啡装修</t>
        </is>
      </c>
      <c r="H1095" s="68" t="inlineStr">
        <is>
          <t>麦咖啡-墙面</t>
        </is>
      </c>
      <c r="I1095" s="69" t="inlineStr">
        <is>
          <t>1000041823</t>
        </is>
      </c>
      <c r="J1095" s="69" t="inlineStr">
        <is>
          <t>100*300mm深灰色哑光面砖（冠军，Geometry）</t>
        </is>
      </c>
      <c r="K1095" s="83" t="n">
        <v>1.5</v>
      </c>
      <c r="L1095" s="70" t="n">
        <v>1.14</v>
      </c>
      <c r="M1095" s="71" t="inlineStr">
        <is>
          <t>m2</t>
        </is>
      </c>
      <c r="N1095" s="72" t="n">
        <v>169.85</v>
      </c>
      <c r="O1095" s="72">
        <f>ROUND(N1095*(1+$F$10),2)</f>
        <v/>
      </c>
      <c r="P1095" s="73">
        <f>ROUND(K1095*N1095,2)</f>
        <v/>
      </c>
      <c r="Q1095" s="74">
        <f>ROUND(L1095*N1095,2)</f>
        <v/>
      </c>
      <c r="R1095" s="75" t="n"/>
      <c r="S1095" s="76" t="n"/>
      <c r="T1095" s="77">
        <f>K1095-L1095</f>
        <v/>
      </c>
      <c r="U1095" s="77">
        <f>P1095-Q1095</f>
        <v/>
      </c>
      <c r="V1095" s="77">
        <f>ABS(U1095)</f>
        <v/>
      </c>
      <c r="W1095" s="78">
        <f>T1095/L1095</f>
        <v/>
      </c>
      <c r="X1095" s="79">
        <f>ABS(W1095)</f>
        <v/>
      </c>
    </row>
    <row r="1096" ht="11.4" customHeight="1">
      <c r="A1096" s="67" t="inlineStr">
        <is>
          <t>6058</t>
        </is>
      </c>
      <c r="B1096" s="67" t="inlineStr">
        <is>
          <t>1056</t>
        </is>
      </c>
      <c r="C1096" s="67" t="inlineStr">
        <is>
          <t>1611</t>
        </is>
      </c>
      <c r="D1096" s="68" t="inlineStr">
        <is>
          <t>61</t>
        </is>
      </c>
      <c r="E1096" s="68" t="inlineStr">
        <is>
          <t>McCafe-LHI</t>
        </is>
      </c>
      <c r="F1096" s="68" t="inlineStr">
        <is>
          <t>麦咖啡装修</t>
        </is>
      </c>
      <c r="G1096" s="68" t="inlineStr">
        <is>
          <t>麦咖啡装修</t>
        </is>
      </c>
      <c r="H1096" s="68" t="inlineStr">
        <is>
          <t>麦咖啡-天花</t>
        </is>
      </c>
      <c r="I1096" s="69" t="inlineStr">
        <is>
          <t>1000021781</t>
        </is>
      </c>
      <c r="J1096" s="69" t="inlineStr">
        <is>
          <t>轻钢龙骨石膏板叠级天花（含收口凹槽）</t>
        </is>
      </c>
      <c r="K1096" s="70" t="n">
        <v>2.02</v>
      </c>
      <c r="L1096" s="70" t="n">
        <v>2.02</v>
      </c>
      <c r="M1096" s="71" t="inlineStr">
        <is>
          <t>m2</t>
        </is>
      </c>
      <c r="N1096" s="72" t="n">
        <v>250.08</v>
      </c>
      <c r="O1096" s="72">
        <f>ROUND(N1096*(1+$F$10),2)</f>
        <v/>
      </c>
      <c r="P1096" s="73">
        <f>ROUND(K1096*N1096,2)</f>
        <v/>
      </c>
      <c r="Q1096" s="74">
        <f>ROUND(L1096*N1096,2)</f>
        <v/>
      </c>
      <c r="R1096" s="75" t="n"/>
      <c r="S1096" s="76" t="n"/>
      <c r="T1096" s="77">
        <f>K1096-L1096</f>
        <v/>
      </c>
      <c r="U1096" s="77">
        <f>P1096-Q1096</f>
        <v/>
      </c>
      <c r="V1096" s="77">
        <f>ABS(U1096)</f>
        <v/>
      </c>
      <c r="W1096" s="78">
        <f>T1096/L1096</f>
        <v/>
      </c>
      <c r="X1096" s="79">
        <f>ABS(W1096)</f>
        <v/>
      </c>
    </row>
    <row r="1097" ht="11.4" customHeight="1">
      <c r="A1097" s="67" t="inlineStr">
        <is>
          <t>6058</t>
        </is>
      </c>
      <c r="B1097" s="67" t="inlineStr">
        <is>
          <t>1056</t>
        </is>
      </c>
      <c r="C1097" s="67" t="inlineStr">
        <is>
          <t>1611</t>
        </is>
      </c>
      <c r="D1097" s="68" t="inlineStr">
        <is>
          <t>61</t>
        </is>
      </c>
      <c r="E1097" s="68" t="inlineStr">
        <is>
          <t>McCafe-LHI</t>
        </is>
      </c>
      <c r="F1097" s="68" t="inlineStr">
        <is>
          <t>麦咖啡装修</t>
        </is>
      </c>
      <c r="G1097" s="68" t="inlineStr">
        <is>
          <t>麦咖啡装修</t>
        </is>
      </c>
      <c r="H1097" s="68" t="inlineStr">
        <is>
          <t>麦咖啡-天花</t>
        </is>
      </c>
      <c r="I1097" s="69" t="inlineStr">
        <is>
          <t>1000021782</t>
        </is>
      </c>
      <c r="J1097" s="69" t="inlineStr">
        <is>
          <t>轻钢龙骨石膏板天花</t>
        </is>
      </c>
      <c r="K1097" s="70" t="n"/>
      <c r="L1097" s="70" t="n"/>
      <c r="M1097" s="71" t="inlineStr">
        <is>
          <t>m2</t>
        </is>
      </c>
      <c r="N1097" s="72" t="n">
        <v>139.73</v>
      </c>
      <c r="O1097" s="72">
        <f>ROUND(N1097*(1+$F$10),2)</f>
        <v/>
      </c>
      <c r="P1097" s="73">
        <f>ROUND(K1097*N1097,2)</f>
        <v/>
      </c>
      <c r="Q1097" s="74">
        <f>ROUND(L1097*N1097,2)</f>
        <v/>
      </c>
      <c r="R1097" s="75" t="n"/>
      <c r="S1097" s="76" t="n"/>
      <c r="T1097" s="77">
        <f>K1097-L1097</f>
        <v/>
      </c>
      <c r="U1097" s="77">
        <f>P1097-Q1097</f>
        <v/>
      </c>
      <c r="V1097" s="77">
        <f>ABS(U1097)</f>
        <v/>
      </c>
      <c r="W1097" s="78">
        <f>T1097/L1097</f>
        <v/>
      </c>
      <c r="X1097" s="79">
        <f>ABS(W1097)</f>
        <v/>
      </c>
    </row>
    <row r="1098" ht="11.4" customHeight="1">
      <c r="A1098" s="67" t="inlineStr">
        <is>
          <t>6058</t>
        </is>
      </c>
      <c r="B1098" s="67" t="inlineStr">
        <is>
          <t>1056</t>
        </is>
      </c>
      <c r="C1098" s="67" t="inlineStr">
        <is>
          <t>1611</t>
        </is>
      </c>
      <c r="D1098" s="68" t="inlineStr">
        <is>
          <t>61</t>
        </is>
      </c>
      <c r="E1098" s="68" t="inlineStr">
        <is>
          <t>McCafe-LHI</t>
        </is>
      </c>
      <c r="F1098" s="68" t="inlineStr">
        <is>
          <t>麦咖啡装修</t>
        </is>
      </c>
      <c r="G1098" s="68" t="inlineStr">
        <is>
          <t>麦咖啡装修</t>
        </is>
      </c>
      <c r="H1098" s="68" t="inlineStr">
        <is>
          <t>麦咖啡-天花</t>
        </is>
      </c>
      <c r="I1098" s="69" t="inlineStr">
        <is>
          <t>1000021483</t>
        </is>
      </c>
      <c r="J1098" s="69" t="inlineStr">
        <is>
          <t>室内深色乳胶漆（含批搪，可擦洗）</t>
        </is>
      </c>
      <c r="K1098" s="70" t="n">
        <v>2.63</v>
      </c>
      <c r="L1098" s="70" t="n">
        <v>2.63</v>
      </c>
      <c r="M1098" s="71" t="inlineStr">
        <is>
          <t>m2</t>
        </is>
      </c>
      <c r="N1098" s="72" t="n">
        <v>62.19</v>
      </c>
      <c r="O1098" s="72">
        <f>ROUND(N1098*(1+$F$10),2)</f>
        <v/>
      </c>
      <c r="P1098" s="73">
        <f>ROUND(K1098*N1098,2)</f>
        <v/>
      </c>
      <c r="Q1098" s="74">
        <f>ROUND(L1098*N1098,2)</f>
        <v/>
      </c>
      <c r="R1098" s="75" t="n"/>
      <c r="S1098" s="76" t="n"/>
      <c r="T1098" s="77">
        <f>K1098-L1098</f>
        <v/>
      </c>
      <c r="U1098" s="77">
        <f>P1098-Q1098</f>
        <v/>
      </c>
      <c r="V1098" s="77">
        <f>ABS(U1098)</f>
        <v/>
      </c>
      <c r="W1098" s="78">
        <f>T1098/L1098</f>
        <v/>
      </c>
      <c r="X1098" s="79">
        <f>ABS(W1098)</f>
        <v/>
      </c>
    </row>
    <row r="1099" ht="11.4" customHeight="1">
      <c r="A1099" s="67" t="inlineStr">
        <is>
          <t>6060</t>
        </is>
      </c>
      <c r="B1099" s="67" t="inlineStr">
        <is>
          <t>1058</t>
        </is>
      </c>
      <c r="C1099" s="67" t="inlineStr">
        <is>
          <t>1611</t>
        </is>
      </c>
      <c r="D1099" s="68" t="inlineStr">
        <is>
          <t>61</t>
        </is>
      </c>
      <c r="E1099" s="68" t="inlineStr">
        <is>
          <t>McCafe-LHI</t>
        </is>
      </c>
      <c r="F1099" s="68" t="inlineStr">
        <is>
          <t>麦咖啡装修</t>
        </is>
      </c>
      <c r="G1099" s="68" t="inlineStr">
        <is>
          <t>麦咖啡装修</t>
        </is>
      </c>
      <c r="H1099" s="68" t="inlineStr">
        <is>
          <t>麦咖啡-模组</t>
        </is>
      </c>
      <c r="I1099" s="69" t="inlineStr">
        <is>
          <t>1000022104</t>
        </is>
      </c>
      <c r="J1099" s="69" t="inlineStr">
        <is>
          <t>连桥模组安装</t>
        </is>
      </c>
      <c r="K1099" s="70" t="n">
        <v>1</v>
      </c>
      <c r="L1099" s="70" t="n">
        <v>1</v>
      </c>
      <c r="M1099" s="71" t="inlineStr">
        <is>
          <t>项</t>
        </is>
      </c>
      <c r="N1099" s="72" t="n">
        <v>2739.8</v>
      </c>
      <c r="O1099" s="72">
        <f>ROUND(N1099*(1+$F$10),2)</f>
        <v/>
      </c>
      <c r="P1099" s="73">
        <f>ROUND(K1099*N1099,2)</f>
        <v/>
      </c>
      <c r="Q1099" s="74">
        <f>ROUND(L1099*N1099,2)</f>
        <v/>
      </c>
      <c r="R1099" s="75" t="n"/>
      <c r="S1099" s="76" t="n"/>
      <c r="T1099" s="77">
        <f>K1099-L1099</f>
        <v/>
      </c>
      <c r="U1099" s="77">
        <f>P1099-Q1099</f>
        <v/>
      </c>
      <c r="V1099" s="77">
        <f>ABS(U1099)</f>
        <v/>
      </c>
      <c r="W1099" s="78">
        <f>T1099/L1099</f>
        <v/>
      </c>
      <c r="X1099" s="79">
        <f>ABS(W1099)</f>
        <v/>
      </c>
    </row>
    <row r="1100" ht="11.4" customHeight="1">
      <c r="A1100" s="67" t="inlineStr">
        <is>
          <t>6064</t>
        </is>
      </c>
      <c r="B1100" s="67" t="inlineStr">
        <is>
          <t>1062</t>
        </is>
      </c>
      <c r="C1100" s="67" t="inlineStr">
        <is>
          <t>1611</t>
        </is>
      </c>
      <c r="D1100" s="68" t="inlineStr">
        <is>
          <t>61</t>
        </is>
      </c>
      <c r="E1100" s="68" t="inlineStr">
        <is>
          <t>McCafe-LHI</t>
        </is>
      </c>
      <c r="F1100" s="68" t="inlineStr">
        <is>
          <t>麦咖啡装修</t>
        </is>
      </c>
      <c r="G1100" s="68" t="inlineStr">
        <is>
          <t>麦咖啡装修</t>
        </is>
      </c>
      <c r="H1100" s="68" t="inlineStr">
        <is>
          <t>麦咖啡-门</t>
        </is>
      </c>
      <c r="I1100" s="69" t="inlineStr">
        <is>
          <t>1000022111</t>
        </is>
      </c>
      <c r="J1100" s="69" t="inlineStr">
        <is>
          <t>总包自制--850mmX40mm厚 隔断成品门及全部配件</t>
        </is>
      </c>
      <c r="K1100" s="70" t="n"/>
      <c r="L1100" s="70" t="n"/>
      <c r="M1100" s="71" t="inlineStr">
        <is>
          <t>樘</t>
        </is>
      </c>
      <c r="N1100" s="72" t="n">
        <v>747.45</v>
      </c>
      <c r="O1100" s="72">
        <f>ROUND(N1100*(1+$F$10),2)</f>
        <v/>
      </c>
      <c r="P1100" s="73">
        <f>ROUND(K1100*N1100,2)</f>
        <v/>
      </c>
      <c r="Q1100" s="74">
        <f>ROUND(L1100*N1100,2)</f>
        <v/>
      </c>
      <c r="R1100" s="75" t="n"/>
      <c r="S1100" s="76" t="n"/>
      <c r="T1100" s="77">
        <f>K1100-L1100</f>
        <v/>
      </c>
      <c r="U1100" s="77">
        <f>P1100-Q1100</f>
        <v/>
      </c>
      <c r="V1100" s="77">
        <f>ABS(U1100)</f>
        <v/>
      </c>
      <c r="W1100" s="78">
        <f>T1100/L1100</f>
        <v/>
      </c>
      <c r="X1100" s="79">
        <f>ABS(W1100)</f>
        <v/>
      </c>
    </row>
    <row r="1101" ht="11.4" customHeight="1">
      <c r="A1101" s="67" t="inlineStr">
        <is>
          <t>6064</t>
        </is>
      </c>
      <c r="B1101" s="67" t="inlineStr">
        <is>
          <t>1062</t>
        </is>
      </c>
      <c r="C1101" s="67" t="inlineStr">
        <is>
          <t>1611</t>
        </is>
      </c>
      <c r="D1101" s="68" t="inlineStr">
        <is>
          <t>61</t>
        </is>
      </c>
      <c r="E1101" s="68" t="inlineStr">
        <is>
          <t>McCafe-LHI</t>
        </is>
      </c>
      <c r="F1101" s="68" t="inlineStr">
        <is>
          <t>麦咖啡装修</t>
        </is>
      </c>
      <c r="G1101" s="68" t="inlineStr">
        <is>
          <t>麦咖啡装修</t>
        </is>
      </c>
      <c r="H1101" s="68" t="inlineStr">
        <is>
          <t>麦咖啡-其他</t>
        </is>
      </c>
      <c r="I1101" s="69" t="inlineStr">
        <is>
          <t>1000022114</t>
        </is>
      </c>
      <c r="J1101" s="69" t="inlineStr">
        <is>
          <t>不锈钢踢脚 H=100</t>
        </is>
      </c>
      <c r="K1101" s="70" t="n"/>
      <c r="L1101" s="70" t="n"/>
      <c r="M1101" s="71" t="inlineStr">
        <is>
          <t>米</t>
        </is>
      </c>
      <c r="N1101" s="72" t="n">
        <v>75.86</v>
      </c>
      <c r="O1101" s="72">
        <f>ROUND(N1101*(1+$F$10),2)</f>
        <v/>
      </c>
      <c r="P1101" s="73">
        <f>ROUND(K1101*N1101,2)</f>
        <v/>
      </c>
      <c r="Q1101" s="74">
        <f>ROUND(L1101*N1101,2)</f>
        <v/>
      </c>
      <c r="R1101" s="75" t="n"/>
      <c r="S1101" s="76" t="n"/>
      <c r="T1101" s="77">
        <f>K1101-L1101</f>
        <v/>
      </c>
      <c r="U1101" s="77">
        <f>P1101-Q1101</f>
        <v/>
      </c>
      <c r="V1101" s="77">
        <f>ABS(U1101)</f>
        <v/>
      </c>
      <c r="W1101" s="78">
        <f>T1101/L1101</f>
        <v/>
      </c>
      <c r="X1101" s="79">
        <f>ABS(W1101)</f>
        <v/>
      </c>
    </row>
    <row r="1102" ht="11.4" customHeight="1">
      <c r="A1102" s="67" t="inlineStr">
        <is>
          <t>6064</t>
        </is>
      </c>
      <c r="B1102" s="67" t="inlineStr">
        <is>
          <t>1062</t>
        </is>
      </c>
      <c r="C1102" s="67" t="inlineStr">
        <is>
          <t>1611</t>
        </is>
      </c>
      <c r="D1102" s="68" t="inlineStr">
        <is>
          <t>61</t>
        </is>
      </c>
      <c r="E1102" s="68" t="inlineStr">
        <is>
          <t>McCafe-LHI</t>
        </is>
      </c>
      <c r="F1102" s="68" t="inlineStr">
        <is>
          <t>麦咖啡装修</t>
        </is>
      </c>
      <c r="G1102" s="68" t="inlineStr">
        <is>
          <t>麦咖啡装修</t>
        </is>
      </c>
      <c r="H1102" s="68" t="inlineStr">
        <is>
          <t>麦咖啡-其他</t>
        </is>
      </c>
      <c r="I1102" s="69" t="inlineStr">
        <is>
          <t>1000022115</t>
        </is>
      </c>
      <c r="J1102" s="69" t="inlineStr">
        <is>
          <t>不锈钢踢脚 H=200</t>
        </is>
      </c>
      <c r="K1102" s="70" t="n"/>
      <c r="L1102" s="70" t="n"/>
      <c r="M1102" s="71" t="inlineStr">
        <is>
          <t>米</t>
        </is>
      </c>
      <c r="N1102" s="72" t="n">
        <v>112.38</v>
      </c>
      <c r="O1102" s="72">
        <f>ROUND(N1102*(1+$F$10),2)</f>
        <v/>
      </c>
      <c r="P1102" s="73">
        <f>ROUND(K1102*N1102,2)</f>
        <v/>
      </c>
      <c r="Q1102" s="74">
        <f>ROUND(L1102*N1102,2)</f>
        <v/>
      </c>
      <c r="R1102" s="75" t="n"/>
      <c r="S1102" s="76" t="n"/>
      <c r="T1102" s="77">
        <f>K1102-L1102</f>
        <v/>
      </c>
      <c r="U1102" s="77">
        <f>P1102-Q1102</f>
        <v/>
      </c>
      <c r="V1102" s="77">
        <f>ABS(U1102)</f>
        <v/>
      </c>
      <c r="W1102" s="78">
        <f>T1102/L1102</f>
        <v/>
      </c>
      <c r="X1102" s="79">
        <f>ABS(W1102)</f>
        <v/>
      </c>
    </row>
    <row r="1103" ht="11.4" customHeight="1">
      <c r="A1103" s="67" t="inlineStr">
        <is>
          <t>6068</t>
        </is>
      </c>
      <c r="B1103" s="67" t="inlineStr">
        <is>
          <t>1066</t>
        </is>
      </c>
      <c r="C1103" s="67" t="inlineStr">
        <is>
          <t>1612</t>
        </is>
      </c>
      <c r="D1103" s="68" t="inlineStr">
        <is>
          <t>61</t>
        </is>
      </c>
      <c r="E1103" s="68" t="inlineStr">
        <is>
          <t>McCafe-LHI</t>
        </is>
      </c>
      <c r="F1103" s="68" t="inlineStr">
        <is>
          <t>麦咖啡装修</t>
        </is>
      </c>
      <c r="G1103" s="68" t="inlineStr">
        <is>
          <t>麦咖啡装修</t>
        </is>
      </c>
      <c r="H1103" s="68" t="inlineStr">
        <is>
          <t>麦咖啡-电气</t>
        </is>
      </c>
      <c r="I1103" s="69" t="inlineStr">
        <is>
          <t>1000021599</t>
        </is>
      </c>
      <c r="J1103" s="69" t="inlineStr">
        <is>
          <t>电源箱</t>
        </is>
      </c>
      <c r="K1103" s="70" t="n"/>
      <c r="L1103" s="70" t="n"/>
      <c r="M1103" s="71" t="inlineStr">
        <is>
          <t>台</t>
        </is>
      </c>
      <c r="N1103" s="72" t="n">
        <v>3163.71</v>
      </c>
      <c r="O1103" s="72">
        <f>ROUND(N1103*(1+$F$10),2)</f>
        <v/>
      </c>
      <c r="P1103" s="73">
        <f>ROUND(K1103*N1103,2)</f>
        <v/>
      </c>
      <c r="Q1103" s="74">
        <f>ROUND(L1103*N1103,2)</f>
        <v/>
      </c>
      <c r="R1103" s="75" t="n"/>
      <c r="S1103" s="76" t="n"/>
      <c r="T1103" s="77">
        <f>K1103-L1103</f>
        <v/>
      </c>
      <c r="U1103" s="77">
        <f>P1103-Q1103</f>
        <v/>
      </c>
      <c r="V1103" s="77">
        <f>ABS(U1103)</f>
        <v/>
      </c>
      <c r="W1103" s="78">
        <f>T1103/L1103</f>
        <v/>
      </c>
      <c r="X1103" s="79">
        <f>ABS(W1103)</f>
        <v/>
      </c>
    </row>
    <row r="1104" ht="11.4" customHeight="1">
      <c r="A1104" s="67" t="inlineStr">
        <is>
          <t>6068</t>
        </is>
      </c>
      <c r="B1104" s="67" t="inlineStr">
        <is>
          <t>1066</t>
        </is>
      </c>
      <c r="C1104" s="67" t="inlineStr">
        <is>
          <t>1612</t>
        </is>
      </c>
      <c r="D1104" s="68" t="inlineStr">
        <is>
          <t>61</t>
        </is>
      </c>
      <c r="E1104" s="68" t="inlineStr">
        <is>
          <t>McCafe-LHI</t>
        </is>
      </c>
      <c r="F1104" s="68" t="inlineStr">
        <is>
          <t>麦咖啡装修</t>
        </is>
      </c>
      <c r="G1104" s="68" t="inlineStr">
        <is>
          <t>麦咖啡装修</t>
        </is>
      </c>
      <c r="H1104" s="68" t="inlineStr">
        <is>
          <t>麦咖啡-电气</t>
        </is>
      </c>
      <c r="I1104" s="69" t="inlineStr">
        <is>
          <t>1000021861</t>
        </is>
      </c>
      <c r="J1104" s="69" t="inlineStr">
        <is>
          <t>10A 三眼单相插座回路</t>
        </is>
      </c>
      <c r="K1104" s="83" t="n">
        <v>4</v>
      </c>
      <c r="L1104" s="70" t="n">
        <v>3</v>
      </c>
      <c r="M1104" s="71" t="inlineStr">
        <is>
          <t>组</t>
        </is>
      </c>
      <c r="N1104" s="72" t="n">
        <v>486.16</v>
      </c>
      <c r="O1104" s="72">
        <f>ROUND(N1104*(1+$F$10),2)</f>
        <v/>
      </c>
      <c r="P1104" s="73">
        <f>ROUND(K1104*N1104,2)</f>
        <v/>
      </c>
      <c r="Q1104" s="74">
        <f>ROUND(L1104*N1104,2)</f>
        <v/>
      </c>
      <c r="R1104" s="75" t="n"/>
      <c r="S1104" s="76" t="n"/>
      <c r="T1104" s="77">
        <f>K1104-L1104</f>
        <v/>
      </c>
      <c r="U1104" s="77">
        <f>P1104-Q1104</f>
        <v/>
      </c>
      <c r="V1104" s="77">
        <f>ABS(U1104)</f>
        <v/>
      </c>
      <c r="W1104" s="78">
        <f>T1104/L1104</f>
        <v/>
      </c>
      <c r="X1104" s="79">
        <f>ABS(W1104)</f>
        <v/>
      </c>
    </row>
    <row r="1105" ht="11.4" customHeight="1">
      <c r="A1105" s="67" t="inlineStr">
        <is>
          <t>6068</t>
        </is>
      </c>
      <c r="B1105" s="67" t="inlineStr">
        <is>
          <t>1066</t>
        </is>
      </c>
      <c r="C1105" s="67" t="inlineStr">
        <is>
          <t>1612</t>
        </is>
      </c>
      <c r="D1105" s="68" t="inlineStr">
        <is>
          <t>61</t>
        </is>
      </c>
      <c r="E1105" s="68" t="inlineStr">
        <is>
          <t>McCafe-LHI</t>
        </is>
      </c>
      <c r="F1105" s="68" t="inlineStr">
        <is>
          <t>麦咖啡装修</t>
        </is>
      </c>
      <c r="G1105" s="68" t="inlineStr">
        <is>
          <t>麦咖啡装修</t>
        </is>
      </c>
      <c r="H1105" s="68" t="inlineStr">
        <is>
          <t>麦咖啡-电气</t>
        </is>
      </c>
      <c r="I1105" s="69" t="inlineStr">
        <is>
          <t>1000021862</t>
        </is>
      </c>
      <c r="J1105" s="69" t="inlineStr">
        <is>
          <t>10A 三眼单相插座</t>
        </is>
      </c>
      <c r="K1105" s="70" t="n">
        <v>6</v>
      </c>
      <c r="L1105" s="70" t="n">
        <v>6</v>
      </c>
      <c r="M1105" s="71" t="inlineStr">
        <is>
          <t>个</t>
        </is>
      </c>
      <c r="N1105" s="72" t="n">
        <v>105.21</v>
      </c>
      <c r="O1105" s="72">
        <f>ROUND(N1105*(1+$F$10),2)</f>
        <v/>
      </c>
      <c r="P1105" s="73">
        <f>ROUND(K1105*N1105,2)</f>
        <v/>
      </c>
      <c r="Q1105" s="74">
        <f>ROUND(L1105*N1105,2)</f>
        <v/>
      </c>
      <c r="R1105" s="75" t="n"/>
      <c r="S1105" s="76" t="n"/>
      <c r="T1105" s="77">
        <f>K1105-L1105</f>
        <v/>
      </c>
      <c r="U1105" s="77">
        <f>P1105-Q1105</f>
        <v/>
      </c>
      <c r="V1105" s="77">
        <f>ABS(U1105)</f>
        <v/>
      </c>
      <c r="W1105" s="78">
        <f>T1105/L1105</f>
        <v/>
      </c>
      <c r="X1105" s="79">
        <f>ABS(W1105)</f>
        <v/>
      </c>
    </row>
    <row r="1106" ht="11.4" customHeight="1">
      <c r="A1106" s="67" t="inlineStr">
        <is>
          <t>6068</t>
        </is>
      </c>
      <c r="B1106" s="67" t="inlineStr">
        <is>
          <t>1066</t>
        </is>
      </c>
      <c r="C1106" s="67" t="inlineStr">
        <is>
          <t>1612</t>
        </is>
      </c>
      <c r="D1106" s="68" t="inlineStr">
        <is>
          <t>61</t>
        </is>
      </c>
      <c r="E1106" s="68" t="inlineStr">
        <is>
          <t>McCafe-LHI</t>
        </is>
      </c>
      <c r="F1106" s="68" t="inlineStr">
        <is>
          <t>麦咖啡装修</t>
        </is>
      </c>
      <c r="G1106" s="68" t="inlineStr">
        <is>
          <t>麦咖啡装修</t>
        </is>
      </c>
      <c r="H1106" s="68" t="inlineStr">
        <is>
          <t>麦咖啡-电气</t>
        </is>
      </c>
      <c r="I1106" s="69" t="inlineStr">
        <is>
          <t>1000021863</t>
        </is>
      </c>
      <c r="J1106" s="69" t="inlineStr">
        <is>
          <t>16A 三眼单相插座回路</t>
        </is>
      </c>
      <c r="K1106" s="70" t="n"/>
      <c r="L1106" s="70" t="n"/>
      <c r="M1106" s="71" t="inlineStr">
        <is>
          <t>组</t>
        </is>
      </c>
      <c r="N1106" s="72" t="n">
        <v>511.41</v>
      </c>
      <c r="O1106" s="72">
        <f>ROUND(N1106*(1+$F$10),2)</f>
        <v/>
      </c>
      <c r="P1106" s="73">
        <f>ROUND(K1106*N1106,2)</f>
        <v/>
      </c>
      <c r="Q1106" s="74">
        <f>ROUND(L1106*N1106,2)</f>
        <v/>
      </c>
      <c r="R1106" s="75" t="n"/>
      <c r="S1106" s="76" t="n"/>
      <c r="T1106" s="77">
        <f>K1106-L1106</f>
        <v/>
      </c>
      <c r="U1106" s="77">
        <f>P1106-Q1106</f>
        <v/>
      </c>
      <c r="V1106" s="77">
        <f>ABS(U1106)</f>
        <v/>
      </c>
      <c r="W1106" s="78">
        <f>T1106/L1106</f>
        <v/>
      </c>
      <c r="X1106" s="79">
        <f>ABS(W1106)</f>
        <v/>
      </c>
    </row>
    <row r="1107" ht="11.4" customHeight="1">
      <c r="A1107" s="67" t="inlineStr">
        <is>
          <t>6068</t>
        </is>
      </c>
      <c r="B1107" s="67" t="inlineStr">
        <is>
          <t>1066</t>
        </is>
      </c>
      <c r="C1107" s="67" t="inlineStr">
        <is>
          <t>1612</t>
        </is>
      </c>
      <c r="D1107" s="68" t="inlineStr">
        <is>
          <t>61</t>
        </is>
      </c>
      <c r="E1107" s="68" t="inlineStr">
        <is>
          <t>McCafe-LHI</t>
        </is>
      </c>
      <c r="F1107" s="68" t="inlineStr">
        <is>
          <t>麦咖啡装修</t>
        </is>
      </c>
      <c r="G1107" s="68" t="inlineStr">
        <is>
          <t>麦咖啡装修</t>
        </is>
      </c>
      <c r="H1107" s="68" t="inlineStr">
        <is>
          <t>麦咖啡-电气</t>
        </is>
      </c>
      <c r="I1107" s="69" t="inlineStr">
        <is>
          <t>1000021864</t>
        </is>
      </c>
      <c r="J1107" s="69" t="inlineStr">
        <is>
          <t>16A 三眼单相插座</t>
        </is>
      </c>
      <c r="K1107" s="70" t="n"/>
      <c r="L1107" s="70" t="n"/>
      <c r="M1107" s="71" t="inlineStr">
        <is>
          <t>个</t>
        </is>
      </c>
      <c r="N1107" s="72" t="n">
        <v>105.85</v>
      </c>
      <c r="O1107" s="72">
        <f>ROUND(N1107*(1+$F$10),2)</f>
        <v/>
      </c>
      <c r="P1107" s="73">
        <f>ROUND(K1107*N1107,2)</f>
        <v/>
      </c>
      <c r="Q1107" s="74">
        <f>ROUND(L1107*N1107,2)</f>
        <v/>
      </c>
      <c r="R1107" s="75" t="n"/>
      <c r="S1107" s="76" t="n"/>
      <c r="T1107" s="77">
        <f>K1107-L1107</f>
        <v/>
      </c>
      <c r="U1107" s="77">
        <f>P1107-Q1107</f>
        <v/>
      </c>
      <c r="V1107" s="77">
        <f>ABS(U1107)</f>
        <v/>
      </c>
      <c r="W1107" s="78">
        <f>T1107/L1107</f>
        <v/>
      </c>
      <c r="X1107" s="79">
        <f>ABS(W1107)</f>
        <v/>
      </c>
    </row>
    <row r="1108" ht="11.4" customHeight="1">
      <c r="A1108" s="67" t="inlineStr">
        <is>
          <t>6068</t>
        </is>
      </c>
      <c r="B1108" s="67" t="inlineStr">
        <is>
          <t>1066</t>
        </is>
      </c>
      <c r="C1108" s="67" t="inlineStr">
        <is>
          <t>1612</t>
        </is>
      </c>
      <c r="D1108" s="68" t="inlineStr">
        <is>
          <t>61</t>
        </is>
      </c>
      <c r="E1108" s="68" t="inlineStr">
        <is>
          <t>McCafe-LHI</t>
        </is>
      </c>
      <c r="F1108" s="68" t="inlineStr">
        <is>
          <t>麦咖啡装修</t>
        </is>
      </c>
      <c r="G1108" s="68" t="inlineStr">
        <is>
          <t>麦咖啡装修</t>
        </is>
      </c>
      <c r="H1108" s="68" t="inlineStr">
        <is>
          <t>麦咖啡-电气</t>
        </is>
      </c>
      <c r="I1108" s="69" t="inlineStr">
        <is>
          <t>1000051718</t>
        </is>
      </c>
      <c r="J1108" s="69" t="inlineStr">
        <is>
          <t>咖啡机电源（含元配件等）</t>
        </is>
      </c>
      <c r="K1108" s="70" t="n">
        <v>1</v>
      </c>
      <c r="L1108" s="70" t="n">
        <v>1</v>
      </c>
      <c r="M1108" s="71" t="inlineStr">
        <is>
          <t>套</t>
        </is>
      </c>
      <c r="N1108" s="72" t="n">
        <v>1330.45</v>
      </c>
      <c r="O1108" s="72">
        <f>ROUND(N1108*(1+$F$10),2)</f>
        <v/>
      </c>
      <c r="P1108" s="73">
        <f>ROUND(K1108*N1108,2)</f>
        <v/>
      </c>
      <c r="Q1108" s="74">
        <f>ROUND(L1108*N1108,2)</f>
        <v/>
      </c>
      <c r="R1108" s="75" t="n"/>
      <c r="S1108" s="76" t="n"/>
      <c r="T1108" s="77">
        <f>K1108-L1108</f>
        <v/>
      </c>
      <c r="U1108" s="77">
        <f>P1108-Q1108</f>
        <v/>
      </c>
      <c r="V1108" s="77">
        <f>ABS(U1108)</f>
        <v/>
      </c>
      <c r="W1108" s="78">
        <f>T1108/L1108</f>
        <v/>
      </c>
      <c r="X1108" s="79">
        <f>ABS(W1108)</f>
        <v/>
      </c>
    </row>
    <row r="1109" ht="11.4" customHeight="1">
      <c r="A1109" s="67" t="inlineStr">
        <is>
          <t>6068</t>
        </is>
      </c>
      <c r="B1109" s="67" t="inlineStr">
        <is>
          <t>1066</t>
        </is>
      </c>
      <c r="C1109" s="67" t="inlineStr">
        <is>
          <t>1612</t>
        </is>
      </c>
      <c r="D1109" s="68" t="inlineStr">
        <is>
          <t>61</t>
        </is>
      </c>
      <c r="E1109" s="68" t="inlineStr">
        <is>
          <t>McCafe-LHI</t>
        </is>
      </c>
      <c r="F1109" s="68" t="inlineStr">
        <is>
          <t>麦咖啡装修</t>
        </is>
      </c>
      <c r="G1109" s="68" t="inlineStr">
        <is>
          <t>麦咖啡装修</t>
        </is>
      </c>
      <c r="H1109" s="68" t="inlineStr">
        <is>
          <t>麦咖啡-电气</t>
        </is>
      </c>
      <c r="I1109" s="69" t="inlineStr">
        <is>
          <t>1000022116</t>
        </is>
      </c>
      <c r="J1109" s="69" t="inlineStr">
        <is>
          <t>配电柜至麦咖啡接驳电线</t>
        </is>
      </c>
      <c r="K1109" s="70" t="n"/>
      <c r="L1109" s="70" t="n"/>
      <c r="M1109" s="71" t="inlineStr">
        <is>
          <t>米</t>
        </is>
      </c>
      <c r="N1109" s="72" t="n">
        <v>38.5</v>
      </c>
      <c r="O1109" s="72">
        <f>ROUND(N1109*(1+$F$10),2)</f>
        <v/>
      </c>
      <c r="P1109" s="73">
        <f>ROUND(K1109*N1109,2)</f>
        <v/>
      </c>
      <c r="Q1109" s="74">
        <f>ROUND(L1109*N1109,2)</f>
        <v/>
      </c>
      <c r="R1109" s="75" t="n"/>
      <c r="S1109" s="76" t="n"/>
      <c r="T1109" s="77">
        <f>K1109-L1109</f>
        <v/>
      </c>
      <c r="U1109" s="77">
        <f>P1109-Q1109</f>
        <v/>
      </c>
      <c r="V1109" s="77">
        <f>ABS(U1109)</f>
        <v/>
      </c>
      <c r="W1109" s="78">
        <f>T1109/L1109</f>
        <v/>
      </c>
      <c r="X1109" s="79">
        <f>ABS(W1109)</f>
        <v/>
      </c>
    </row>
    <row r="1110" ht="11.4" customHeight="1">
      <c r="A1110" s="67" t="inlineStr">
        <is>
          <t>6068</t>
        </is>
      </c>
      <c r="B1110" s="67" t="inlineStr">
        <is>
          <t>1066</t>
        </is>
      </c>
      <c r="C1110" s="67" t="inlineStr">
        <is>
          <t>1612</t>
        </is>
      </c>
      <c r="D1110" s="68" t="inlineStr">
        <is>
          <t>61</t>
        </is>
      </c>
      <c r="E1110" s="68" t="inlineStr">
        <is>
          <t>McCafe-LHI</t>
        </is>
      </c>
      <c r="F1110" s="68" t="inlineStr">
        <is>
          <t>麦咖啡装修</t>
        </is>
      </c>
      <c r="G1110" s="68" t="inlineStr">
        <is>
          <t>麦咖啡装修</t>
        </is>
      </c>
      <c r="H1110" s="68" t="inlineStr">
        <is>
          <t>麦咖啡-电气</t>
        </is>
      </c>
      <c r="I1110" s="69" t="inlineStr">
        <is>
          <t>1000022117</t>
        </is>
      </c>
      <c r="J1110" s="69" t="inlineStr">
        <is>
          <t>内部电源安装（含插头插座开关）</t>
        </is>
      </c>
      <c r="K1110" s="70" t="n"/>
      <c r="L1110" s="70" t="n"/>
      <c r="M1110" s="71" t="inlineStr">
        <is>
          <t>项</t>
        </is>
      </c>
      <c r="N1110" s="72" t="n">
        <v>1637.1</v>
      </c>
      <c r="O1110" s="72">
        <f>ROUND(N1110*(1+$F$10),2)</f>
        <v/>
      </c>
      <c r="P1110" s="73">
        <f>ROUND(K1110*N1110,2)</f>
        <v/>
      </c>
      <c r="Q1110" s="74">
        <f>ROUND(L1110*N1110,2)</f>
        <v/>
      </c>
      <c r="R1110" s="75" t="n"/>
      <c r="S1110" s="76" t="n"/>
      <c r="T1110" s="77">
        <f>K1110-L1110</f>
        <v/>
      </c>
      <c r="U1110" s="77">
        <f>P1110-Q1110</f>
        <v/>
      </c>
      <c r="V1110" s="77">
        <f>ABS(U1110)</f>
        <v/>
      </c>
      <c r="W1110" s="78">
        <f>T1110/L1110</f>
        <v/>
      </c>
      <c r="X1110" s="79">
        <f>ABS(W1110)</f>
        <v/>
      </c>
    </row>
    <row r="1111" ht="11.4" customHeight="1">
      <c r="A1111" s="67" t="inlineStr">
        <is>
          <t>6068</t>
        </is>
      </c>
      <c r="B1111" s="67" t="inlineStr">
        <is>
          <t>1066</t>
        </is>
      </c>
      <c r="C1111" s="67" t="inlineStr">
        <is>
          <t>1612</t>
        </is>
      </c>
      <c r="D1111" s="68" t="inlineStr">
        <is>
          <t>61</t>
        </is>
      </c>
      <c r="E1111" s="68" t="inlineStr">
        <is>
          <t>McCafe-LHI</t>
        </is>
      </c>
      <c r="F1111" s="68" t="inlineStr">
        <is>
          <t>麦咖啡装修</t>
        </is>
      </c>
      <c r="G1111" s="68" t="inlineStr">
        <is>
          <t>麦咖啡装修</t>
        </is>
      </c>
      <c r="H1111" s="68" t="inlineStr">
        <is>
          <t>麦咖啡-电气</t>
        </is>
      </c>
      <c r="I1111" s="69" t="inlineStr">
        <is>
          <t>1000022118</t>
        </is>
      </c>
      <c r="J1111" s="69" t="inlineStr">
        <is>
          <t>配合网线安装</t>
        </is>
      </c>
      <c r="K1111" s="70" t="n">
        <v>1</v>
      </c>
      <c r="L1111" s="70" t="n">
        <v>1</v>
      </c>
      <c r="M1111" s="71" t="inlineStr">
        <is>
          <t>项</t>
        </is>
      </c>
      <c r="N1111" s="72" t="n">
        <v>666.36</v>
      </c>
      <c r="O1111" s="72">
        <f>ROUND(N1111*(1+$F$10),2)</f>
        <v/>
      </c>
      <c r="P1111" s="73">
        <f>ROUND(K1111*N1111,2)</f>
        <v/>
      </c>
      <c r="Q1111" s="74">
        <f>ROUND(L1111*N1111,2)</f>
        <v/>
      </c>
      <c r="R1111" s="75" t="n"/>
      <c r="S1111" s="76" t="n"/>
      <c r="T1111" s="77">
        <f>K1111-L1111</f>
        <v/>
      </c>
      <c r="U1111" s="77">
        <f>P1111-Q1111</f>
        <v/>
      </c>
      <c r="V1111" s="77">
        <f>ABS(U1111)</f>
        <v/>
      </c>
      <c r="W1111" s="78">
        <f>T1111/L1111</f>
        <v/>
      </c>
      <c r="X1111" s="79">
        <f>ABS(W1111)</f>
        <v/>
      </c>
    </row>
    <row r="1112" ht="11.4" customHeight="1">
      <c r="A1112" s="67" t="inlineStr">
        <is>
          <t>6068</t>
        </is>
      </c>
      <c r="B1112" s="67" t="inlineStr">
        <is>
          <t>1066</t>
        </is>
      </c>
      <c r="C1112" s="67" t="inlineStr">
        <is>
          <t>1612</t>
        </is>
      </c>
      <c r="D1112" s="68" t="inlineStr">
        <is>
          <t>61</t>
        </is>
      </c>
      <c r="E1112" s="68" t="inlineStr">
        <is>
          <t>McCafe-LHI</t>
        </is>
      </c>
      <c r="F1112" s="68" t="inlineStr">
        <is>
          <t>麦咖啡装修</t>
        </is>
      </c>
      <c r="G1112" s="68" t="inlineStr">
        <is>
          <t>麦咖啡装修</t>
        </is>
      </c>
      <c r="H1112" s="68" t="inlineStr">
        <is>
          <t>麦咖啡-电气</t>
        </is>
      </c>
      <c r="I1112" s="69" t="inlineStr">
        <is>
          <t>1000022119</t>
        </is>
      </c>
      <c r="J1112" s="69" t="inlineStr">
        <is>
          <t>排污泵及附属设施 （含设备）</t>
        </is>
      </c>
      <c r="K1112" s="70" t="n"/>
      <c r="L1112" s="70" t="n"/>
      <c r="M1112" s="71" t="inlineStr">
        <is>
          <t>项</t>
        </is>
      </c>
      <c r="N1112" s="72" t="n">
        <v>2615.56</v>
      </c>
      <c r="O1112" s="72">
        <f>ROUND(N1112*(1+$F$10),2)</f>
        <v/>
      </c>
      <c r="P1112" s="73">
        <f>ROUND(K1112*N1112,2)</f>
        <v/>
      </c>
      <c r="Q1112" s="74">
        <f>ROUND(L1112*N1112,2)</f>
        <v/>
      </c>
      <c r="R1112" s="75" t="n"/>
      <c r="S1112" s="76" t="n"/>
      <c r="T1112" s="77">
        <f>K1112-L1112</f>
        <v/>
      </c>
      <c r="U1112" s="77">
        <f>P1112-Q1112</f>
        <v/>
      </c>
      <c r="V1112" s="77">
        <f>ABS(U1112)</f>
        <v/>
      </c>
      <c r="W1112" s="78">
        <f>T1112/L1112</f>
        <v/>
      </c>
      <c r="X1112" s="79">
        <f>ABS(W1112)</f>
        <v/>
      </c>
    </row>
    <row r="1113" ht="11.4" customHeight="1">
      <c r="A1113" s="67" t="inlineStr">
        <is>
          <t>6068</t>
        </is>
      </c>
      <c r="B1113" s="67" t="inlineStr">
        <is>
          <t>1066</t>
        </is>
      </c>
      <c r="C1113" s="67" t="inlineStr">
        <is>
          <t>1612</t>
        </is>
      </c>
      <c r="D1113" s="68" t="inlineStr">
        <is>
          <t>61</t>
        </is>
      </c>
      <c r="E1113" s="68" t="inlineStr">
        <is>
          <t>McCafe-LHI</t>
        </is>
      </c>
      <c r="F1113" s="68" t="inlineStr">
        <is>
          <t>麦咖啡装修</t>
        </is>
      </c>
      <c r="G1113" s="68" t="inlineStr">
        <is>
          <t>麦咖啡装修</t>
        </is>
      </c>
      <c r="H1113" s="68" t="inlineStr">
        <is>
          <t>麦咖啡-电气</t>
        </is>
      </c>
      <c r="I1113" s="69" t="inlineStr">
        <is>
          <t>1000022120</t>
        </is>
      </c>
      <c r="J1113" s="69" t="inlineStr">
        <is>
          <t>电视机安装</t>
        </is>
      </c>
      <c r="K1113" s="70" t="n"/>
      <c r="L1113" s="70" t="n"/>
      <c r="M1113" s="71" t="inlineStr">
        <is>
          <t>项</t>
        </is>
      </c>
      <c r="N1113" s="72" t="n">
        <v>261.79</v>
      </c>
      <c r="O1113" s="72">
        <f>ROUND(N1113*(1+$F$10),2)</f>
        <v/>
      </c>
      <c r="P1113" s="73">
        <f>ROUND(K1113*N1113,2)</f>
        <v/>
      </c>
      <c r="Q1113" s="74">
        <f>ROUND(L1113*N1113,2)</f>
        <v/>
      </c>
      <c r="R1113" s="75" t="n"/>
      <c r="S1113" s="76" t="n"/>
      <c r="T1113" s="77">
        <f>K1113-L1113</f>
        <v/>
      </c>
      <c r="U1113" s="77">
        <f>P1113-Q1113</f>
        <v/>
      </c>
      <c r="V1113" s="77">
        <f>ABS(U1113)</f>
        <v/>
      </c>
      <c r="W1113" s="78">
        <f>T1113/L1113</f>
        <v/>
      </c>
      <c r="X1113" s="79">
        <f>ABS(W1113)</f>
        <v/>
      </c>
    </row>
    <row r="1114" ht="11.4" customHeight="1">
      <c r="A1114" s="67" t="inlineStr">
        <is>
          <t>6068</t>
        </is>
      </c>
      <c r="B1114" s="67" t="inlineStr">
        <is>
          <t>1066</t>
        </is>
      </c>
      <c r="C1114" s="67" t="inlineStr">
        <is>
          <t>1612</t>
        </is>
      </c>
      <c r="D1114" s="68" t="inlineStr">
        <is>
          <t>61</t>
        </is>
      </c>
      <c r="E1114" s="68" t="inlineStr">
        <is>
          <t>McCafe-LHI</t>
        </is>
      </c>
      <c r="F1114" s="68" t="inlineStr">
        <is>
          <t>麦咖啡装修</t>
        </is>
      </c>
      <c r="G1114" s="68" t="inlineStr">
        <is>
          <t>麦咖啡装修</t>
        </is>
      </c>
      <c r="H1114" s="68" t="inlineStr">
        <is>
          <t>麦咖啡-电气</t>
        </is>
      </c>
      <c r="I1114" s="69" t="inlineStr">
        <is>
          <t>1000022121</t>
        </is>
      </c>
      <c r="J1114" s="69" t="inlineStr">
        <is>
          <t>麦咖啡专用电视机支架</t>
        </is>
      </c>
      <c r="K1114" s="70" t="n"/>
      <c r="L1114" s="70" t="n"/>
      <c r="M1114" s="71" t="inlineStr">
        <is>
          <t>个</t>
        </is>
      </c>
      <c r="N1114" s="72" t="n">
        <v>857.45</v>
      </c>
      <c r="O1114" s="72">
        <f>ROUND(N1114*(1+$F$10),2)</f>
        <v/>
      </c>
      <c r="P1114" s="73">
        <f>ROUND(K1114*N1114,2)</f>
        <v/>
      </c>
      <c r="Q1114" s="74">
        <f>ROUND(L1114*N1114,2)</f>
        <v/>
      </c>
      <c r="R1114" s="75" t="n"/>
      <c r="S1114" s="76" t="n"/>
      <c r="T1114" s="77">
        <f>K1114-L1114</f>
        <v/>
      </c>
      <c r="U1114" s="77">
        <f>P1114-Q1114</f>
        <v/>
      </c>
      <c r="V1114" s="77">
        <f>ABS(U1114)</f>
        <v/>
      </c>
      <c r="W1114" s="78">
        <f>T1114/L1114</f>
        <v/>
      </c>
      <c r="X1114" s="79">
        <f>ABS(W1114)</f>
        <v/>
      </c>
    </row>
    <row r="1115" ht="11.4" customHeight="1">
      <c r="A1115" s="67" t="inlineStr">
        <is>
          <t>6086</t>
        </is>
      </c>
      <c r="B1115" s="67" t="inlineStr">
        <is>
          <t>1084</t>
        </is>
      </c>
      <c r="C1115" s="67" t="inlineStr">
        <is>
          <t>3791</t>
        </is>
      </c>
      <c r="D1115" s="68" t="inlineStr">
        <is>
          <t>61</t>
        </is>
      </c>
      <c r="E1115" s="68" t="inlineStr">
        <is>
          <t>McCafe-ESSD</t>
        </is>
      </c>
      <c r="F1115" s="68" t="inlineStr">
        <is>
          <t>麦咖啡ESSD</t>
        </is>
      </c>
      <c r="G1115" s="68" t="inlineStr">
        <is>
          <t>麦咖啡ESSD</t>
        </is>
      </c>
      <c r="H1115" s="68" t="inlineStr">
        <is>
          <t>麦咖啡-招牌安装</t>
        </is>
      </c>
      <c r="I1115" s="69" t="inlineStr">
        <is>
          <t>1000022122</t>
        </is>
      </c>
      <c r="J1115" s="69" t="inlineStr">
        <is>
          <t>麦咖啡-招牌安装</t>
        </is>
      </c>
      <c r="K1115" s="70" t="n"/>
      <c r="L1115" s="70" t="n"/>
      <c r="M1115" s="71" t="inlineStr">
        <is>
          <t>项</t>
        </is>
      </c>
      <c r="N1115" s="72" t="n">
        <v>153.45</v>
      </c>
      <c r="O1115" s="72">
        <f>ROUND(N1115*(1+$F$10),2)</f>
        <v/>
      </c>
      <c r="P1115" s="73">
        <f>ROUND(K1115*N1115,2)</f>
        <v/>
      </c>
      <c r="Q1115" s="74">
        <f>ROUND(L1115*N1115,2)</f>
        <v/>
      </c>
      <c r="R1115" s="75" t="n"/>
      <c r="S1115" s="76" t="n"/>
      <c r="T1115" s="77">
        <f>K1115-L1115</f>
        <v/>
      </c>
      <c r="U1115" s="77">
        <f>P1115-Q1115</f>
        <v/>
      </c>
      <c r="V1115" s="77">
        <f>ABS(U1115)</f>
        <v/>
      </c>
      <c r="W1115" s="78">
        <f>T1115/L1115</f>
        <v/>
      </c>
      <c r="X1115" s="79">
        <f>ABS(W1115)</f>
        <v/>
      </c>
    </row>
    <row r="1116" ht="11.4" customHeight="1">
      <c r="A1116" s="67" t="inlineStr">
        <is>
          <t>6086</t>
        </is>
      </c>
      <c r="B1116" s="67" t="inlineStr">
        <is>
          <t>1084</t>
        </is>
      </c>
      <c r="C1116" s="67" t="inlineStr">
        <is>
          <t>3791</t>
        </is>
      </c>
      <c r="D1116" s="68" t="inlineStr">
        <is>
          <t>61</t>
        </is>
      </c>
      <c r="E1116" s="68" t="inlineStr">
        <is>
          <t>McCafe-ESSD</t>
        </is>
      </c>
      <c r="F1116" s="68" t="inlineStr">
        <is>
          <t>麦咖啡ESSD</t>
        </is>
      </c>
      <c r="G1116" s="68" t="inlineStr">
        <is>
          <t>麦咖啡ESSD</t>
        </is>
      </c>
      <c r="H1116" s="68" t="inlineStr">
        <is>
          <t>麦咖啡-菜单牌安装</t>
        </is>
      </c>
      <c r="I1116" s="69" t="inlineStr">
        <is>
          <t>1000022123</t>
        </is>
      </c>
      <c r="J1116" s="69" t="inlineStr">
        <is>
          <t>麦咖啡-菜单牌安装</t>
        </is>
      </c>
      <c r="K1116" s="70" t="n"/>
      <c r="L1116" s="70" t="n"/>
      <c r="M1116" s="71" t="inlineStr">
        <is>
          <t>项</t>
        </is>
      </c>
      <c r="N1116" s="72" t="n">
        <v>188.65</v>
      </c>
      <c r="O1116" s="72">
        <f>ROUND(N1116*(1+$F$10),2)</f>
        <v/>
      </c>
      <c r="P1116" s="73">
        <f>ROUND(K1116*N1116,2)</f>
        <v/>
      </c>
      <c r="Q1116" s="74">
        <f>ROUND(L1116*N1116,2)</f>
        <v/>
      </c>
      <c r="R1116" s="75" t="n"/>
      <c r="S1116" s="76" t="n"/>
      <c r="T1116" s="77">
        <f>K1116-L1116</f>
        <v/>
      </c>
      <c r="U1116" s="77">
        <f>P1116-Q1116</f>
        <v/>
      </c>
      <c r="V1116" s="77">
        <f>ABS(U1116)</f>
        <v/>
      </c>
      <c r="W1116" s="78">
        <f>T1116/L1116</f>
        <v/>
      </c>
      <c r="X1116" s="79">
        <f>ABS(W1116)</f>
        <v/>
      </c>
    </row>
    <row r="1117" ht="11.4" customHeight="1">
      <c r="A1117" s="67" t="inlineStr">
        <is>
          <t>6086</t>
        </is>
      </c>
      <c r="B1117" s="67" t="inlineStr">
        <is>
          <t>1084</t>
        </is>
      </c>
      <c r="C1117" s="67" t="inlineStr">
        <is>
          <t>3791</t>
        </is>
      </c>
      <c r="D1117" s="68" t="inlineStr">
        <is>
          <t>61</t>
        </is>
      </c>
      <c r="E1117" s="68" t="inlineStr">
        <is>
          <t>McCafe-ESSD</t>
        </is>
      </c>
      <c r="F1117" s="68" t="inlineStr">
        <is>
          <t>麦咖啡ESSD</t>
        </is>
      </c>
      <c r="G1117" s="68" t="inlineStr">
        <is>
          <t>麦咖啡ESSD</t>
        </is>
      </c>
      <c r="H1117" s="68" t="inlineStr">
        <is>
          <t>麦咖啡-麦咖啡灯箱安装</t>
        </is>
      </c>
      <c r="I1117" s="69" t="inlineStr">
        <is>
          <t>1000022124</t>
        </is>
      </c>
      <c r="J1117" s="69" t="inlineStr">
        <is>
          <t>麦咖啡-麦咖啡灯箱安装</t>
        </is>
      </c>
      <c r="K1117" s="70" t="n">
        <v>1</v>
      </c>
      <c r="L1117" s="70" t="n">
        <v>1</v>
      </c>
      <c r="M1117" s="71" t="inlineStr">
        <is>
          <t>项</t>
        </is>
      </c>
      <c r="N1117" s="72" t="n">
        <v>450.45</v>
      </c>
      <c r="O1117" s="72">
        <f>ROUND(N1117*(1+$F$10),2)</f>
        <v/>
      </c>
      <c r="P1117" s="73">
        <f>ROUND(K1117*N1117,2)</f>
        <v/>
      </c>
      <c r="Q1117" s="74">
        <f>ROUND(L1117*N1117,2)</f>
        <v/>
      </c>
      <c r="R1117" s="75" t="n"/>
      <c r="S1117" s="76" t="n"/>
      <c r="T1117" s="77">
        <f>K1117-L1117</f>
        <v/>
      </c>
      <c r="U1117" s="77">
        <f>P1117-Q1117</f>
        <v/>
      </c>
      <c r="V1117" s="77">
        <f>ABS(U1117)</f>
        <v/>
      </c>
      <c r="W1117" s="78">
        <f>T1117/L1117</f>
        <v/>
      </c>
      <c r="X1117" s="79">
        <f>ABS(W1117)</f>
        <v/>
      </c>
    </row>
    <row r="1118" ht="11.4" customHeight="1">
      <c r="A1118" s="67" t="inlineStr">
        <is>
          <t>甜吧60</t>
        </is>
      </c>
      <c r="B1118" s="67" t="inlineStr">
        <is>
          <t>1058</t>
        </is>
      </c>
      <c r="C1118" s="67" t="inlineStr">
        <is>
          <t>1611</t>
        </is>
      </c>
      <c r="D1118" s="68" t="inlineStr">
        <is>
          <t>04</t>
        </is>
      </c>
      <c r="E1118" s="68" t="inlineStr">
        <is>
          <t>DessertBar-LHI</t>
        </is>
      </c>
      <c r="F1118" s="68" t="inlineStr">
        <is>
          <t>甜吧装修</t>
        </is>
      </c>
      <c r="G1118" s="68" t="inlineStr">
        <is>
          <t>甜吧装修</t>
        </is>
      </c>
      <c r="H1118" s="68" t="inlineStr">
        <is>
          <t>甜吧-模组</t>
        </is>
      </c>
      <c r="I1118" s="69" t="inlineStr">
        <is>
          <t>1000040087</t>
        </is>
      </c>
      <c r="J1118" s="69" t="inlineStr">
        <is>
          <t>模组采购---甜吧柜台</t>
        </is>
      </c>
      <c r="K1118" s="70" t="n"/>
      <c r="L1118" s="70" t="n"/>
      <c r="M1118" s="71" t="inlineStr">
        <is>
          <t>项</t>
        </is>
      </c>
      <c r="N1118" s="72" t="n">
        <v>31781.08</v>
      </c>
      <c r="O1118" s="72">
        <f>ROUND(N1118*(1+$F$10),2)</f>
        <v/>
      </c>
      <c r="P1118" s="73">
        <f>ROUND(K1118*N1118,2)</f>
        <v/>
      </c>
      <c r="Q1118" s="74">
        <f>ROUND(L1118*N1118,2)</f>
        <v/>
      </c>
      <c r="R1118" s="75" t="n"/>
      <c r="S1118" s="76" t="n"/>
      <c r="T1118" s="77">
        <f>K1118-L1118</f>
        <v/>
      </c>
      <c r="U1118" s="77">
        <f>P1118-Q1118</f>
        <v/>
      </c>
      <c r="V1118" s="77">
        <f>ABS(U1118)</f>
        <v/>
      </c>
      <c r="W1118" s="78">
        <f>T1118/L1118</f>
        <v/>
      </c>
      <c r="X1118" s="79">
        <f>ABS(W1118)</f>
        <v/>
      </c>
    </row>
    <row r="1119" ht="11.4" customHeight="1">
      <c r="A1119" s="67" t="inlineStr">
        <is>
          <t>甜吧60</t>
        </is>
      </c>
      <c r="B1119" s="67" t="inlineStr">
        <is>
          <t>1058</t>
        </is>
      </c>
      <c r="C1119" s="67" t="inlineStr">
        <is>
          <t>1611</t>
        </is>
      </c>
      <c r="D1119" s="68" t="inlineStr">
        <is>
          <t>04</t>
        </is>
      </c>
      <c r="E1119" s="68" t="inlineStr">
        <is>
          <t>DessertBar-LHI</t>
        </is>
      </c>
      <c r="F1119" s="68" t="inlineStr">
        <is>
          <t>甜吧装修</t>
        </is>
      </c>
      <c r="G1119" s="68" t="inlineStr">
        <is>
          <t>甜吧装修</t>
        </is>
      </c>
      <c r="H1119" s="68" t="inlineStr">
        <is>
          <t>甜吧-模组</t>
        </is>
      </c>
      <c r="I1119" s="69" t="inlineStr">
        <is>
          <t>1000040089</t>
        </is>
      </c>
      <c r="J1119" s="69" t="inlineStr">
        <is>
          <t>模组安装</t>
        </is>
      </c>
      <c r="K1119" s="70" t="n"/>
      <c r="L1119" s="70" t="n"/>
      <c r="M1119" s="71" t="inlineStr">
        <is>
          <t>项</t>
        </is>
      </c>
      <c r="N1119" s="72" t="n">
        <v>2941.44</v>
      </c>
      <c r="O1119" s="72">
        <f>ROUND(N1119*(1+$F$10),2)</f>
        <v/>
      </c>
      <c r="P1119" s="73">
        <f>ROUND(K1119*N1119,2)</f>
        <v/>
      </c>
      <c r="Q1119" s="74">
        <f>ROUND(L1119*N1119,2)</f>
        <v/>
      </c>
      <c r="R1119" s="75" t="n"/>
      <c r="S1119" s="76" t="n"/>
      <c r="T1119" s="77">
        <f>K1119-L1119</f>
        <v/>
      </c>
      <c r="U1119" s="77">
        <f>P1119-Q1119</f>
        <v/>
      </c>
      <c r="V1119" s="77">
        <f>ABS(U1119)</f>
        <v/>
      </c>
      <c r="W1119" s="78">
        <f>T1119/L1119</f>
        <v/>
      </c>
      <c r="X1119" s="79">
        <f>ABS(W1119)</f>
        <v/>
      </c>
    </row>
    <row r="1120" ht="11.4" customHeight="1">
      <c r="A1120" s="67" t="inlineStr">
        <is>
          <t>甜吧64</t>
        </is>
      </c>
      <c r="B1120" s="67" t="inlineStr">
        <is>
          <t>1062</t>
        </is>
      </c>
      <c r="C1120" s="67" t="inlineStr">
        <is>
          <t>1611</t>
        </is>
      </c>
      <c r="D1120" s="68" t="inlineStr">
        <is>
          <t>04</t>
        </is>
      </c>
      <c r="E1120" s="68" t="inlineStr">
        <is>
          <t>DessertBar-LHI</t>
        </is>
      </c>
      <c r="F1120" s="68" t="inlineStr">
        <is>
          <t>甜吧装修</t>
        </is>
      </c>
      <c r="G1120" s="68" t="inlineStr">
        <is>
          <t>甜吧装修</t>
        </is>
      </c>
      <c r="H1120" s="68" t="inlineStr">
        <is>
          <t>甜吧-门</t>
        </is>
      </c>
      <c r="I1120" s="69" t="inlineStr">
        <is>
          <t>1000022111</t>
        </is>
      </c>
      <c r="J1120" s="69" t="inlineStr">
        <is>
          <t>总包自制--850mmX40mm厚 隔断成品门及全部配件</t>
        </is>
      </c>
      <c r="K1120" s="70" t="n"/>
      <c r="L1120" s="70" t="n"/>
      <c r="M1120" s="71" t="inlineStr">
        <is>
          <t>樘</t>
        </is>
      </c>
      <c r="N1120" s="72" t="n">
        <v>747.45</v>
      </c>
      <c r="O1120" s="72">
        <f>ROUND(N1120*(1+$F$10),2)</f>
        <v/>
      </c>
      <c r="P1120" s="73">
        <f>ROUND(K1120*N1120,2)</f>
        <v/>
      </c>
      <c r="Q1120" s="74">
        <f>ROUND(L1120*N1120,2)</f>
        <v/>
      </c>
      <c r="R1120" s="75" t="n"/>
      <c r="S1120" s="76" t="n"/>
      <c r="T1120" s="77">
        <f>K1120-L1120</f>
        <v/>
      </c>
      <c r="U1120" s="77">
        <f>P1120-Q1120</f>
        <v/>
      </c>
      <c r="V1120" s="77">
        <f>ABS(U1120)</f>
        <v/>
      </c>
      <c r="W1120" s="78">
        <f>T1120/L1120</f>
        <v/>
      </c>
      <c r="X1120" s="79">
        <f>ABS(W1120)</f>
        <v/>
      </c>
    </row>
    <row r="1121" ht="11.4" customHeight="1">
      <c r="A1121" s="67" t="inlineStr">
        <is>
          <t>甜吧68</t>
        </is>
      </c>
      <c r="B1121" s="67" t="inlineStr">
        <is>
          <t>1066</t>
        </is>
      </c>
      <c r="C1121" s="67" t="inlineStr">
        <is>
          <t>1612</t>
        </is>
      </c>
      <c r="D1121" s="68" t="inlineStr">
        <is>
          <t>04</t>
        </is>
      </c>
      <c r="E1121" s="68" t="inlineStr">
        <is>
          <t>DessertBar-LHI</t>
        </is>
      </c>
      <c r="F1121" s="68" t="inlineStr">
        <is>
          <t>甜吧装修</t>
        </is>
      </c>
      <c r="G1121" s="68" t="inlineStr">
        <is>
          <t>甜吧装修</t>
        </is>
      </c>
      <c r="H1121" s="68" t="inlineStr">
        <is>
          <t>甜吧-电气</t>
        </is>
      </c>
      <c r="I1121" s="69" t="inlineStr">
        <is>
          <t>1000040091</t>
        </is>
      </c>
      <c r="J1121" s="69" t="inlineStr">
        <is>
          <t>配电柜至甜吧接驳电线</t>
        </is>
      </c>
      <c r="K1121" s="70" t="n"/>
      <c r="L1121" s="70" t="n"/>
      <c r="M1121" s="71" t="inlineStr">
        <is>
          <t>米</t>
        </is>
      </c>
      <c r="N1121" s="72" t="n">
        <v>45.05</v>
      </c>
      <c r="O1121" s="72">
        <f>ROUND(N1121*(1+$F$10),2)</f>
        <v/>
      </c>
      <c r="P1121" s="73">
        <f>ROUND(K1121*N1121,2)</f>
        <v/>
      </c>
      <c r="Q1121" s="74">
        <f>ROUND(L1121*N1121,2)</f>
        <v/>
      </c>
      <c r="R1121" s="75" t="n"/>
      <c r="S1121" s="76" t="n"/>
      <c r="T1121" s="77">
        <f>K1121-L1121</f>
        <v/>
      </c>
      <c r="U1121" s="77">
        <f>P1121-Q1121</f>
        <v/>
      </c>
      <c r="V1121" s="77">
        <f>ABS(U1121)</f>
        <v/>
      </c>
      <c r="W1121" s="78">
        <f>T1121/L1121</f>
        <v/>
      </c>
      <c r="X1121" s="79">
        <f>ABS(W1121)</f>
        <v/>
      </c>
    </row>
    <row r="1122" ht="11.4" customHeight="1">
      <c r="A1122" s="67" t="inlineStr">
        <is>
          <t>甜吧68</t>
        </is>
      </c>
      <c r="B1122" s="67" t="inlineStr">
        <is>
          <t>1066</t>
        </is>
      </c>
      <c r="C1122" s="67" t="inlineStr">
        <is>
          <t>1612</t>
        </is>
      </c>
      <c r="D1122" s="68" t="inlineStr">
        <is>
          <t>04</t>
        </is>
      </c>
      <c r="E1122" s="68" t="inlineStr">
        <is>
          <t>DessertBar-LHI</t>
        </is>
      </c>
      <c r="F1122" s="68" t="inlineStr">
        <is>
          <t>甜吧装修</t>
        </is>
      </c>
      <c r="G1122" s="68" t="inlineStr">
        <is>
          <t>甜吧装修</t>
        </is>
      </c>
      <c r="H1122" s="68" t="inlineStr">
        <is>
          <t>甜吧-电气</t>
        </is>
      </c>
      <c r="I1122" s="69" t="inlineStr">
        <is>
          <t>1000022117</t>
        </is>
      </c>
      <c r="J1122" s="69" t="inlineStr">
        <is>
          <t>内部电源安装（含插头插座开关）</t>
        </is>
      </c>
      <c r="K1122" s="70" t="n"/>
      <c r="L1122" s="70" t="n"/>
      <c r="M1122" s="71" t="inlineStr">
        <is>
          <t>项</t>
        </is>
      </c>
      <c r="N1122" s="72" t="n">
        <v>1637.1</v>
      </c>
      <c r="O1122" s="72">
        <f>ROUND(N1122*(1+$F$10),2)</f>
        <v/>
      </c>
      <c r="P1122" s="73">
        <f>ROUND(K1122*N1122,2)</f>
        <v/>
      </c>
      <c r="Q1122" s="74">
        <f>ROUND(L1122*N1122,2)</f>
        <v/>
      </c>
      <c r="R1122" s="75" t="n"/>
      <c r="S1122" s="76" t="n"/>
      <c r="T1122" s="77">
        <f>K1122-L1122</f>
        <v/>
      </c>
      <c r="U1122" s="77">
        <f>P1122-Q1122</f>
        <v/>
      </c>
      <c r="V1122" s="77">
        <f>ABS(U1122)</f>
        <v/>
      </c>
      <c r="W1122" s="78">
        <f>T1122/L1122</f>
        <v/>
      </c>
      <c r="X1122" s="79">
        <f>ABS(W1122)</f>
        <v/>
      </c>
    </row>
    <row r="1123" ht="11.4" customHeight="1">
      <c r="A1123" s="67" t="inlineStr">
        <is>
          <t>甜吧68</t>
        </is>
      </c>
      <c r="B1123" s="67" t="inlineStr">
        <is>
          <t>1066</t>
        </is>
      </c>
      <c r="C1123" s="67" t="inlineStr">
        <is>
          <t>1612</t>
        </is>
      </c>
      <c r="D1123" s="68" t="inlineStr">
        <is>
          <t>04</t>
        </is>
      </c>
      <c r="E1123" s="68" t="inlineStr">
        <is>
          <t>DessertBar-LHI</t>
        </is>
      </c>
      <c r="F1123" s="68" t="inlineStr">
        <is>
          <t>甜吧装修</t>
        </is>
      </c>
      <c r="G1123" s="68" t="inlineStr">
        <is>
          <t>甜吧装修</t>
        </is>
      </c>
      <c r="H1123" s="68" t="inlineStr">
        <is>
          <t>甜吧-电气</t>
        </is>
      </c>
      <c r="I1123" s="69" t="inlineStr">
        <is>
          <t>1000022118</t>
        </is>
      </c>
      <c r="J1123" s="69" t="inlineStr">
        <is>
          <t>配合网线安装</t>
        </is>
      </c>
      <c r="K1123" s="70" t="n"/>
      <c r="L1123" s="70" t="n"/>
      <c r="M1123" s="71" t="inlineStr">
        <is>
          <t>项</t>
        </is>
      </c>
      <c r="N1123" s="72" t="n">
        <v>666.36</v>
      </c>
      <c r="O1123" s="72">
        <f>ROUND(N1123*(1+$F$10),2)</f>
        <v/>
      </c>
      <c r="P1123" s="73">
        <f>ROUND(K1123*N1123,2)</f>
        <v/>
      </c>
      <c r="Q1123" s="74">
        <f>ROUND(L1123*N1123,2)</f>
        <v/>
      </c>
      <c r="R1123" s="75" t="n"/>
      <c r="S1123" s="76" t="n"/>
      <c r="T1123" s="77">
        <f>K1123-L1123</f>
        <v/>
      </c>
      <c r="U1123" s="77">
        <f>P1123-Q1123</f>
        <v/>
      </c>
      <c r="V1123" s="77">
        <f>ABS(U1123)</f>
        <v/>
      </c>
      <c r="W1123" s="78">
        <f>T1123/L1123</f>
        <v/>
      </c>
      <c r="X1123" s="79">
        <f>ABS(W1123)</f>
        <v/>
      </c>
    </row>
    <row r="1124" ht="11.4" customHeight="1">
      <c r="A1124" s="67" t="inlineStr">
        <is>
          <t>甜吧68</t>
        </is>
      </c>
      <c r="B1124" s="67" t="inlineStr">
        <is>
          <t>1066</t>
        </is>
      </c>
      <c r="C1124" s="67" t="inlineStr">
        <is>
          <t>1612</t>
        </is>
      </c>
      <c r="D1124" s="68" t="inlineStr">
        <is>
          <t>04</t>
        </is>
      </c>
      <c r="E1124" s="68" t="inlineStr">
        <is>
          <t>DessertBar-LHI</t>
        </is>
      </c>
      <c r="F1124" s="68" t="inlineStr">
        <is>
          <t>甜吧装修</t>
        </is>
      </c>
      <c r="G1124" s="68" t="inlineStr">
        <is>
          <t>甜吧装修</t>
        </is>
      </c>
      <c r="H1124" s="68" t="inlineStr">
        <is>
          <t>甜吧-电气</t>
        </is>
      </c>
      <c r="I1124" s="69" t="inlineStr">
        <is>
          <t>1000022119</t>
        </is>
      </c>
      <c r="J1124" s="69" t="inlineStr">
        <is>
          <t>排污泵及附属设施 （含设备）</t>
        </is>
      </c>
      <c r="K1124" s="70" t="n"/>
      <c r="L1124" s="70" t="n"/>
      <c r="M1124" s="71" t="inlineStr">
        <is>
          <t>项</t>
        </is>
      </c>
      <c r="N1124" s="72" t="n">
        <v>2615.56</v>
      </c>
      <c r="O1124" s="72">
        <f>ROUND(N1124*(1+$F$10),2)</f>
        <v/>
      </c>
      <c r="P1124" s="73">
        <f>ROUND(K1124*N1124,2)</f>
        <v/>
      </c>
      <c r="Q1124" s="74">
        <f>ROUND(L1124*N1124,2)</f>
        <v/>
      </c>
      <c r="R1124" s="75" t="n"/>
      <c r="S1124" s="76" t="n"/>
      <c r="T1124" s="77">
        <f>K1124-L1124</f>
        <v/>
      </c>
      <c r="U1124" s="77">
        <f>P1124-Q1124</f>
        <v/>
      </c>
      <c r="V1124" s="77">
        <f>ABS(U1124)</f>
        <v/>
      </c>
      <c r="W1124" s="78">
        <f>T1124/L1124</f>
        <v/>
      </c>
      <c r="X1124" s="79">
        <f>ABS(W1124)</f>
        <v/>
      </c>
    </row>
    <row r="1125" ht="11.4" customHeight="1">
      <c r="A1125" s="67" t="inlineStr">
        <is>
          <t>7056</t>
        </is>
      </c>
      <c r="B1125" s="67" t="inlineStr">
        <is>
          <t>1054</t>
        </is>
      </c>
      <c r="C1125" s="67" t="inlineStr">
        <is>
          <t>1611</t>
        </is>
      </c>
      <c r="D1125" s="68" t="inlineStr">
        <is>
          <t>11</t>
        </is>
      </c>
      <c r="E1125" s="68" t="inlineStr">
        <is>
          <t>Kiosk-LHI</t>
        </is>
      </c>
      <c r="F1125" s="68" t="inlineStr">
        <is>
          <t>母店内甜品站装修</t>
        </is>
      </c>
      <c r="G1125" s="68" t="inlineStr">
        <is>
          <t>母店内甜品站装修</t>
        </is>
      </c>
      <c r="H1125" s="68" t="inlineStr">
        <is>
          <t>母店内甜品站-地面</t>
        </is>
      </c>
      <c r="I1125" s="69" t="inlineStr">
        <is>
          <t>1000021456</t>
        </is>
      </c>
      <c r="J1125" s="69" t="inlineStr">
        <is>
          <t>国产同质砖（琛雄，含不超过50mm厚的找平层）</t>
        </is>
      </c>
      <c r="K1125" s="70" t="n"/>
      <c r="L1125" s="70" t="n"/>
      <c r="M1125" s="71" t="inlineStr">
        <is>
          <t>m2</t>
        </is>
      </c>
      <c r="N1125" s="72" t="n">
        <v>180.78</v>
      </c>
      <c r="O1125" s="72">
        <f>ROUND(N1125*(1+$F$10),2)</f>
        <v/>
      </c>
      <c r="P1125" s="73">
        <f>ROUND(K1125*N1125,2)</f>
        <v/>
      </c>
      <c r="Q1125" s="74">
        <f>ROUND(L1125*N1125,2)</f>
        <v/>
      </c>
      <c r="R1125" s="75" t="n"/>
      <c r="S1125" s="76" t="n"/>
      <c r="T1125" s="77">
        <f>K1125-L1125</f>
        <v/>
      </c>
      <c r="U1125" s="77">
        <f>P1125-Q1125</f>
        <v/>
      </c>
      <c r="V1125" s="77">
        <f>ABS(U1125)</f>
        <v/>
      </c>
      <c r="W1125" s="78">
        <f>T1125/L1125</f>
        <v/>
      </c>
      <c r="X1125" s="79">
        <f>ABS(W1125)</f>
        <v/>
      </c>
    </row>
    <row r="1126" ht="11.4" customHeight="1">
      <c r="A1126" s="67" t="inlineStr">
        <is>
          <t>7056</t>
        </is>
      </c>
      <c r="B1126" s="67" t="inlineStr">
        <is>
          <t>1054</t>
        </is>
      </c>
      <c r="C1126" s="67" t="inlineStr">
        <is>
          <t>1611</t>
        </is>
      </c>
      <c r="D1126" s="68" t="inlineStr">
        <is>
          <t>11</t>
        </is>
      </c>
      <c r="E1126" s="68" t="inlineStr">
        <is>
          <t>Kiosk-LHI</t>
        </is>
      </c>
      <c r="F1126" s="68" t="inlineStr">
        <is>
          <t>母店内甜品站装修</t>
        </is>
      </c>
      <c r="G1126" s="68" t="inlineStr">
        <is>
          <t>母店内甜品站装修</t>
        </is>
      </c>
      <c r="H1126" s="68" t="inlineStr">
        <is>
          <t>母店内甜品站-地面</t>
        </is>
      </c>
      <c r="I1126" s="69" t="inlineStr">
        <is>
          <t>1000021457</t>
        </is>
      </c>
      <c r="J1126" s="69" t="inlineStr">
        <is>
          <t>国产同质砖踢脚（琛雄）</t>
        </is>
      </c>
      <c r="K1126" s="70" t="n"/>
      <c r="L1126" s="70" t="n"/>
      <c r="M1126" s="71" t="inlineStr">
        <is>
          <t>米</t>
        </is>
      </c>
      <c r="N1126" s="72" t="n">
        <v>41.36</v>
      </c>
      <c r="O1126" s="72">
        <f>ROUND(N1126*(1+$F$10),2)</f>
        <v/>
      </c>
      <c r="P1126" s="73">
        <f>ROUND(K1126*N1126,2)</f>
        <v/>
      </c>
      <c r="Q1126" s="74">
        <f>ROUND(L1126*N1126,2)</f>
        <v/>
      </c>
      <c r="R1126" s="75" t="n"/>
      <c r="S1126" s="76" t="n"/>
      <c r="T1126" s="77">
        <f>K1126-L1126</f>
        <v/>
      </c>
      <c r="U1126" s="77">
        <f>P1126-Q1126</f>
        <v/>
      </c>
      <c r="V1126" s="77">
        <f>ABS(U1126)</f>
        <v/>
      </c>
      <c r="W1126" s="78">
        <f>T1126/L1126</f>
        <v/>
      </c>
      <c r="X1126" s="79">
        <f>ABS(W1126)</f>
        <v/>
      </c>
    </row>
    <row r="1127" ht="11.4" customHeight="1">
      <c r="A1127" s="67" t="inlineStr">
        <is>
          <t>7056</t>
        </is>
      </c>
      <c r="B1127" s="67" t="inlineStr">
        <is>
          <t>1054</t>
        </is>
      </c>
      <c r="C1127" s="67" t="inlineStr">
        <is>
          <t>1611</t>
        </is>
      </c>
      <c r="D1127" s="68" t="inlineStr">
        <is>
          <t>11</t>
        </is>
      </c>
      <c r="E1127" s="68" t="inlineStr">
        <is>
          <t>Kiosk-LHI</t>
        </is>
      </c>
      <c r="F1127" s="68" t="inlineStr">
        <is>
          <t>母店内甜品站装修</t>
        </is>
      </c>
      <c r="G1127" s="68" t="inlineStr">
        <is>
          <t>母店内甜品站装修</t>
        </is>
      </c>
      <c r="H1127" s="68" t="inlineStr">
        <is>
          <t>母店内甜品站-地面</t>
        </is>
      </c>
      <c r="I1127" s="69" t="inlineStr">
        <is>
          <t>1000021643</t>
        </is>
      </c>
      <c r="J1127" s="69" t="inlineStr">
        <is>
          <t>国产同质砖（共荣，含不超过50mm厚的找平层）</t>
        </is>
      </c>
      <c r="K1127" s="70" t="n"/>
      <c r="L1127" s="70" t="n"/>
      <c r="M1127" s="71" t="inlineStr">
        <is>
          <t>m2</t>
        </is>
      </c>
      <c r="N1127" s="72" t="n">
        <v>160.21</v>
      </c>
      <c r="O1127" s="72">
        <f>ROUND(N1127*(1+$F$10),2)</f>
        <v/>
      </c>
      <c r="P1127" s="73">
        <f>ROUND(K1127*N1127,2)</f>
        <v/>
      </c>
      <c r="Q1127" s="74">
        <f>ROUND(L1127*N1127,2)</f>
        <v/>
      </c>
      <c r="R1127" s="75" t="n"/>
      <c r="S1127" s="76" t="n"/>
      <c r="T1127" s="77">
        <f>K1127-L1127</f>
        <v/>
      </c>
      <c r="U1127" s="77">
        <f>P1127-Q1127</f>
        <v/>
      </c>
      <c r="V1127" s="77">
        <f>ABS(U1127)</f>
        <v/>
      </c>
      <c r="W1127" s="78">
        <f>T1127/L1127</f>
        <v/>
      </c>
      <c r="X1127" s="79">
        <f>ABS(W1127)</f>
        <v/>
      </c>
    </row>
    <row r="1128" ht="11.4" customHeight="1">
      <c r="A1128" s="67" t="inlineStr">
        <is>
          <t>7056</t>
        </is>
      </c>
      <c r="B1128" s="67" t="inlineStr">
        <is>
          <t>1054</t>
        </is>
      </c>
      <c r="C1128" s="67" t="inlineStr">
        <is>
          <t>1611</t>
        </is>
      </c>
      <c r="D1128" s="68" t="inlineStr">
        <is>
          <t>11</t>
        </is>
      </c>
      <c r="E1128" s="68" t="inlineStr">
        <is>
          <t>Kiosk-LHI</t>
        </is>
      </c>
      <c r="F1128" s="68" t="inlineStr">
        <is>
          <t>母店内甜品站装修</t>
        </is>
      </c>
      <c r="G1128" s="68" t="inlineStr">
        <is>
          <t>母店内甜品站装修</t>
        </is>
      </c>
      <c r="H1128" s="68" t="inlineStr">
        <is>
          <t>母店内甜品站-地面</t>
        </is>
      </c>
      <c r="I1128" s="69" t="inlineStr">
        <is>
          <t>1000021644</t>
        </is>
      </c>
      <c r="J1128" s="69" t="inlineStr">
        <is>
          <t>国产同质砖踢脚（共荣）</t>
        </is>
      </c>
      <c r="K1128" s="70" t="n"/>
      <c r="L1128" s="70" t="n"/>
      <c r="M1128" s="71" t="inlineStr">
        <is>
          <t>米</t>
        </is>
      </c>
      <c r="N1128" s="72" t="n">
        <v>38.94</v>
      </c>
      <c r="O1128" s="72">
        <f>ROUND(N1128*(1+$F$10),2)</f>
        <v/>
      </c>
      <c r="P1128" s="73">
        <f>ROUND(K1128*N1128,2)</f>
        <v/>
      </c>
      <c r="Q1128" s="74">
        <f>ROUND(L1128*N1128,2)</f>
        <v/>
      </c>
      <c r="R1128" s="75" t="n"/>
      <c r="S1128" s="76" t="n"/>
      <c r="T1128" s="77">
        <f>K1128-L1128</f>
        <v/>
      </c>
      <c r="U1128" s="77">
        <f>P1128-Q1128</f>
        <v/>
      </c>
      <c r="V1128" s="77">
        <f>ABS(U1128)</f>
        <v/>
      </c>
      <c r="W1128" s="78">
        <f>T1128/L1128</f>
        <v/>
      </c>
      <c r="X1128" s="79">
        <f>ABS(W1128)</f>
        <v/>
      </c>
    </row>
    <row r="1129" ht="11.4" customHeight="1">
      <c r="A1129" s="67" t="inlineStr">
        <is>
          <t>7056</t>
        </is>
      </c>
      <c r="B1129" s="67" t="inlineStr">
        <is>
          <t>1054</t>
        </is>
      </c>
      <c r="C1129" s="67" t="inlineStr">
        <is>
          <t>1611</t>
        </is>
      </c>
      <c r="D1129" s="68" t="inlineStr">
        <is>
          <t>11</t>
        </is>
      </c>
      <c r="E1129" s="68" t="inlineStr">
        <is>
          <t>Kiosk-LHI</t>
        </is>
      </c>
      <c r="F1129" s="68" t="inlineStr">
        <is>
          <t>母店内甜品站装修</t>
        </is>
      </c>
      <c r="G1129" s="68" t="inlineStr">
        <is>
          <t>母店内甜品站装修</t>
        </is>
      </c>
      <c r="H1129" s="68" t="inlineStr">
        <is>
          <t>母店内甜品站-地面</t>
        </is>
      </c>
      <c r="I1129" s="69" t="inlineStr">
        <is>
          <t>1000021622</t>
        </is>
      </c>
      <c r="J1129" s="69" t="inlineStr">
        <is>
          <t>国产同质砖（冠军，含不超过50mm厚的找平层）</t>
        </is>
      </c>
      <c r="K1129" s="70" t="n"/>
      <c r="L1129" s="70" t="n"/>
      <c r="M1129" s="71" t="inlineStr">
        <is>
          <t>m2</t>
        </is>
      </c>
      <c r="N1129" s="72" t="n">
        <v>181.99</v>
      </c>
      <c r="O1129" s="72">
        <f>ROUND(N1129*(1+$F$10),2)</f>
        <v/>
      </c>
      <c r="P1129" s="73">
        <f>ROUND(K1129*N1129,2)</f>
        <v/>
      </c>
      <c r="Q1129" s="74">
        <f>ROUND(L1129*N1129,2)</f>
        <v/>
      </c>
      <c r="R1129" s="75" t="n"/>
      <c r="S1129" s="76" t="n"/>
      <c r="T1129" s="77">
        <f>K1129-L1129</f>
        <v/>
      </c>
      <c r="U1129" s="77">
        <f>P1129-Q1129</f>
        <v/>
      </c>
      <c r="V1129" s="77">
        <f>ABS(U1129)</f>
        <v/>
      </c>
      <c r="W1129" s="78">
        <f>T1129/L1129</f>
        <v/>
      </c>
      <c r="X1129" s="79">
        <f>ABS(W1129)</f>
        <v/>
      </c>
    </row>
    <row r="1130" ht="11.4" customHeight="1">
      <c r="A1130" s="67" t="inlineStr">
        <is>
          <t>7056</t>
        </is>
      </c>
      <c r="B1130" s="67" t="inlineStr">
        <is>
          <t>1054</t>
        </is>
      </c>
      <c r="C1130" s="67" t="inlineStr">
        <is>
          <t>1611</t>
        </is>
      </c>
      <c r="D1130" s="68" t="inlineStr">
        <is>
          <t>11</t>
        </is>
      </c>
      <c r="E1130" s="68" t="inlineStr">
        <is>
          <t>Kiosk-LHI</t>
        </is>
      </c>
      <c r="F1130" s="68" t="inlineStr">
        <is>
          <t>母店内甜品站装修</t>
        </is>
      </c>
      <c r="G1130" s="68" t="inlineStr">
        <is>
          <t>母店内甜品站装修</t>
        </is>
      </c>
      <c r="H1130" s="68" t="inlineStr">
        <is>
          <t>母店内甜品站-地面</t>
        </is>
      </c>
      <c r="I1130" s="69" t="inlineStr">
        <is>
          <t>1000021623</t>
        </is>
      </c>
      <c r="J1130" s="69" t="inlineStr">
        <is>
          <t>国产同质砖踢脚（冠军）</t>
        </is>
      </c>
      <c r="K1130" s="70" t="n"/>
      <c r="L1130" s="70" t="n"/>
      <c r="M1130" s="71" t="inlineStr">
        <is>
          <t>米</t>
        </is>
      </c>
      <c r="N1130" s="72" t="n">
        <v>42.57</v>
      </c>
      <c r="O1130" s="72">
        <f>ROUND(N1130*(1+$F$10),2)</f>
        <v/>
      </c>
      <c r="P1130" s="73">
        <f>ROUND(K1130*N1130,2)</f>
        <v/>
      </c>
      <c r="Q1130" s="74">
        <f>ROUND(L1130*N1130,2)</f>
        <v/>
      </c>
      <c r="R1130" s="75" t="n"/>
      <c r="S1130" s="76" t="n"/>
      <c r="T1130" s="77">
        <f>K1130-L1130</f>
        <v/>
      </c>
      <c r="U1130" s="77">
        <f>P1130-Q1130</f>
        <v/>
      </c>
      <c r="V1130" s="77">
        <f>ABS(U1130)</f>
        <v/>
      </c>
      <c r="W1130" s="78">
        <f>T1130/L1130</f>
        <v/>
      </c>
      <c r="X1130" s="79">
        <f>ABS(W1130)</f>
        <v/>
      </c>
    </row>
    <row r="1131" ht="11.4" customHeight="1">
      <c r="A1131" s="67" t="inlineStr">
        <is>
          <t>7057</t>
        </is>
      </c>
      <c r="B1131" s="67" t="inlineStr">
        <is>
          <t>1055</t>
        </is>
      </c>
      <c r="C1131" s="67" t="inlineStr">
        <is>
          <t>1611</t>
        </is>
      </c>
      <c r="D1131" s="68" t="inlineStr">
        <is>
          <t>11</t>
        </is>
      </c>
      <c r="E1131" s="68" t="inlineStr">
        <is>
          <t>Kiosk-LHI</t>
        </is>
      </c>
      <c r="F1131" s="68" t="inlineStr">
        <is>
          <t>母店内甜品站装修</t>
        </is>
      </c>
      <c r="G1131" s="68" t="inlineStr">
        <is>
          <t>母店内甜品站装修</t>
        </is>
      </c>
      <c r="H1131" s="68" t="inlineStr">
        <is>
          <t>母店内甜品站-墙面</t>
        </is>
      </c>
      <c r="I1131" s="69" t="inlineStr">
        <is>
          <t>1000021773</t>
        </is>
      </c>
      <c r="J1131" s="69" t="inlineStr">
        <is>
          <t>墙面基层（木工板或硅酸钙板）</t>
        </is>
      </c>
      <c r="K1131" s="70" t="n"/>
      <c r="L1131" s="70" t="n"/>
      <c r="M1131" s="71" t="inlineStr">
        <is>
          <t>m2</t>
        </is>
      </c>
      <c r="N1131" s="72" t="n">
        <v>114.06</v>
      </c>
      <c r="O1131" s="72">
        <f>ROUND(N1131*(1+$F$10),2)</f>
        <v/>
      </c>
      <c r="P1131" s="73">
        <f>ROUND(K1131*N1131,2)</f>
        <v/>
      </c>
      <c r="Q1131" s="74">
        <f>ROUND(L1131*N1131,2)</f>
        <v/>
      </c>
      <c r="R1131" s="75" t="n"/>
      <c r="S1131" s="76" t="n"/>
      <c r="T1131" s="77">
        <f>K1131-L1131</f>
        <v/>
      </c>
      <c r="U1131" s="77">
        <f>P1131-Q1131</f>
        <v/>
      </c>
      <c r="V1131" s="77">
        <f>ABS(U1131)</f>
        <v/>
      </c>
      <c r="W1131" s="78">
        <f>T1131/L1131</f>
        <v/>
      </c>
      <c r="X1131" s="79">
        <f>ABS(W1131)</f>
        <v/>
      </c>
    </row>
    <row r="1132" ht="11.4" customHeight="1">
      <c r="A1132" s="67" t="inlineStr">
        <is>
          <t>7057</t>
        </is>
      </c>
      <c r="B1132" s="67" t="inlineStr">
        <is>
          <t>1055</t>
        </is>
      </c>
      <c r="C1132" s="67" t="inlineStr">
        <is>
          <t>1611</t>
        </is>
      </c>
      <c r="D1132" s="68" t="inlineStr">
        <is>
          <t>11</t>
        </is>
      </c>
      <c r="E1132" s="68" t="inlineStr">
        <is>
          <t>Kiosk-LHI</t>
        </is>
      </c>
      <c r="F1132" s="68" t="inlineStr">
        <is>
          <t>母店内甜品站装修</t>
        </is>
      </c>
      <c r="G1132" s="68" t="inlineStr">
        <is>
          <t>母店内甜品站装修</t>
        </is>
      </c>
      <c r="H1132" s="68" t="inlineStr">
        <is>
          <t>母店内甜品站-墙面</t>
        </is>
      </c>
      <c r="I1132" s="69" t="inlineStr">
        <is>
          <t>1000021465</t>
        </is>
      </c>
      <c r="J1132" s="69" t="inlineStr">
        <is>
          <t>墙面 /富美家木纹色防火板（不含基层）</t>
        </is>
      </c>
      <c r="K1132" s="70" t="n"/>
      <c r="L1132" s="70" t="n"/>
      <c r="M1132" s="71" t="inlineStr">
        <is>
          <t>m2</t>
        </is>
      </c>
      <c r="N1132" s="72" t="n">
        <v>197.83</v>
      </c>
      <c r="O1132" s="72">
        <f>ROUND(N1132*(1+$F$10),2)</f>
        <v/>
      </c>
      <c r="P1132" s="73">
        <f>ROUND(K1132*N1132,2)</f>
        <v/>
      </c>
      <c r="Q1132" s="74">
        <f>ROUND(L1132*N1132,2)</f>
        <v/>
      </c>
      <c r="R1132" s="75" t="n"/>
      <c r="S1132" s="76" t="n"/>
      <c r="T1132" s="77">
        <f>K1132-L1132</f>
        <v/>
      </c>
      <c r="U1132" s="77">
        <f>P1132-Q1132</f>
        <v/>
      </c>
      <c r="V1132" s="77">
        <f>ABS(U1132)</f>
        <v/>
      </c>
      <c r="W1132" s="78">
        <f>T1132/L1132</f>
        <v/>
      </c>
      <c r="X1132" s="79">
        <f>ABS(W1132)</f>
        <v/>
      </c>
    </row>
    <row r="1133" ht="11.4" customHeight="1">
      <c r="A1133" s="67" t="inlineStr">
        <is>
          <t>7057</t>
        </is>
      </c>
      <c r="B1133" s="67" t="inlineStr">
        <is>
          <t>1055</t>
        </is>
      </c>
      <c r="C1133" s="67" t="inlineStr">
        <is>
          <t>1611</t>
        </is>
      </c>
      <c r="D1133" s="68" t="inlineStr">
        <is>
          <t>11</t>
        </is>
      </c>
      <c r="E1133" s="68" t="inlineStr">
        <is>
          <t>Kiosk-LHI</t>
        </is>
      </c>
      <c r="F1133" s="68" t="inlineStr">
        <is>
          <t>母店内甜品站装修</t>
        </is>
      </c>
      <c r="G1133" s="68" t="inlineStr">
        <is>
          <t>母店内甜品站装修</t>
        </is>
      </c>
      <c r="H1133" s="68" t="inlineStr">
        <is>
          <t>母店内甜品站-墙面</t>
        </is>
      </c>
      <c r="I1133" s="69" t="inlineStr">
        <is>
          <t>1000040124</t>
        </is>
      </c>
      <c r="J1133" s="69" t="inlineStr">
        <is>
          <t>墙面 /富美家深灰色防火板（不含基层）</t>
        </is>
      </c>
      <c r="K1133" s="70" t="n"/>
      <c r="L1133" s="70" t="n"/>
      <c r="M1133" s="71" t="inlineStr">
        <is>
          <t>m2</t>
        </is>
      </c>
      <c r="N1133" s="72" t="n">
        <v>182.9</v>
      </c>
      <c r="O1133" s="72">
        <f>ROUND(N1133*(1+$F$10),2)</f>
        <v/>
      </c>
      <c r="P1133" s="73">
        <f>ROUND(K1133*N1133,2)</f>
        <v/>
      </c>
      <c r="Q1133" s="74">
        <f>ROUND(L1133*N1133,2)</f>
        <v/>
      </c>
      <c r="R1133" s="75" t="n"/>
      <c r="S1133" s="76" t="n"/>
      <c r="T1133" s="77">
        <f>K1133-L1133</f>
        <v/>
      </c>
      <c r="U1133" s="77">
        <f>P1133-Q1133</f>
        <v/>
      </c>
      <c r="V1133" s="77">
        <f>ABS(U1133)</f>
        <v/>
      </c>
      <c r="W1133" s="78">
        <f>T1133/L1133</f>
        <v/>
      </c>
      <c r="X1133" s="79">
        <f>ABS(W1133)</f>
        <v/>
      </c>
    </row>
    <row r="1134" ht="11.4" customHeight="1">
      <c r="A1134" s="67" t="inlineStr">
        <is>
          <t>7057</t>
        </is>
      </c>
      <c r="B1134" s="67" t="inlineStr">
        <is>
          <t>1055</t>
        </is>
      </c>
      <c r="C1134" s="67" t="inlineStr">
        <is>
          <t>1611</t>
        </is>
      </c>
      <c r="D1134" s="68" t="inlineStr">
        <is>
          <t>11</t>
        </is>
      </c>
      <c r="E1134" s="68" t="inlineStr">
        <is>
          <t>Kiosk-LHI</t>
        </is>
      </c>
      <c r="F1134" s="68" t="inlineStr">
        <is>
          <t>母店内甜品站装修</t>
        </is>
      </c>
      <c r="G1134" s="68" t="inlineStr">
        <is>
          <t>母店内甜品站装修</t>
        </is>
      </c>
      <c r="H1134" s="68" t="inlineStr">
        <is>
          <t>母店内甜品站-墙面</t>
        </is>
      </c>
      <c r="I1134" s="69" t="inlineStr">
        <is>
          <t>1000021625</t>
        </is>
      </c>
      <c r="J1134" s="69" t="inlineStr">
        <is>
          <t>墙面 /威盛亚木纹色防火板（不含基层）</t>
        </is>
      </c>
      <c r="K1134" s="70" t="n"/>
      <c r="L1134" s="70" t="n"/>
      <c r="M1134" s="71" t="inlineStr">
        <is>
          <t>m2</t>
        </is>
      </c>
      <c r="N1134" s="72" t="n">
        <v>186.66</v>
      </c>
      <c r="O1134" s="72">
        <f>ROUND(N1134*(1+$F$10),2)</f>
        <v/>
      </c>
      <c r="P1134" s="73">
        <f>ROUND(K1134*N1134,2)</f>
        <v/>
      </c>
      <c r="Q1134" s="74">
        <f>ROUND(L1134*N1134,2)</f>
        <v/>
      </c>
      <c r="R1134" s="75" t="n"/>
      <c r="S1134" s="76" t="n"/>
      <c r="T1134" s="77">
        <f>K1134-L1134</f>
        <v/>
      </c>
      <c r="U1134" s="77">
        <f>P1134-Q1134</f>
        <v/>
      </c>
      <c r="V1134" s="77">
        <f>ABS(U1134)</f>
        <v/>
      </c>
      <c r="W1134" s="78">
        <f>T1134/L1134</f>
        <v/>
      </c>
      <c r="X1134" s="79">
        <f>ABS(W1134)</f>
        <v/>
      </c>
    </row>
    <row r="1135" ht="11.4" customHeight="1">
      <c r="A1135" s="67" t="inlineStr">
        <is>
          <t>7057</t>
        </is>
      </c>
      <c r="B1135" s="67" t="inlineStr">
        <is>
          <t>1055</t>
        </is>
      </c>
      <c r="C1135" s="67" t="inlineStr">
        <is>
          <t>1611</t>
        </is>
      </c>
      <c r="D1135" s="68" t="inlineStr">
        <is>
          <t>11</t>
        </is>
      </c>
      <c r="E1135" s="68" t="inlineStr">
        <is>
          <t>Kiosk-LHI</t>
        </is>
      </c>
      <c r="F1135" s="68" t="inlineStr">
        <is>
          <t>母店内甜品站装修</t>
        </is>
      </c>
      <c r="G1135" s="68" t="inlineStr">
        <is>
          <t>母店内甜品站装修</t>
        </is>
      </c>
      <c r="H1135" s="68" t="inlineStr">
        <is>
          <t>母店内甜品站-墙面</t>
        </is>
      </c>
      <c r="I1135" s="69" t="inlineStr">
        <is>
          <t>1000021624</t>
        </is>
      </c>
      <c r="J1135" s="69" t="inlineStr">
        <is>
          <t>墙面 /威盛亚深灰色防火板（不含基层）</t>
        </is>
      </c>
      <c r="K1135" s="70" t="n"/>
      <c r="L1135" s="70" t="n"/>
      <c r="M1135" s="71" t="inlineStr">
        <is>
          <t>m2</t>
        </is>
      </c>
      <c r="N1135" s="72" t="n">
        <v>174.35</v>
      </c>
      <c r="O1135" s="72">
        <f>ROUND(N1135*(1+$F$10),2)</f>
        <v/>
      </c>
      <c r="P1135" s="73">
        <f>ROUND(K1135*N1135,2)</f>
        <v/>
      </c>
      <c r="Q1135" s="74">
        <f>ROUND(L1135*N1135,2)</f>
        <v/>
      </c>
      <c r="R1135" s="75" t="n"/>
      <c r="S1135" s="76" t="n"/>
      <c r="T1135" s="77">
        <f>K1135-L1135</f>
        <v/>
      </c>
      <c r="U1135" s="77">
        <f>P1135-Q1135</f>
        <v/>
      </c>
      <c r="V1135" s="77">
        <f>ABS(U1135)</f>
        <v/>
      </c>
      <c r="W1135" s="78">
        <f>T1135/L1135</f>
        <v/>
      </c>
      <c r="X1135" s="79">
        <f>ABS(W1135)</f>
        <v/>
      </c>
    </row>
    <row r="1136" ht="11.4" customHeight="1">
      <c r="A1136" s="67" t="inlineStr">
        <is>
          <t>7057</t>
        </is>
      </c>
      <c r="B1136" s="67" t="inlineStr">
        <is>
          <t>1053</t>
        </is>
      </c>
      <c r="C1136" s="67" t="inlineStr">
        <is>
          <t>1611</t>
        </is>
      </c>
      <c r="D1136" s="68" t="inlineStr">
        <is>
          <t>11</t>
        </is>
      </c>
      <c r="E1136" s="68" t="inlineStr">
        <is>
          <t>Kiosk-LHI</t>
        </is>
      </c>
      <c r="F1136" s="68" t="inlineStr">
        <is>
          <t>母店内甜品站装修</t>
        </is>
      </c>
      <c r="G1136" s="68" t="inlineStr">
        <is>
          <t>母店内甜品站装修</t>
        </is>
      </c>
      <c r="H1136" s="68" t="inlineStr">
        <is>
          <t>母店内甜品站-墙面</t>
        </is>
      </c>
      <c r="I1136" s="69" t="inlineStr">
        <is>
          <t>1000021518</t>
        </is>
      </c>
      <c r="J1136" s="69" t="inlineStr">
        <is>
          <t>200x200x8mm白瓷砖（琛雄）</t>
        </is>
      </c>
      <c r="K1136" s="70" t="n"/>
      <c r="L1136" s="70" t="n"/>
      <c r="M1136" s="71" t="inlineStr">
        <is>
          <t>m2</t>
        </is>
      </c>
      <c r="N1136" s="72" t="n">
        <v>118.11</v>
      </c>
      <c r="O1136" s="72">
        <f>ROUND(N1136*(1+$F$10),2)</f>
        <v/>
      </c>
      <c r="P1136" s="73">
        <f>ROUND(K1136*N1136,2)</f>
        <v/>
      </c>
      <c r="Q1136" s="74">
        <f>ROUND(L1136*N1136,2)</f>
        <v/>
      </c>
      <c r="R1136" s="75" t="n"/>
      <c r="S1136" s="76" t="n"/>
      <c r="T1136" s="77">
        <f>K1136-L1136</f>
        <v/>
      </c>
      <c r="U1136" s="77">
        <f>P1136-Q1136</f>
        <v/>
      </c>
      <c r="V1136" s="77">
        <f>ABS(U1136)</f>
        <v/>
      </c>
      <c r="W1136" s="78">
        <f>T1136/L1136</f>
        <v/>
      </c>
      <c r="X1136" s="79">
        <f>ABS(W1136)</f>
        <v/>
      </c>
    </row>
    <row r="1137" ht="11.4" customHeight="1">
      <c r="A1137" s="67" t="inlineStr">
        <is>
          <t>7057</t>
        </is>
      </c>
      <c r="B1137" s="67" t="inlineStr">
        <is>
          <t>1053</t>
        </is>
      </c>
      <c r="C1137" s="67" t="inlineStr">
        <is>
          <t>1611</t>
        </is>
      </c>
      <c r="D1137" s="68" t="inlineStr">
        <is>
          <t>11</t>
        </is>
      </c>
      <c r="E1137" s="68" t="inlineStr">
        <is>
          <t>Kiosk-LHI</t>
        </is>
      </c>
      <c r="F1137" s="68" t="inlineStr">
        <is>
          <t>母店内甜品站装修</t>
        </is>
      </c>
      <c r="G1137" s="68" t="inlineStr">
        <is>
          <t>母店内甜品站装修</t>
        </is>
      </c>
      <c r="H1137" s="68" t="inlineStr">
        <is>
          <t>母店内甜品站-墙面</t>
        </is>
      </c>
      <c r="I1137" s="69" t="inlineStr">
        <is>
          <t>1000021656</t>
        </is>
      </c>
      <c r="J1137" s="69" t="inlineStr">
        <is>
          <t>200x200x8mm白瓷砖（共荣）</t>
        </is>
      </c>
      <c r="K1137" s="70" t="n"/>
      <c r="L1137" s="70" t="n"/>
      <c r="M1137" s="71" t="inlineStr">
        <is>
          <t>m2</t>
        </is>
      </c>
      <c r="N1137" s="72" t="n">
        <v>113.49</v>
      </c>
      <c r="O1137" s="72">
        <f>ROUND(N1137*(1+$F$10),2)</f>
        <v/>
      </c>
      <c r="P1137" s="73">
        <f>ROUND(K1137*N1137,2)</f>
        <v/>
      </c>
      <c r="Q1137" s="74">
        <f>ROUND(L1137*N1137,2)</f>
        <v/>
      </c>
      <c r="R1137" s="75" t="n"/>
      <c r="S1137" s="76" t="n"/>
      <c r="T1137" s="77">
        <f>K1137-L1137</f>
        <v/>
      </c>
      <c r="U1137" s="77">
        <f>P1137-Q1137</f>
        <v/>
      </c>
      <c r="V1137" s="77">
        <f>ABS(U1137)</f>
        <v/>
      </c>
      <c r="W1137" s="78">
        <f>T1137/L1137</f>
        <v/>
      </c>
      <c r="X1137" s="79">
        <f>ABS(W1137)</f>
        <v/>
      </c>
    </row>
    <row r="1138" ht="11.4" customHeight="1">
      <c r="A1138" s="67" t="inlineStr">
        <is>
          <t>7057</t>
        </is>
      </c>
      <c r="B1138" s="67" t="inlineStr">
        <is>
          <t>1053</t>
        </is>
      </c>
      <c r="C1138" s="67" t="inlineStr">
        <is>
          <t>1611</t>
        </is>
      </c>
      <c r="D1138" s="68" t="inlineStr">
        <is>
          <t>11</t>
        </is>
      </c>
      <c r="E1138" s="68" t="inlineStr">
        <is>
          <t>Kiosk-LHI</t>
        </is>
      </c>
      <c r="F1138" s="68" t="inlineStr">
        <is>
          <t>母店内甜品站装修</t>
        </is>
      </c>
      <c r="G1138" s="68" t="inlineStr">
        <is>
          <t>母店内甜品站装修</t>
        </is>
      </c>
      <c r="H1138" s="68" t="inlineStr">
        <is>
          <t>母店内甜品站-墙面</t>
        </is>
      </c>
      <c r="I1138" s="69" t="inlineStr">
        <is>
          <t>1000021703</t>
        </is>
      </c>
      <c r="J1138" s="69" t="inlineStr">
        <is>
          <t>200x200x8mm白瓷砖（冠军）</t>
        </is>
      </c>
      <c r="K1138" s="70" t="n"/>
      <c r="L1138" s="70" t="n"/>
      <c r="M1138" s="71" t="inlineStr">
        <is>
          <t>m2</t>
        </is>
      </c>
      <c r="N1138" s="72" t="n">
        <v>118.11</v>
      </c>
      <c r="O1138" s="72">
        <f>ROUND(N1138*(1+$F$10),2)</f>
        <v/>
      </c>
      <c r="P1138" s="73">
        <f>ROUND(K1138*N1138,2)</f>
        <v/>
      </c>
      <c r="Q1138" s="74">
        <f>ROUND(L1138*N1138,2)</f>
        <v/>
      </c>
      <c r="R1138" s="75" t="n"/>
      <c r="S1138" s="76" t="n"/>
      <c r="T1138" s="77">
        <f>K1138-L1138</f>
        <v/>
      </c>
      <c r="U1138" s="77">
        <f>P1138-Q1138</f>
        <v/>
      </c>
      <c r="V1138" s="77">
        <f>ABS(U1138)</f>
        <v/>
      </c>
      <c r="W1138" s="78">
        <f>T1138/L1138</f>
        <v/>
      </c>
      <c r="X1138" s="79">
        <f>ABS(W1138)</f>
        <v/>
      </c>
    </row>
    <row r="1139" ht="11.4" customHeight="1">
      <c r="A1139" s="67" t="inlineStr">
        <is>
          <t>7057</t>
        </is>
      </c>
      <c r="B1139" s="67" t="inlineStr">
        <is>
          <t>1055</t>
        </is>
      </c>
      <c r="C1139" s="67" t="inlineStr">
        <is>
          <t>1611</t>
        </is>
      </c>
      <c r="D1139" s="68" t="inlineStr">
        <is>
          <t>11</t>
        </is>
      </c>
      <c r="E1139" s="68" t="inlineStr">
        <is>
          <t>Kiosk-LHI</t>
        </is>
      </c>
      <c r="F1139" s="68" t="inlineStr">
        <is>
          <t>母店内甜品站装修</t>
        </is>
      </c>
      <c r="G1139" s="68" t="inlineStr">
        <is>
          <t>母店内甜品站装修</t>
        </is>
      </c>
      <c r="H1139" s="68" t="inlineStr">
        <is>
          <t>母店内甜品站-墙面</t>
        </is>
      </c>
      <c r="I1139" s="69" t="inlineStr">
        <is>
          <t>1000021608</t>
        </is>
      </c>
      <c r="J1139" s="69" t="inlineStr">
        <is>
          <t>50*50mm黄色六角砖（琛雄）</t>
        </is>
      </c>
      <c r="K1139" s="70" t="n"/>
      <c r="L1139" s="70" t="n"/>
      <c r="M1139" s="71" t="inlineStr">
        <is>
          <t>m2</t>
        </is>
      </c>
      <c r="N1139" s="72" t="n">
        <v>192.47</v>
      </c>
      <c r="O1139" s="72">
        <f>ROUND(N1139*(1+$F$10),2)</f>
        <v/>
      </c>
      <c r="P1139" s="73">
        <f>ROUND(K1139*N1139,2)</f>
        <v/>
      </c>
      <c r="Q1139" s="74">
        <f>ROUND(L1139*N1139,2)</f>
        <v/>
      </c>
      <c r="R1139" s="75" t="n"/>
      <c r="S1139" s="76" t="n"/>
      <c r="T1139" s="77">
        <f>K1139-L1139</f>
        <v/>
      </c>
      <c r="U1139" s="77">
        <f>P1139-Q1139</f>
        <v/>
      </c>
      <c r="V1139" s="77">
        <f>ABS(U1139)</f>
        <v/>
      </c>
      <c r="W1139" s="78">
        <f>T1139/L1139</f>
        <v/>
      </c>
      <c r="X1139" s="79">
        <f>ABS(W1139)</f>
        <v/>
      </c>
    </row>
    <row r="1140" ht="11.4" customHeight="1">
      <c r="A1140" s="67" t="inlineStr">
        <is>
          <t>7057</t>
        </is>
      </c>
      <c r="B1140" s="67" t="inlineStr">
        <is>
          <t>1055</t>
        </is>
      </c>
      <c r="C1140" s="67" t="inlineStr">
        <is>
          <t>1611</t>
        </is>
      </c>
      <c r="D1140" s="68" t="inlineStr">
        <is>
          <t>11</t>
        </is>
      </c>
      <c r="E1140" s="68" t="inlineStr">
        <is>
          <t>Kiosk-LHI</t>
        </is>
      </c>
      <c r="F1140" s="68" t="inlineStr">
        <is>
          <t>母店内甜品站装修</t>
        </is>
      </c>
      <c r="G1140" s="68" t="inlineStr">
        <is>
          <t>母店内甜品站装修</t>
        </is>
      </c>
      <c r="H1140" s="68" t="inlineStr">
        <is>
          <t>母店内甜品站-墙面</t>
        </is>
      </c>
      <c r="I1140" s="69" t="inlineStr">
        <is>
          <t>1000021705</t>
        </is>
      </c>
      <c r="J1140" s="69" t="inlineStr">
        <is>
          <t>50*50mm黄色六角砖（共荣）</t>
        </is>
      </c>
      <c r="K1140" s="70" t="n"/>
      <c r="L1140" s="70" t="n"/>
      <c r="M1140" s="71" t="inlineStr">
        <is>
          <t>m2</t>
        </is>
      </c>
      <c r="N1140" s="72" t="n">
        <v>172.83</v>
      </c>
      <c r="O1140" s="72">
        <f>ROUND(N1140*(1+$F$10),2)</f>
        <v/>
      </c>
      <c r="P1140" s="73">
        <f>ROUND(K1140*N1140,2)</f>
        <v/>
      </c>
      <c r="Q1140" s="74">
        <f>ROUND(L1140*N1140,2)</f>
        <v/>
      </c>
      <c r="R1140" s="75" t="n"/>
      <c r="S1140" s="76" t="n"/>
      <c r="T1140" s="77">
        <f>K1140-L1140</f>
        <v/>
      </c>
      <c r="U1140" s="77">
        <f>P1140-Q1140</f>
        <v/>
      </c>
      <c r="V1140" s="77">
        <f>ABS(U1140)</f>
        <v/>
      </c>
      <c r="W1140" s="78">
        <f>T1140/L1140</f>
        <v/>
      </c>
      <c r="X1140" s="79">
        <f>ABS(W1140)</f>
        <v/>
      </c>
    </row>
    <row r="1141" ht="11.4" customHeight="1">
      <c r="A1141" s="67" t="inlineStr">
        <is>
          <t>7057</t>
        </is>
      </c>
      <c r="B1141" s="67" t="inlineStr">
        <is>
          <t>1055</t>
        </is>
      </c>
      <c r="C1141" s="67" t="inlineStr">
        <is>
          <t>1611</t>
        </is>
      </c>
      <c r="D1141" s="68" t="inlineStr">
        <is>
          <t>11</t>
        </is>
      </c>
      <c r="E1141" s="68" t="inlineStr">
        <is>
          <t>Kiosk-LHI</t>
        </is>
      </c>
      <c r="F1141" s="68" t="inlineStr">
        <is>
          <t>母店内甜品站装修</t>
        </is>
      </c>
      <c r="G1141" s="68" t="inlineStr">
        <is>
          <t>母店内甜品站装修</t>
        </is>
      </c>
      <c r="H1141" s="68" t="inlineStr">
        <is>
          <t>母店内甜品站-墙面</t>
        </is>
      </c>
      <c r="I1141" s="69" t="inlineStr">
        <is>
          <t>1000021704</t>
        </is>
      </c>
      <c r="J1141" s="69" t="inlineStr">
        <is>
          <t>50*50mm黄色六角砖（冠军）</t>
        </is>
      </c>
      <c r="K1141" s="70" t="n"/>
      <c r="L1141" s="70" t="n"/>
      <c r="M1141" s="71" t="inlineStr">
        <is>
          <t>m2</t>
        </is>
      </c>
      <c r="N1141" s="72" t="n">
        <v>192.47</v>
      </c>
      <c r="O1141" s="72">
        <f>ROUND(N1141*(1+$F$10),2)</f>
        <v/>
      </c>
      <c r="P1141" s="73">
        <f>ROUND(K1141*N1141,2)</f>
        <v/>
      </c>
      <c r="Q1141" s="74">
        <f>ROUND(L1141*N1141,2)</f>
        <v/>
      </c>
      <c r="R1141" s="75" t="n"/>
      <c r="S1141" s="76" t="n"/>
      <c r="T1141" s="77">
        <f>K1141-L1141</f>
        <v/>
      </c>
      <c r="U1141" s="77">
        <f>P1141-Q1141</f>
        <v/>
      </c>
      <c r="V1141" s="77">
        <f>ABS(U1141)</f>
        <v/>
      </c>
      <c r="W1141" s="78">
        <f>T1141/L1141</f>
        <v/>
      </c>
      <c r="X1141" s="79">
        <f>ABS(W1141)</f>
        <v/>
      </c>
    </row>
    <row r="1142" ht="11.4" customHeight="1">
      <c r="A1142" s="67" t="inlineStr">
        <is>
          <t>7057</t>
        </is>
      </c>
      <c r="B1142" s="67" t="inlineStr">
        <is>
          <t>1053</t>
        </is>
      </c>
      <c r="C1142" s="67" t="inlineStr">
        <is>
          <t>1611</t>
        </is>
      </c>
      <c r="D1142" s="68" t="inlineStr">
        <is>
          <t>11</t>
        </is>
      </c>
      <c r="E1142" s="68" t="inlineStr">
        <is>
          <t>Kiosk-LHI</t>
        </is>
      </c>
      <c r="F1142" s="68" t="inlineStr">
        <is>
          <t>母店内甜品站装修</t>
        </is>
      </c>
      <c r="G1142" s="68" t="inlineStr">
        <is>
          <t>母店内甜品站装修</t>
        </is>
      </c>
      <c r="H1142" s="68" t="inlineStr">
        <is>
          <t>母店内甜品站-墙面</t>
        </is>
      </c>
      <c r="I1142" s="69" t="inlineStr">
        <is>
          <t>1000021825</t>
        </is>
      </c>
      <c r="J1142" s="69" t="inlineStr">
        <is>
          <t>后区墙面贴发丝不锈钢</t>
        </is>
      </c>
      <c r="K1142" s="70" t="n"/>
      <c r="L1142" s="70" t="n"/>
      <c r="M1142" s="71" t="inlineStr">
        <is>
          <t>m2</t>
        </is>
      </c>
      <c r="N1142" s="72" t="n">
        <v>467.36</v>
      </c>
      <c r="O1142" s="72">
        <f>ROUND(N1142*(1+$F$10),2)</f>
        <v/>
      </c>
      <c r="P1142" s="73">
        <f>ROUND(K1142*N1142,2)</f>
        <v/>
      </c>
      <c r="Q1142" s="74">
        <f>ROUND(L1142*N1142,2)</f>
        <v/>
      </c>
      <c r="R1142" s="75" t="n"/>
      <c r="S1142" s="76" t="n"/>
      <c r="T1142" s="77">
        <f>K1142-L1142</f>
        <v/>
      </c>
      <c r="U1142" s="77">
        <f>P1142-Q1142</f>
        <v/>
      </c>
      <c r="V1142" s="77">
        <f>ABS(U1142)</f>
        <v/>
      </c>
      <c r="W1142" s="78">
        <f>T1142/L1142</f>
        <v/>
      </c>
      <c r="X1142" s="79">
        <f>ABS(W1142)</f>
        <v/>
      </c>
    </row>
    <row r="1143" ht="11.4" customHeight="1">
      <c r="A1143" s="67" t="inlineStr">
        <is>
          <t>7057</t>
        </is>
      </c>
      <c r="B1143" s="67" t="inlineStr">
        <is>
          <t>1053</t>
        </is>
      </c>
      <c r="C1143" s="67" t="inlineStr">
        <is>
          <t>1611</t>
        </is>
      </c>
      <c r="D1143" s="68" t="inlineStr">
        <is>
          <t>11</t>
        </is>
      </c>
      <c r="E1143" s="68" t="inlineStr">
        <is>
          <t>Kiosk-LHI</t>
        </is>
      </c>
      <c r="F1143" s="68" t="inlineStr">
        <is>
          <t>母店内甜品站装修</t>
        </is>
      </c>
      <c r="G1143" s="68" t="inlineStr">
        <is>
          <t>母店内甜品站装修</t>
        </is>
      </c>
      <c r="H1143" s="68" t="inlineStr">
        <is>
          <t>母店内甜品站-墙面</t>
        </is>
      </c>
      <c r="I1143" s="69" t="inlineStr">
        <is>
          <t>1000021826</t>
        </is>
      </c>
      <c r="J1143" s="69" t="inlineStr">
        <is>
          <t>60x60x2.5 发丝不锈钢护角</t>
        </is>
      </c>
      <c r="K1143" s="70" t="n"/>
      <c r="L1143" s="70" t="n"/>
      <c r="M1143" s="71" t="inlineStr">
        <is>
          <t>件</t>
        </is>
      </c>
      <c r="N1143" s="72" t="n">
        <v>184.69</v>
      </c>
      <c r="O1143" s="72">
        <f>ROUND(N1143*(1+$F$10),2)</f>
        <v/>
      </c>
      <c r="P1143" s="73">
        <f>ROUND(K1143*N1143,2)</f>
        <v/>
      </c>
      <c r="Q1143" s="74">
        <f>ROUND(L1143*N1143,2)</f>
        <v/>
      </c>
      <c r="R1143" s="75" t="n"/>
      <c r="S1143" s="76" t="n"/>
      <c r="T1143" s="77">
        <f>K1143-L1143</f>
        <v/>
      </c>
      <c r="U1143" s="77">
        <f>P1143-Q1143</f>
        <v/>
      </c>
      <c r="V1143" s="77">
        <f>ABS(U1143)</f>
        <v/>
      </c>
      <c r="W1143" s="78">
        <f>T1143/L1143</f>
        <v/>
      </c>
      <c r="X1143" s="79">
        <f>ABS(W1143)</f>
        <v/>
      </c>
    </row>
    <row r="1144" ht="11.4" customHeight="1">
      <c r="A1144" s="67" t="inlineStr">
        <is>
          <t>7057</t>
        </is>
      </c>
      <c r="B1144" s="67" t="inlineStr">
        <is>
          <t>1053</t>
        </is>
      </c>
      <c r="C1144" s="67" t="inlineStr">
        <is>
          <t>1611</t>
        </is>
      </c>
      <c r="D1144" s="68" t="inlineStr">
        <is>
          <t>11</t>
        </is>
      </c>
      <c r="E1144" s="68" t="inlineStr">
        <is>
          <t>Kiosk-LHI</t>
        </is>
      </c>
      <c r="F1144" s="68" t="inlineStr">
        <is>
          <t>母店内甜品站装修</t>
        </is>
      </c>
      <c r="G1144" s="68" t="inlineStr">
        <is>
          <t>母店内甜品站装修</t>
        </is>
      </c>
      <c r="H1144" s="68" t="inlineStr">
        <is>
          <t>母店内甜品站-墙面</t>
        </is>
      </c>
      <c r="I1144" s="69" t="inlineStr">
        <is>
          <t>1000021827</t>
        </is>
      </c>
      <c r="J1144" s="69" t="inlineStr">
        <is>
          <t>60x180x60x2.5 U型发丝不锈钢护角</t>
        </is>
      </c>
      <c r="K1144" s="70" t="n"/>
      <c r="L1144" s="70" t="n"/>
      <c r="M1144" s="71" t="inlineStr">
        <is>
          <t>件</t>
        </is>
      </c>
      <c r="N1144" s="72" t="n">
        <v>374.99</v>
      </c>
      <c r="O1144" s="72">
        <f>ROUND(N1144*(1+$F$10),2)</f>
        <v/>
      </c>
      <c r="P1144" s="73">
        <f>ROUND(K1144*N1144,2)</f>
        <v/>
      </c>
      <c r="Q1144" s="74">
        <f>ROUND(L1144*N1144,2)</f>
        <v/>
      </c>
      <c r="R1144" s="75" t="n"/>
      <c r="S1144" s="76" t="n"/>
      <c r="T1144" s="77">
        <f>K1144-L1144</f>
        <v/>
      </c>
      <c r="U1144" s="77">
        <f>P1144-Q1144</f>
        <v/>
      </c>
      <c r="V1144" s="77">
        <f>ABS(U1144)</f>
        <v/>
      </c>
      <c r="W1144" s="78">
        <f>T1144/L1144</f>
        <v/>
      </c>
      <c r="X1144" s="79">
        <f>ABS(W1144)</f>
        <v/>
      </c>
    </row>
    <row r="1145" ht="11.4" customHeight="1">
      <c r="A1145" s="67" t="inlineStr">
        <is>
          <t>7058</t>
        </is>
      </c>
      <c r="B1145" s="67" t="inlineStr">
        <is>
          <t>1056</t>
        </is>
      </c>
      <c r="C1145" s="67" t="inlineStr">
        <is>
          <t>1611</t>
        </is>
      </c>
      <c r="D1145" s="68" t="inlineStr">
        <is>
          <t>11</t>
        </is>
      </c>
      <c r="E1145" s="68" t="inlineStr">
        <is>
          <t>Kiosk-LHI</t>
        </is>
      </c>
      <c r="F1145" s="68" t="inlineStr">
        <is>
          <t>母店内甜品站装修</t>
        </is>
      </c>
      <c r="G1145" s="68" t="inlineStr">
        <is>
          <t>母店内甜品站装修</t>
        </is>
      </c>
      <c r="H1145" s="68" t="inlineStr">
        <is>
          <t>母店内甜品站-吊顶</t>
        </is>
      </c>
      <c r="I1145" s="69" t="inlineStr">
        <is>
          <t>1000021485</t>
        </is>
      </c>
      <c r="J1145" s="69" t="inlineStr">
        <is>
          <t>600x600烤漆T龙防潮隔音矿棉天花</t>
        </is>
      </c>
      <c r="K1145" s="70" t="n"/>
      <c r="L1145" s="70" t="n"/>
      <c r="M1145" s="71" t="inlineStr">
        <is>
          <t>m2</t>
        </is>
      </c>
      <c r="N1145" s="72" t="n">
        <v>127.36</v>
      </c>
      <c r="O1145" s="72">
        <f>ROUND(N1145*(1+$F$10),2)</f>
        <v/>
      </c>
      <c r="P1145" s="73">
        <f>ROUND(K1145*N1145,2)</f>
        <v/>
      </c>
      <c r="Q1145" s="74">
        <f>ROUND(L1145*N1145,2)</f>
        <v/>
      </c>
      <c r="R1145" s="75" t="n"/>
      <c r="S1145" s="76" t="n"/>
      <c r="T1145" s="77">
        <f>K1145-L1145</f>
        <v/>
      </c>
      <c r="U1145" s="77">
        <f>P1145-Q1145</f>
        <v/>
      </c>
      <c r="V1145" s="77">
        <f>ABS(U1145)</f>
        <v/>
      </c>
      <c r="W1145" s="78">
        <f>T1145/L1145</f>
        <v/>
      </c>
      <c r="X1145" s="79">
        <f>ABS(W1145)</f>
        <v/>
      </c>
    </row>
    <row r="1146" ht="11.4" customHeight="1">
      <c r="A1146" s="67" t="inlineStr">
        <is>
          <t>7058</t>
        </is>
      </c>
      <c r="B1146" s="67" t="inlineStr">
        <is>
          <t>1056</t>
        </is>
      </c>
      <c r="C1146" s="67" t="inlineStr">
        <is>
          <t>1611</t>
        </is>
      </c>
      <c r="D1146" s="68" t="inlineStr">
        <is>
          <t>11</t>
        </is>
      </c>
      <c r="E1146" s="68" t="inlineStr">
        <is>
          <t>Kiosk-LHI</t>
        </is>
      </c>
      <c r="F1146" s="68" t="inlineStr">
        <is>
          <t>母店内甜品站装修</t>
        </is>
      </c>
      <c r="G1146" s="68" t="inlineStr">
        <is>
          <t>母店内甜品站装修</t>
        </is>
      </c>
      <c r="H1146" s="68" t="inlineStr">
        <is>
          <t>母店内甜品站-吊顶</t>
        </is>
      </c>
      <c r="I1146" s="69" t="inlineStr">
        <is>
          <t>1000021486</t>
        </is>
      </c>
      <c r="J1146" s="69" t="inlineStr">
        <is>
          <t>600*1200烤漆龙骨防潮矿棉板天花</t>
        </is>
      </c>
      <c r="K1146" s="70" t="n"/>
      <c r="L1146" s="70" t="n"/>
      <c r="M1146" s="71" t="inlineStr">
        <is>
          <t>m2</t>
        </is>
      </c>
      <c r="N1146" s="72" t="n">
        <v>138.36</v>
      </c>
      <c r="O1146" s="72">
        <f>ROUND(N1146*(1+$F$10),2)</f>
        <v/>
      </c>
      <c r="P1146" s="73">
        <f>ROUND(K1146*N1146,2)</f>
        <v/>
      </c>
      <c r="Q1146" s="74">
        <f>ROUND(L1146*N1146,2)</f>
        <v/>
      </c>
      <c r="R1146" s="75" t="n"/>
      <c r="S1146" s="76" t="n"/>
      <c r="T1146" s="77">
        <f>K1146-L1146</f>
        <v/>
      </c>
      <c r="U1146" s="77">
        <f>P1146-Q1146</f>
        <v/>
      </c>
      <c r="V1146" s="77">
        <f>ABS(U1146)</f>
        <v/>
      </c>
      <c r="W1146" s="78">
        <f>T1146/L1146</f>
        <v/>
      </c>
      <c r="X1146" s="79">
        <f>ABS(W1146)</f>
        <v/>
      </c>
    </row>
    <row r="1147" ht="11.4" customHeight="1">
      <c r="A1147" s="67" t="inlineStr">
        <is>
          <t>7058</t>
        </is>
      </c>
      <c r="B1147" s="67" t="inlineStr">
        <is>
          <t>1056</t>
        </is>
      </c>
      <c r="C1147" s="67" t="inlineStr">
        <is>
          <t>1611</t>
        </is>
      </c>
      <c r="D1147" s="68" t="inlineStr">
        <is>
          <t>11</t>
        </is>
      </c>
      <c r="E1147" s="68" t="inlineStr">
        <is>
          <t>Kiosk-LHI</t>
        </is>
      </c>
      <c r="F1147" s="68" t="inlineStr">
        <is>
          <t>母店内甜品站装修</t>
        </is>
      </c>
      <c r="G1147" s="68" t="inlineStr">
        <is>
          <t>母店内甜品站装修</t>
        </is>
      </c>
      <c r="H1147" s="68" t="inlineStr">
        <is>
          <t>母店内甜品站-吊顶</t>
        </is>
      </c>
      <c r="I1147" s="69" t="inlineStr">
        <is>
          <t>1000021781</t>
        </is>
      </c>
      <c r="J1147" s="69" t="inlineStr">
        <is>
          <t>轻钢龙骨石膏板叠级天花（含收口凹槽）</t>
        </is>
      </c>
      <c r="K1147" s="70" t="n"/>
      <c r="L1147" s="70" t="n"/>
      <c r="M1147" s="71" t="inlineStr">
        <is>
          <t>m2</t>
        </is>
      </c>
      <c r="N1147" s="72" t="n">
        <v>250.08</v>
      </c>
      <c r="O1147" s="72">
        <f>ROUND(N1147*(1+$F$10),2)</f>
        <v/>
      </c>
      <c r="P1147" s="73">
        <f>ROUND(K1147*N1147,2)</f>
        <v/>
      </c>
      <c r="Q1147" s="74">
        <f>ROUND(L1147*N1147,2)</f>
        <v/>
      </c>
      <c r="R1147" s="75" t="n"/>
      <c r="S1147" s="76" t="n"/>
      <c r="T1147" s="77">
        <f>K1147-L1147</f>
        <v/>
      </c>
      <c r="U1147" s="77">
        <f>P1147-Q1147</f>
        <v/>
      </c>
      <c r="V1147" s="77">
        <f>ABS(U1147)</f>
        <v/>
      </c>
      <c r="W1147" s="78">
        <f>T1147/L1147</f>
        <v/>
      </c>
      <c r="X1147" s="79">
        <f>ABS(W1147)</f>
        <v/>
      </c>
    </row>
    <row r="1148" ht="11.4" customHeight="1">
      <c r="A1148" s="67" t="inlineStr">
        <is>
          <t>7058</t>
        </is>
      </c>
      <c r="B1148" s="67" t="inlineStr">
        <is>
          <t>1056</t>
        </is>
      </c>
      <c r="C1148" s="67" t="inlineStr">
        <is>
          <t>1611</t>
        </is>
      </c>
      <c r="D1148" s="68" t="inlineStr">
        <is>
          <t>11</t>
        </is>
      </c>
      <c r="E1148" s="68" t="inlineStr">
        <is>
          <t>Kiosk-LHI</t>
        </is>
      </c>
      <c r="F1148" s="68" t="inlineStr">
        <is>
          <t>母店内甜品站装修</t>
        </is>
      </c>
      <c r="G1148" s="68" t="inlineStr">
        <is>
          <t>母店内甜品站装修</t>
        </is>
      </c>
      <c r="H1148" s="68" t="inlineStr">
        <is>
          <t>母店内甜品站-吊顶</t>
        </is>
      </c>
      <c r="I1148" s="69" t="inlineStr">
        <is>
          <t>1000021782</t>
        </is>
      </c>
      <c r="J1148" s="69" t="inlineStr">
        <is>
          <t>轻钢龙骨石膏板天花</t>
        </is>
      </c>
      <c r="K1148" s="70" t="n"/>
      <c r="L1148" s="70" t="n"/>
      <c r="M1148" s="71" t="inlineStr">
        <is>
          <t>m2</t>
        </is>
      </c>
      <c r="N1148" s="72" t="n">
        <v>139.73</v>
      </c>
      <c r="O1148" s="72">
        <f>ROUND(N1148*(1+$F$10),2)</f>
        <v/>
      </c>
      <c r="P1148" s="73">
        <f>ROUND(K1148*N1148,2)</f>
        <v/>
      </c>
      <c r="Q1148" s="74">
        <f>ROUND(L1148*N1148,2)</f>
        <v/>
      </c>
      <c r="R1148" s="75" t="n"/>
      <c r="S1148" s="76" t="n"/>
      <c r="T1148" s="77">
        <f>K1148-L1148</f>
        <v/>
      </c>
      <c r="U1148" s="77">
        <f>P1148-Q1148</f>
        <v/>
      </c>
      <c r="V1148" s="77">
        <f>ABS(U1148)</f>
        <v/>
      </c>
      <c r="W1148" s="78">
        <f>T1148/L1148</f>
        <v/>
      </c>
      <c r="X1148" s="79">
        <f>ABS(W1148)</f>
        <v/>
      </c>
    </row>
    <row r="1149" ht="11.4" customHeight="1">
      <c r="A1149" s="67" t="inlineStr">
        <is>
          <t>7058</t>
        </is>
      </c>
      <c r="B1149" s="67" t="inlineStr">
        <is>
          <t>1056</t>
        </is>
      </c>
      <c r="C1149" s="67" t="inlineStr">
        <is>
          <t>1611</t>
        </is>
      </c>
      <c r="D1149" s="68" t="inlineStr">
        <is>
          <t>11</t>
        </is>
      </c>
      <c r="E1149" s="68" t="inlineStr">
        <is>
          <t>Kiosk-LHI</t>
        </is>
      </c>
      <c r="F1149" s="68" t="inlineStr">
        <is>
          <t>母店内甜品站装修</t>
        </is>
      </c>
      <c r="G1149" s="68" t="inlineStr">
        <is>
          <t>母店内甜品站装修</t>
        </is>
      </c>
      <c r="H1149" s="68" t="inlineStr">
        <is>
          <t>母店内甜品站-吊顶</t>
        </is>
      </c>
      <c r="I1149" s="69" t="inlineStr">
        <is>
          <t>1000021483</t>
        </is>
      </c>
      <c r="J1149" s="69" t="inlineStr">
        <is>
          <t>室内深色乳胶漆（含批搪，可擦洗）</t>
        </is>
      </c>
      <c r="K1149" s="70" t="n"/>
      <c r="L1149" s="70" t="n"/>
      <c r="M1149" s="71" t="inlineStr">
        <is>
          <t>m2</t>
        </is>
      </c>
      <c r="N1149" s="72" t="n">
        <v>62.19</v>
      </c>
      <c r="O1149" s="72">
        <f>ROUND(N1149*(1+$F$10),2)</f>
        <v/>
      </c>
      <c r="P1149" s="73">
        <f>ROUND(K1149*N1149,2)</f>
        <v/>
      </c>
      <c r="Q1149" s="74">
        <f>ROUND(L1149*N1149,2)</f>
        <v/>
      </c>
      <c r="R1149" s="75" t="n"/>
      <c r="S1149" s="76" t="n"/>
      <c r="T1149" s="77">
        <f>K1149-L1149</f>
        <v/>
      </c>
      <c r="U1149" s="77">
        <f>P1149-Q1149</f>
        <v/>
      </c>
      <c r="V1149" s="77">
        <f>ABS(U1149)</f>
        <v/>
      </c>
      <c r="W1149" s="78">
        <f>T1149/L1149</f>
        <v/>
      </c>
      <c r="X1149" s="79">
        <f>ABS(W1149)</f>
        <v/>
      </c>
    </row>
    <row r="1150" ht="11.4" customHeight="1">
      <c r="A1150" s="67" t="inlineStr">
        <is>
          <t>7059</t>
        </is>
      </c>
      <c r="B1150" s="67" t="inlineStr">
        <is>
          <t>1057</t>
        </is>
      </c>
      <c r="C1150" s="67" t="inlineStr">
        <is>
          <t>1611</t>
        </is>
      </c>
      <c r="D1150" s="68" t="inlineStr">
        <is>
          <t>11</t>
        </is>
      </c>
      <c r="E1150" s="68" t="inlineStr">
        <is>
          <t>Kiosk-LHI</t>
        </is>
      </c>
      <c r="F1150" s="68" t="inlineStr">
        <is>
          <t>母店内甜品站装修</t>
        </is>
      </c>
      <c r="G1150" s="68" t="inlineStr">
        <is>
          <t>母店内甜品站装修</t>
        </is>
      </c>
      <c r="H1150" s="68" t="inlineStr">
        <is>
          <t>母店内甜品站-外立面</t>
        </is>
      </c>
      <c r="I1150" s="69" t="inlineStr">
        <is>
          <t>1000021630</t>
        </is>
      </c>
      <c r="J1150" s="69" t="inlineStr">
        <is>
          <t>外立面墙面砖（琛雄）</t>
        </is>
      </c>
      <c r="K1150" s="70" t="n"/>
      <c r="L1150" s="70" t="n"/>
      <c r="M1150" s="71" t="inlineStr">
        <is>
          <t>m2</t>
        </is>
      </c>
      <c r="N1150" s="72" t="n">
        <v>167.98</v>
      </c>
      <c r="O1150" s="72">
        <f>ROUND(N1150*(1+$F$10),2)</f>
        <v/>
      </c>
      <c r="P1150" s="73">
        <f>ROUND(K1150*N1150,2)</f>
        <v/>
      </c>
      <c r="Q1150" s="74">
        <f>ROUND(L1150*N1150,2)</f>
        <v/>
      </c>
      <c r="R1150" s="75" t="n"/>
      <c r="S1150" s="76" t="n"/>
      <c r="T1150" s="77">
        <f>K1150-L1150</f>
        <v/>
      </c>
      <c r="U1150" s="77">
        <f>P1150-Q1150</f>
        <v/>
      </c>
      <c r="V1150" s="77">
        <f>ABS(U1150)</f>
        <v/>
      </c>
      <c r="W1150" s="78">
        <f>T1150/L1150</f>
        <v/>
      </c>
      <c r="X1150" s="79">
        <f>ABS(W1150)</f>
        <v/>
      </c>
    </row>
    <row r="1151" ht="11.4" customHeight="1">
      <c r="A1151" s="67" t="inlineStr">
        <is>
          <t>7059</t>
        </is>
      </c>
      <c r="B1151" s="67" t="inlineStr">
        <is>
          <t>1057</t>
        </is>
      </c>
      <c r="C1151" s="67" t="inlineStr">
        <is>
          <t>1611</t>
        </is>
      </c>
      <c r="D1151" s="68" t="inlineStr">
        <is>
          <t>11</t>
        </is>
      </c>
      <c r="E1151" s="68" t="inlineStr">
        <is>
          <t>Kiosk-LHI</t>
        </is>
      </c>
      <c r="F1151" s="68" t="inlineStr">
        <is>
          <t>母店内甜品站装修</t>
        </is>
      </c>
      <c r="G1151" s="68" t="inlineStr">
        <is>
          <t>母店内甜品站装修</t>
        </is>
      </c>
      <c r="H1151" s="68" t="inlineStr">
        <is>
          <t>母店内甜品站-外立面</t>
        </is>
      </c>
      <c r="I1151" s="69" t="inlineStr">
        <is>
          <t>1000021646</t>
        </is>
      </c>
      <c r="J1151" s="69" t="inlineStr">
        <is>
          <t>外立面墙面砖（共荣）</t>
        </is>
      </c>
      <c r="K1151" s="70" t="n"/>
      <c r="L1151" s="70" t="n"/>
      <c r="M1151" s="71" t="inlineStr">
        <is>
          <t>m2</t>
        </is>
      </c>
      <c r="N1151" s="72" t="n">
        <v>147.41</v>
      </c>
      <c r="O1151" s="72">
        <f>ROUND(N1151*(1+$F$10),2)</f>
        <v/>
      </c>
      <c r="P1151" s="73">
        <f>ROUND(K1151*N1151,2)</f>
        <v/>
      </c>
      <c r="Q1151" s="74">
        <f>ROUND(L1151*N1151,2)</f>
        <v/>
      </c>
      <c r="R1151" s="75" t="n"/>
      <c r="S1151" s="76" t="n"/>
      <c r="T1151" s="77">
        <f>K1151-L1151</f>
        <v/>
      </c>
      <c r="U1151" s="77">
        <f>P1151-Q1151</f>
        <v/>
      </c>
      <c r="V1151" s="77">
        <f>ABS(U1151)</f>
        <v/>
      </c>
      <c r="W1151" s="78">
        <f>T1151/L1151</f>
        <v/>
      </c>
      <c r="X1151" s="79">
        <f>ABS(W1151)</f>
        <v/>
      </c>
    </row>
    <row r="1152" ht="11.4" customHeight="1">
      <c r="A1152" s="67" t="inlineStr">
        <is>
          <t>7059</t>
        </is>
      </c>
      <c r="B1152" s="67" t="inlineStr">
        <is>
          <t>1057</t>
        </is>
      </c>
      <c r="C1152" s="67" t="inlineStr">
        <is>
          <t>1611</t>
        </is>
      </c>
      <c r="D1152" s="68" t="inlineStr">
        <is>
          <t>11</t>
        </is>
      </c>
      <c r="E1152" s="68" t="inlineStr">
        <is>
          <t>Kiosk-LHI</t>
        </is>
      </c>
      <c r="F1152" s="68" t="inlineStr">
        <is>
          <t>母店内甜品站装修</t>
        </is>
      </c>
      <c r="G1152" s="68" t="inlineStr">
        <is>
          <t>母店内甜品站装修</t>
        </is>
      </c>
      <c r="H1152" s="68" t="inlineStr">
        <is>
          <t>母店内甜品站-外立面</t>
        </is>
      </c>
      <c r="I1152" s="69" t="inlineStr">
        <is>
          <t>1000021631</t>
        </is>
      </c>
      <c r="J1152" s="69" t="inlineStr">
        <is>
          <t>外立面墙面砖（冠军）</t>
        </is>
      </c>
      <c r="K1152" s="70" t="n"/>
      <c r="L1152" s="70" t="n"/>
      <c r="M1152" s="71" t="inlineStr">
        <is>
          <t>m2</t>
        </is>
      </c>
      <c r="N1152" s="72" t="n">
        <v>169.19</v>
      </c>
      <c r="O1152" s="72">
        <f>ROUND(N1152*(1+$F$10),2)</f>
        <v/>
      </c>
      <c r="P1152" s="73">
        <f>ROUND(K1152*N1152,2)</f>
        <v/>
      </c>
      <c r="Q1152" s="74">
        <f>ROUND(L1152*N1152,2)</f>
        <v/>
      </c>
      <c r="R1152" s="75" t="n"/>
      <c r="S1152" s="76" t="n"/>
      <c r="T1152" s="77">
        <f>K1152-L1152</f>
        <v/>
      </c>
      <c r="U1152" s="77">
        <f>P1152-Q1152</f>
        <v/>
      </c>
      <c r="V1152" s="77">
        <f>ABS(U1152)</f>
        <v/>
      </c>
      <c r="W1152" s="78">
        <f>T1152/L1152</f>
        <v/>
      </c>
      <c r="X1152" s="79">
        <f>ABS(W1152)</f>
        <v/>
      </c>
    </row>
    <row r="1153" ht="11.4" customHeight="1">
      <c r="A1153" s="67" t="inlineStr">
        <is>
          <t>7059</t>
        </is>
      </c>
      <c r="B1153" s="67" t="inlineStr">
        <is>
          <t>1057</t>
        </is>
      </c>
      <c r="C1153" s="67" t="inlineStr">
        <is>
          <t>1611</t>
        </is>
      </c>
      <c r="D1153" s="68" t="inlineStr">
        <is>
          <t>11</t>
        </is>
      </c>
      <c r="E1153" s="68" t="inlineStr">
        <is>
          <t>Kiosk-LHI</t>
        </is>
      </c>
      <c r="F1153" s="68" t="inlineStr">
        <is>
          <t>母店内甜品站装修</t>
        </is>
      </c>
      <c r="G1153" s="68" t="inlineStr">
        <is>
          <t>母店内甜品站装修</t>
        </is>
      </c>
      <c r="H1153" s="68" t="inlineStr">
        <is>
          <t>母店内甜品站-外立面</t>
        </is>
      </c>
      <c r="I1153" s="69" t="inlineStr">
        <is>
          <t>1000021492</t>
        </is>
      </c>
      <c r="J1153" s="69" t="inlineStr">
        <is>
          <t>外墙塑铝板（新高丽）</t>
        </is>
      </c>
      <c r="K1153" s="70" t="n"/>
      <c r="L1153" s="70" t="n"/>
      <c r="M1153" s="71" t="inlineStr">
        <is>
          <t>m2</t>
        </is>
      </c>
      <c r="N1153" s="72" t="n">
        <v>464.59</v>
      </c>
      <c r="O1153" s="72">
        <f>ROUND(N1153*(1+$F$10),2)</f>
        <v/>
      </c>
      <c r="P1153" s="73">
        <f>ROUND(K1153*N1153,2)</f>
        <v/>
      </c>
      <c r="Q1153" s="74">
        <f>ROUND(L1153*N1153,2)</f>
        <v/>
      </c>
      <c r="R1153" s="75" t="n"/>
      <c r="S1153" s="76" t="n"/>
      <c r="T1153" s="77">
        <f>K1153-L1153</f>
        <v/>
      </c>
      <c r="U1153" s="77">
        <f>P1153-Q1153</f>
        <v/>
      </c>
      <c r="V1153" s="77">
        <f>ABS(U1153)</f>
        <v/>
      </c>
      <c r="W1153" s="78">
        <f>T1153/L1153</f>
        <v/>
      </c>
      <c r="X1153" s="79">
        <f>ABS(W1153)</f>
        <v/>
      </c>
    </row>
    <row r="1154" ht="11.4" customHeight="1">
      <c r="A1154" s="67" t="inlineStr">
        <is>
          <t>7059</t>
        </is>
      </c>
      <c r="B1154" s="67" t="inlineStr">
        <is>
          <t>1057</t>
        </is>
      </c>
      <c r="C1154" s="67" t="inlineStr">
        <is>
          <t>1611</t>
        </is>
      </c>
      <c r="D1154" s="68" t="inlineStr">
        <is>
          <t>11</t>
        </is>
      </c>
      <c r="E1154" s="68" t="inlineStr">
        <is>
          <t>Kiosk-LHI</t>
        </is>
      </c>
      <c r="F1154" s="68" t="inlineStr">
        <is>
          <t>母店内甜品站装修</t>
        </is>
      </c>
      <c r="G1154" s="68" t="inlineStr">
        <is>
          <t>母店内甜品站装修</t>
        </is>
      </c>
      <c r="H1154" s="68" t="inlineStr">
        <is>
          <t>母店内甜品站-外立面</t>
        </is>
      </c>
      <c r="I1154" s="69" t="inlineStr">
        <is>
          <t>1000040125</t>
        </is>
      </c>
      <c r="J1154" s="69" t="inlineStr">
        <is>
          <t>外墙塑铝板（桂可道）</t>
        </is>
      </c>
      <c r="K1154" s="70" t="n"/>
      <c r="L1154" s="70" t="n"/>
      <c r="M1154" s="71" t="inlineStr">
        <is>
          <t>m2</t>
        </is>
      </c>
      <c r="N1154" s="72" t="n">
        <v>460.58</v>
      </c>
      <c r="O1154" s="72">
        <f>ROUND(N1154*(1+$F$10),2)</f>
        <v/>
      </c>
      <c r="P1154" s="73">
        <f>ROUND(K1154*N1154,2)</f>
        <v/>
      </c>
      <c r="Q1154" s="74">
        <f>ROUND(L1154*N1154,2)</f>
        <v/>
      </c>
      <c r="R1154" s="75" t="n"/>
      <c r="S1154" s="76" t="n"/>
      <c r="T1154" s="77">
        <f>K1154-L1154</f>
        <v/>
      </c>
      <c r="U1154" s="77">
        <f>P1154-Q1154</f>
        <v/>
      </c>
      <c r="V1154" s="77">
        <f>ABS(U1154)</f>
        <v/>
      </c>
      <c r="W1154" s="78">
        <f>T1154/L1154</f>
        <v/>
      </c>
      <c r="X1154" s="79">
        <f>ABS(W1154)</f>
        <v/>
      </c>
    </row>
    <row r="1155" ht="11.4" customHeight="1">
      <c r="A1155" s="67" t="inlineStr">
        <is>
          <t>7059</t>
        </is>
      </c>
      <c r="B1155" s="67" t="inlineStr">
        <is>
          <t>1057</t>
        </is>
      </c>
      <c r="C1155" s="67" t="inlineStr">
        <is>
          <t>1611</t>
        </is>
      </c>
      <c r="D1155" s="68" t="inlineStr">
        <is>
          <t>11</t>
        </is>
      </c>
      <c r="E1155" s="68" t="inlineStr">
        <is>
          <t>Kiosk-LHI</t>
        </is>
      </c>
      <c r="F1155" s="68" t="inlineStr">
        <is>
          <t>母店内甜品站装修</t>
        </is>
      </c>
      <c r="G1155" s="68" t="inlineStr">
        <is>
          <t>母店内甜品站装修</t>
        </is>
      </c>
      <c r="H1155" s="68" t="inlineStr">
        <is>
          <t>母店内甜品站-外立面</t>
        </is>
      </c>
      <c r="I1155" s="69" t="inlineStr">
        <is>
          <t>1000040126</t>
        </is>
      </c>
      <c r="J1155" s="69" t="inlineStr">
        <is>
          <t>外墙塑铝板（标榜）</t>
        </is>
      </c>
      <c r="K1155" s="70" t="n"/>
      <c r="L1155" s="70" t="n"/>
      <c r="M1155" s="71" t="inlineStr">
        <is>
          <t>m2</t>
        </is>
      </c>
      <c r="N1155" s="72" t="n">
        <v>464.64</v>
      </c>
      <c r="O1155" s="72">
        <f>ROUND(N1155*(1+$F$10),2)</f>
        <v/>
      </c>
      <c r="P1155" s="73">
        <f>ROUND(K1155*N1155,2)</f>
        <v/>
      </c>
      <c r="Q1155" s="74">
        <f>ROUND(L1155*N1155,2)</f>
        <v/>
      </c>
      <c r="R1155" s="75" t="n"/>
      <c r="S1155" s="76" t="n"/>
      <c r="T1155" s="77">
        <f>K1155-L1155</f>
        <v/>
      </c>
      <c r="U1155" s="77">
        <f>P1155-Q1155</f>
        <v/>
      </c>
      <c r="V1155" s="77">
        <f>ABS(U1155)</f>
        <v/>
      </c>
      <c r="W1155" s="78">
        <f>T1155/L1155</f>
        <v/>
      </c>
      <c r="X1155" s="79">
        <f>ABS(W1155)</f>
        <v/>
      </c>
    </row>
    <row r="1156" ht="11.4" customHeight="1">
      <c r="A1156" s="67" t="inlineStr">
        <is>
          <t>7059</t>
        </is>
      </c>
      <c r="B1156" s="67" t="inlineStr">
        <is>
          <t>1057</t>
        </is>
      </c>
      <c r="C1156" s="67" t="inlineStr">
        <is>
          <t>1611</t>
        </is>
      </c>
      <c r="D1156" s="68" t="inlineStr">
        <is>
          <t>11</t>
        </is>
      </c>
      <c r="E1156" s="68" t="inlineStr">
        <is>
          <t>Kiosk-LHI</t>
        </is>
      </c>
      <c r="F1156" s="68" t="inlineStr">
        <is>
          <t>母店内甜品站装修</t>
        </is>
      </c>
      <c r="G1156" s="68" t="inlineStr">
        <is>
          <t>母店内甜品站装修</t>
        </is>
      </c>
      <c r="H1156" s="68" t="inlineStr">
        <is>
          <t>母店内甜品站-外立面</t>
        </is>
      </c>
      <c r="I1156" s="69" t="inlineStr">
        <is>
          <t>1000021786</t>
        </is>
      </c>
      <c r="J1156" s="69" t="inlineStr">
        <is>
          <t>外立面纯铝板</t>
        </is>
      </c>
      <c r="K1156" s="70" t="n"/>
      <c r="L1156" s="70" t="n"/>
      <c r="M1156" s="71" t="inlineStr">
        <is>
          <t>m2</t>
        </is>
      </c>
      <c r="N1156" s="72" t="n">
        <v>727.77</v>
      </c>
      <c r="O1156" s="72">
        <f>ROUND(N1156*(1+$F$10),2)</f>
        <v/>
      </c>
      <c r="P1156" s="73">
        <f>ROUND(K1156*N1156,2)</f>
        <v/>
      </c>
      <c r="Q1156" s="74">
        <f>ROUND(L1156*N1156,2)</f>
        <v/>
      </c>
      <c r="R1156" s="75" t="n"/>
      <c r="S1156" s="76" t="n"/>
      <c r="T1156" s="77">
        <f>K1156-L1156</f>
        <v/>
      </c>
      <c r="U1156" s="77">
        <f>P1156-Q1156</f>
        <v/>
      </c>
      <c r="V1156" s="77">
        <f>ABS(U1156)</f>
        <v/>
      </c>
      <c r="W1156" s="78">
        <f>T1156/L1156</f>
        <v/>
      </c>
      <c r="X1156" s="79">
        <f>ABS(W1156)</f>
        <v/>
      </c>
    </row>
    <row r="1157" ht="11.4" customHeight="1">
      <c r="A1157" s="67" t="inlineStr">
        <is>
          <t>7059</t>
        </is>
      </c>
      <c r="B1157" s="67" t="inlineStr">
        <is>
          <t>1057</t>
        </is>
      </c>
      <c r="C1157" s="67" t="inlineStr">
        <is>
          <t>1611</t>
        </is>
      </c>
      <c r="D1157" s="68" t="inlineStr">
        <is>
          <t>11</t>
        </is>
      </c>
      <c r="E1157" s="68" t="inlineStr">
        <is>
          <t>Kiosk-LHI</t>
        </is>
      </c>
      <c r="F1157" s="68" t="inlineStr">
        <is>
          <t>母店内甜品站装修</t>
        </is>
      </c>
      <c r="G1157" s="68" t="inlineStr">
        <is>
          <t>母店内甜品站装修</t>
        </is>
      </c>
      <c r="H1157" s="68" t="inlineStr">
        <is>
          <t>母店内甜品站-外立面</t>
        </is>
      </c>
      <c r="I1157" s="69" t="inlineStr">
        <is>
          <t>1000022126</t>
        </is>
      </c>
      <c r="J1157" s="69" t="inlineStr">
        <is>
          <t>定制黄色烤漆铝板装饰带安装</t>
        </is>
      </c>
      <c r="K1157" s="70" t="n"/>
      <c r="L1157" s="70" t="n"/>
      <c r="M1157" s="71" t="inlineStr">
        <is>
          <t>m2</t>
        </is>
      </c>
      <c r="N1157" s="72" t="n">
        <v>298.96</v>
      </c>
      <c r="O1157" s="72">
        <f>ROUND(N1157*(1+$F$10),2)</f>
        <v/>
      </c>
      <c r="P1157" s="73">
        <f>ROUND(K1157*N1157,2)</f>
        <v/>
      </c>
      <c r="Q1157" s="74">
        <f>ROUND(L1157*N1157,2)</f>
        <v/>
      </c>
      <c r="R1157" s="75" t="n"/>
      <c r="S1157" s="76" t="n"/>
      <c r="T1157" s="77">
        <f>K1157-L1157</f>
        <v/>
      </c>
      <c r="U1157" s="77">
        <f>P1157-Q1157</f>
        <v/>
      </c>
      <c r="V1157" s="77">
        <f>ABS(U1157)</f>
        <v/>
      </c>
      <c r="W1157" s="78">
        <f>T1157/L1157</f>
        <v/>
      </c>
      <c r="X1157" s="79">
        <f>ABS(W1157)</f>
        <v/>
      </c>
    </row>
    <row r="1158" ht="11.4" customHeight="1">
      <c r="A1158" s="67" t="inlineStr">
        <is>
          <t>7059</t>
        </is>
      </c>
      <c r="B1158" s="67" t="inlineStr">
        <is>
          <t>1057</t>
        </is>
      </c>
      <c r="C1158" s="67" t="inlineStr">
        <is>
          <t>1611</t>
        </is>
      </c>
      <c r="D1158" s="68" t="inlineStr">
        <is>
          <t>11</t>
        </is>
      </c>
      <c r="E1158" s="68" t="inlineStr">
        <is>
          <t>Kiosk-LHI</t>
        </is>
      </c>
      <c r="F1158" s="68" t="inlineStr">
        <is>
          <t>母店内甜品站装修</t>
        </is>
      </c>
      <c r="G1158" s="68" t="inlineStr">
        <is>
          <t>母店内甜品站装修</t>
        </is>
      </c>
      <c r="H1158" s="68" t="inlineStr">
        <is>
          <t>母店内甜品站-外立面</t>
        </is>
      </c>
      <c r="I1158" s="69" t="inlineStr">
        <is>
          <t>1000021496</t>
        </is>
      </c>
      <c r="J1158" s="69" t="inlineStr">
        <is>
          <t>仿木外墙装饰条</t>
        </is>
      </c>
      <c r="K1158" s="70" t="n"/>
      <c r="L1158" s="70" t="n"/>
      <c r="M1158" s="71" t="inlineStr">
        <is>
          <t>m2</t>
        </is>
      </c>
      <c r="N1158" s="72" t="n">
        <v>660.97</v>
      </c>
      <c r="O1158" s="72">
        <f>ROUND(N1158*(1+$F$10),2)</f>
        <v/>
      </c>
      <c r="P1158" s="73">
        <f>ROUND(K1158*N1158,2)</f>
        <v/>
      </c>
      <c r="Q1158" s="74">
        <f>ROUND(L1158*N1158,2)</f>
        <v/>
      </c>
      <c r="R1158" s="75" t="n"/>
      <c r="S1158" s="76" t="n"/>
      <c r="T1158" s="77">
        <f>K1158-L1158</f>
        <v/>
      </c>
      <c r="U1158" s="77">
        <f>P1158-Q1158</f>
        <v/>
      </c>
      <c r="V1158" s="77">
        <f>ABS(U1158)</f>
        <v/>
      </c>
      <c r="W1158" s="78">
        <f>T1158/L1158</f>
        <v/>
      </c>
      <c r="X1158" s="79">
        <f>ABS(W1158)</f>
        <v/>
      </c>
    </row>
    <row r="1159" ht="11.4" customHeight="1">
      <c r="A1159" s="67" t="inlineStr">
        <is>
          <t>7059</t>
        </is>
      </c>
      <c r="B1159" s="67" t="inlineStr">
        <is>
          <t>1057</t>
        </is>
      </c>
      <c r="C1159" s="67" t="inlineStr">
        <is>
          <t>1611</t>
        </is>
      </c>
      <c r="D1159" s="68" t="inlineStr">
        <is>
          <t>11</t>
        </is>
      </c>
      <c r="E1159" s="68" t="inlineStr">
        <is>
          <t>Kiosk-LHI</t>
        </is>
      </c>
      <c r="F1159" s="68" t="inlineStr">
        <is>
          <t>母店内甜品站装修</t>
        </is>
      </c>
      <c r="G1159" s="68" t="inlineStr">
        <is>
          <t>母店内甜品站装修</t>
        </is>
      </c>
      <c r="H1159" s="68" t="inlineStr">
        <is>
          <t>母店内甜品站-外立面</t>
        </is>
      </c>
      <c r="I1159" s="69" t="inlineStr">
        <is>
          <t>1000021638</t>
        </is>
      </c>
      <c r="J1159" s="69" t="inlineStr">
        <is>
          <t>外墙人造石面层</t>
        </is>
      </c>
      <c r="K1159" s="70" t="n"/>
      <c r="L1159" s="70" t="n"/>
      <c r="M1159" s="71" t="inlineStr">
        <is>
          <t>m2</t>
        </is>
      </c>
      <c r="N1159" s="72" t="n">
        <v>1134.73</v>
      </c>
      <c r="O1159" s="72">
        <f>ROUND(N1159*(1+$F$10),2)</f>
        <v/>
      </c>
      <c r="P1159" s="73">
        <f>ROUND(K1159*N1159,2)</f>
        <v/>
      </c>
      <c r="Q1159" s="74">
        <f>ROUND(L1159*N1159,2)</f>
        <v/>
      </c>
      <c r="R1159" s="75" t="n"/>
      <c r="S1159" s="76" t="n"/>
      <c r="T1159" s="77">
        <f>K1159-L1159</f>
        <v/>
      </c>
      <c r="U1159" s="77">
        <f>P1159-Q1159</f>
        <v/>
      </c>
      <c r="V1159" s="77">
        <f>ABS(U1159)</f>
        <v/>
      </c>
      <c r="W1159" s="78">
        <f>T1159/L1159</f>
        <v/>
      </c>
      <c r="X1159" s="79">
        <f>ABS(W1159)</f>
        <v/>
      </c>
    </row>
    <row r="1160" ht="11.4" customHeight="1">
      <c r="A1160" s="67" t="inlineStr">
        <is>
          <t>7059</t>
        </is>
      </c>
      <c r="B1160" s="67" t="inlineStr">
        <is>
          <t>1057</t>
        </is>
      </c>
      <c r="C1160" s="67" t="inlineStr">
        <is>
          <t>1611</t>
        </is>
      </c>
      <c r="D1160" s="68" t="inlineStr">
        <is>
          <t>11</t>
        </is>
      </c>
      <c r="E1160" s="68" t="inlineStr">
        <is>
          <t>Kiosk-LHI</t>
        </is>
      </c>
      <c r="F1160" s="68" t="inlineStr">
        <is>
          <t>母店内甜品站装修</t>
        </is>
      </c>
      <c r="G1160" s="68" t="inlineStr">
        <is>
          <t>母店内甜品站装修</t>
        </is>
      </c>
      <c r="H1160" s="68" t="inlineStr">
        <is>
          <t>母店内甜品站-外立面</t>
        </is>
      </c>
      <c r="I1160" s="69" t="inlineStr">
        <is>
          <t>1000021457</t>
        </is>
      </c>
      <c r="J1160" s="69" t="inlineStr">
        <is>
          <t>国产同质砖踢脚（琛雄）</t>
        </is>
      </c>
      <c r="K1160" s="70" t="n"/>
      <c r="L1160" s="70" t="n"/>
      <c r="M1160" s="71" t="inlineStr">
        <is>
          <t>米</t>
        </is>
      </c>
      <c r="N1160" s="72" t="n">
        <v>41.36</v>
      </c>
      <c r="O1160" s="72">
        <f>ROUND(N1160*(1+$F$10),2)</f>
        <v/>
      </c>
      <c r="P1160" s="73">
        <f>ROUND(K1160*N1160,2)</f>
        <v/>
      </c>
      <c r="Q1160" s="74">
        <f>ROUND(L1160*N1160,2)</f>
        <v/>
      </c>
      <c r="R1160" s="75" t="n"/>
      <c r="S1160" s="76" t="n"/>
      <c r="T1160" s="77">
        <f>K1160-L1160</f>
        <v/>
      </c>
      <c r="U1160" s="77">
        <f>P1160-Q1160</f>
        <v/>
      </c>
      <c r="V1160" s="77">
        <f>ABS(U1160)</f>
        <v/>
      </c>
      <c r="W1160" s="78">
        <f>T1160/L1160</f>
        <v/>
      </c>
      <c r="X1160" s="79">
        <f>ABS(W1160)</f>
        <v/>
      </c>
    </row>
    <row r="1161" ht="11.4" customHeight="1">
      <c r="A1161" s="67" t="inlineStr">
        <is>
          <t>7059</t>
        </is>
      </c>
      <c r="B1161" s="67" t="inlineStr">
        <is>
          <t>1057</t>
        </is>
      </c>
      <c r="C1161" s="67" t="inlineStr">
        <is>
          <t>1611</t>
        </is>
      </c>
      <c r="D1161" s="68" t="inlineStr">
        <is>
          <t>11</t>
        </is>
      </c>
      <c r="E1161" s="68" t="inlineStr">
        <is>
          <t>Kiosk-LHI</t>
        </is>
      </c>
      <c r="F1161" s="68" t="inlineStr">
        <is>
          <t>母店内甜品站装修</t>
        </is>
      </c>
      <c r="G1161" s="68" t="inlineStr">
        <is>
          <t>母店内甜品站装修</t>
        </is>
      </c>
      <c r="H1161" s="68" t="inlineStr">
        <is>
          <t>母店内甜品站-外立面</t>
        </is>
      </c>
      <c r="I1161" s="69" t="inlineStr">
        <is>
          <t>1000021623</t>
        </is>
      </c>
      <c r="J1161" s="69" t="inlineStr">
        <is>
          <t>国产同质砖踢脚（冠军）</t>
        </is>
      </c>
      <c r="K1161" s="70" t="n"/>
      <c r="L1161" s="70" t="n"/>
      <c r="M1161" s="71" t="inlineStr">
        <is>
          <t>米</t>
        </is>
      </c>
      <c r="N1161" s="72" t="n">
        <v>42.57</v>
      </c>
      <c r="O1161" s="72">
        <f>ROUND(N1161*(1+$F$10),2)</f>
        <v/>
      </c>
      <c r="P1161" s="73">
        <f>ROUND(K1161*N1161,2)</f>
        <v/>
      </c>
      <c r="Q1161" s="74">
        <f>ROUND(L1161*N1161,2)</f>
        <v/>
      </c>
      <c r="R1161" s="75" t="n"/>
      <c r="S1161" s="76" t="n"/>
      <c r="T1161" s="77">
        <f>K1161-L1161</f>
        <v/>
      </c>
      <c r="U1161" s="77">
        <f>P1161-Q1161</f>
        <v/>
      </c>
      <c r="V1161" s="77">
        <f>ABS(U1161)</f>
        <v/>
      </c>
      <c r="W1161" s="78">
        <f>T1161/L1161</f>
        <v/>
      </c>
      <c r="X1161" s="79">
        <f>ABS(W1161)</f>
        <v/>
      </c>
    </row>
    <row r="1162" ht="11.4" customHeight="1">
      <c r="A1162" s="67" t="inlineStr">
        <is>
          <t>7059</t>
        </is>
      </c>
      <c r="B1162" s="67" t="inlineStr">
        <is>
          <t>1057</t>
        </is>
      </c>
      <c r="C1162" s="67" t="inlineStr">
        <is>
          <t>1611</t>
        </is>
      </c>
      <c r="D1162" s="68" t="inlineStr">
        <is>
          <t>11</t>
        </is>
      </c>
      <c r="E1162" s="68" t="inlineStr">
        <is>
          <t>Kiosk-LHI</t>
        </is>
      </c>
      <c r="F1162" s="68" t="inlineStr">
        <is>
          <t>母店内甜品站装修</t>
        </is>
      </c>
      <c r="G1162" s="68" t="inlineStr">
        <is>
          <t>母店内甜品站装修</t>
        </is>
      </c>
      <c r="H1162" s="68" t="inlineStr">
        <is>
          <t>母店内甜品站-外立面</t>
        </is>
      </c>
      <c r="I1162" s="69" t="inlineStr">
        <is>
          <t>1000021644</t>
        </is>
      </c>
      <c r="J1162" s="69" t="inlineStr">
        <is>
          <t>国产同质砖踢脚（共荣）</t>
        </is>
      </c>
      <c r="K1162" s="70" t="n"/>
      <c r="L1162" s="70" t="n"/>
      <c r="M1162" s="71" t="inlineStr">
        <is>
          <t>米</t>
        </is>
      </c>
      <c r="N1162" s="72" t="n">
        <v>38.94</v>
      </c>
      <c r="O1162" s="72">
        <f>ROUND(N1162*(1+$F$10),2)</f>
        <v/>
      </c>
      <c r="P1162" s="73">
        <f>ROUND(K1162*N1162,2)</f>
        <v/>
      </c>
      <c r="Q1162" s="74">
        <f>ROUND(L1162*N1162,2)</f>
        <v/>
      </c>
      <c r="R1162" s="75" t="n"/>
      <c r="S1162" s="76" t="n"/>
      <c r="T1162" s="77">
        <f>K1162-L1162</f>
        <v/>
      </c>
      <c r="U1162" s="77">
        <f>P1162-Q1162</f>
        <v/>
      </c>
      <c r="V1162" s="77">
        <f>ABS(U1162)</f>
        <v/>
      </c>
      <c r="W1162" s="78">
        <f>T1162/L1162</f>
        <v/>
      </c>
      <c r="X1162" s="79">
        <f>ABS(W1162)</f>
        <v/>
      </c>
    </row>
    <row r="1163" ht="11.4" customHeight="1">
      <c r="A1163" s="67" t="inlineStr">
        <is>
          <t>7059</t>
        </is>
      </c>
      <c r="B1163" s="67" t="inlineStr">
        <is>
          <t>1057</t>
        </is>
      </c>
      <c r="C1163" s="67" t="inlineStr">
        <is>
          <t>1611</t>
        </is>
      </c>
      <c r="D1163" s="68" t="inlineStr">
        <is>
          <t>11</t>
        </is>
      </c>
      <c r="E1163" s="68" t="inlineStr">
        <is>
          <t>Kiosk-LHI</t>
        </is>
      </c>
      <c r="F1163" s="68" t="inlineStr">
        <is>
          <t>母店内甜品站装修</t>
        </is>
      </c>
      <c r="G1163" s="68" t="inlineStr">
        <is>
          <t>母店内甜品站装修</t>
        </is>
      </c>
      <c r="H1163" s="68" t="inlineStr">
        <is>
          <t>母店内甜品站-外立面</t>
        </is>
      </c>
      <c r="I1163" s="69" t="inlineStr">
        <is>
          <t>1000022115</t>
        </is>
      </c>
      <c r="J1163" s="69" t="inlineStr">
        <is>
          <t>不锈钢踢脚 H=200</t>
        </is>
      </c>
      <c r="K1163" s="70" t="n"/>
      <c r="L1163" s="70" t="n"/>
      <c r="M1163" s="71" t="inlineStr">
        <is>
          <t>米</t>
        </is>
      </c>
      <c r="N1163" s="72" t="n">
        <v>112.38</v>
      </c>
      <c r="O1163" s="72">
        <f>ROUND(N1163*(1+$F$10),2)</f>
        <v/>
      </c>
      <c r="P1163" s="73">
        <f>ROUND(K1163*N1163,2)</f>
        <v/>
      </c>
      <c r="Q1163" s="74">
        <f>ROUND(L1163*N1163,2)</f>
        <v/>
      </c>
      <c r="R1163" s="75" t="n"/>
      <c r="S1163" s="76" t="n"/>
      <c r="T1163" s="77">
        <f>K1163-L1163</f>
        <v/>
      </c>
      <c r="U1163" s="77">
        <f>P1163-Q1163</f>
        <v/>
      </c>
      <c r="V1163" s="77">
        <f>ABS(U1163)</f>
        <v/>
      </c>
      <c r="W1163" s="78">
        <f>T1163/L1163</f>
        <v/>
      </c>
      <c r="X1163" s="79">
        <f>ABS(W1163)</f>
        <v/>
      </c>
    </row>
    <row r="1164" ht="11.4" customHeight="1">
      <c r="A1164" s="67" t="inlineStr">
        <is>
          <t>7059</t>
        </is>
      </c>
      <c r="B1164" s="67" t="inlineStr">
        <is>
          <t>1057</t>
        </is>
      </c>
      <c r="C1164" s="67" t="inlineStr">
        <is>
          <t>1611</t>
        </is>
      </c>
      <c r="D1164" s="68" t="inlineStr">
        <is>
          <t>11</t>
        </is>
      </c>
      <c r="E1164" s="68" t="inlineStr">
        <is>
          <t>Kiosk-LHI</t>
        </is>
      </c>
      <c r="F1164" s="68" t="inlineStr">
        <is>
          <t>母店内甜品站装修</t>
        </is>
      </c>
      <c r="G1164" s="68" t="inlineStr">
        <is>
          <t>母店内甜品站装修</t>
        </is>
      </c>
      <c r="H1164" s="68" t="inlineStr">
        <is>
          <t>母店内甜品站-外立面</t>
        </is>
      </c>
      <c r="I1164" s="69" t="inlineStr">
        <is>
          <t>1000022125</t>
        </is>
      </c>
      <c r="J1164" s="69" t="inlineStr">
        <is>
          <t>外围踏步处栏杆</t>
        </is>
      </c>
      <c r="K1164" s="70" t="n"/>
      <c r="L1164" s="70" t="n"/>
      <c r="M1164" s="71" t="inlineStr">
        <is>
          <t>米</t>
        </is>
      </c>
      <c r="N1164" s="72" t="n">
        <v>247.93</v>
      </c>
      <c r="O1164" s="72">
        <f>ROUND(N1164*(1+$F$10),2)</f>
        <v/>
      </c>
      <c r="P1164" s="73">
        <f>ROUND(K1164*N1164,2)</f>
        <v/>
      </c>
      <c r="Q1164" s="74">
        <f>ROUND(L1164*N1164,2)</f>
        <v/>
      </c>
      <c r="R1164" s="75" t="n"/>
      <c r="S1164" s="76" t="n"/>
      <c r="T1164" s="77">
        <f>K1164-L1164</f>
        <v/>
      </c>
      <c r="U1164" s="77">
        <f>P1164-Q1164</f>
        <v/>
      </c>
      <c r="V1164" s="77">
        <f>ABS(U1164)</f>
        <v/>
      </c>
      <c r="W1164" s="78">
        <f>T1164/L1164</f>
        <v/>
      </c>
      <c r="X1164" s="79">
        <f>ABS(W1164)</f>
        <v/>
      </c>
    </row>
    <row r="1165" ht="11.4" customHeight="1">
      <c r="A1165" s="67" t="inlineStr">
        <is>
          <t>7059</t>
        </is>
      </c>
      <c r="B1165" s="67" t="inlineStr">
        <is>
          <t>1057</t>
        </is>
      </c>
      <c r="C1165" s="67" t="inlineStr">
        <is>
          <t>1611</t>
        </is>
      </c>
      <c r="D1165" s="68" t="inlineStr">
        <is>
          <t>11</t>
        </is>
      </c>
      <c r="E1165" s="68" t="inlineStr">
        <is>
          <t>Kiosk-LHI</t>
        </is>
      </c>
      <c r="F1165" s="68" t="inlineStr">
        <is>
          <t>母店内甜品站装修</t>
        </is>
      </c>
      <c r="G1165" s="68" t="inlineStr">
        <is>
          <t>母店内甜品站装修</t>
        </is>
      </c>
      <c r="H1165" s="68" t="inlineStr">
        <is>
          <t>母店内甜品站-外立面</t>
        </is>
      </c>
      <c r="I1165" s="69" t="inlineStr">
        <is>
          <t>1000021600</t>
        </is>
      </c>
      <c r="J1165" s="69" t="inlineStr">
        <is>
          <t>移动窗口</t>
        </is>
      </c>
      <c r="K1165" s="70" t="n"/>
      <c r="L1165" s="70" t="n"/>
      <c r="M1165" s="71" t="inlineStr">
        <is>
          <t>只</t>
        </is>
      </c>
      <c r="N1165" s="72" t="n">
        <v>2257.86</v>
      </c>
      <c r="O1165" s="72">
        <f>ROUND(N1165*(1+$F$10),2)</f>
        <v/>
      </c>
      <c r="P1165" s="73">
        <f>ROUND(K1165*N1165,2)</f>
        <v/>
      </c>
      <c r="Q1165" s="74">
        <f>ROUND(L1165*N1165,2)</f>
        <v/>
      </c>
      <c r="R1165" s="75" t="n"/>
      <c r="S1165" s="76" t="n"/>
      <c r="T1165" s="77">
        <f>K1165-L1165</f>
        <v/>
      </c>
      <c r="U1165" s="77">
        <f>P1165-Q1165</f>
        <v/>
      </c>
      <c r="V1165" s="77">
        <f>ABS(U1165)</f>
        <v/>
      </c>
      <c r="W1165" s="78">
        <f>T1165/L1165</f>
        <v/>
      </c>
      <c r="X1165" s="79">
        <f>ABS(W1165)</f>
        <v/>
      </c>
    </row>
    <row r="1166" ht="11.4" customHeight="1">
      <c r="A1166" s="67" t="inlineStr">
        <is>
          <t>7060</t>
        </is>
      </c>
      <c r="B1166" s="67" t="inlineStr">
        <is>
          <t>1058</t>
        </is>
      </c>
      <c r="C1166" s="67" t="inlineStr">
        <is>
          <t>1611</t>
        </is>
      </c>
      <c r="D1166" s="68" t="inlineStr">
        <is>
          <t>11</t>
        </is>
      </c>
      <c r="E1166" s="68" t="inlineStr">
        <is>
          <t>Kiosk-LHI</t>
        </is>
      </c>
      <c r="F1166" s="68" t="inlineStr">
        <is>
          <t>母店内甜品站装修</t>
        </is>
      </c>
      <c r="G1166" s="68" t="inlineStr">
        <is>
          <t>母店内甜品站装修</t>
        </is>
      </c>
      <c r="H1166" s="68" t="inlineStr">
        <is>
          <t>母店内甜品站-柜台</t>
        </is>
      </c>
      <c r="I1166" s="69" t="inlineStr">
        <is>
          <t>1000022127</t>
        </is>
      </c>
      <c r="J1166" s="69" t="inlineStr">
        <is>
          <t>钢木结构柜台连面板及柜台立面（人造石）</t>
        </is>
      </c>
      <c r="K1166" s="70" t="n"/>
      <c r="L1166" s="70" t="n"/>
      <c r="M1166" s="71" t="inlineStr">
        <is>
          <t>米</t>
        </is>
      </c>
      <c r="N1166" s="72" t="n">
        <v>3386.65</v>
      </c>
      <c r="O1166" s="72">
        <f>ROUND(N1166*(1+$F$10),2)</f>
        <v/>
      </c>
      <c r="P1166" s="73">
        <f>ROUND(K1166*N1166,2)</f>
        <v/>
      </c>
      <c r="Q1166" s="74">
        <f>ROUND(L1166*N1166,2)</f>
        <v/>
      </c>
      <c r="R1166" s="75" t="n"/>
      <c r="S1166" s="76" t="n"/>
      <c r="T1166" s="77">
        <f>K1166-L1166</f>
        <v/>
      </c>
      <c r="U1166" s="77">
        <f>P1166-Q1166</f>
        <v/>
      </c>
      <c r="V1166" s="77">
        <f>ABS(U1166)</f>
        <v/>
      </c>
      <c r="W1166" s="78">
        <f>T1166/L1166</f>
        <v/>
      </c>
      <c r="X1166" s="79">
        <f>ABS(W1166)</f>
        <v/>
      </c>
    </row>
    <row r="1167" ht="11.4" customHeight="1">
      <c r="A1167" s="67" t="inlineStr">
        <is>
          <t>7060</t>
        </is>
      </c>
      <c r="B1167" s="67" t="inlineStr">
        <is>
          <t>1058</t>
        </is>
      </c>
      <c r="C1167" s="67" t="inlineStr">
        <is>
          <t>1611</t>
        </is>
      </c>
      <c r="D1167" s="68" t="inlineStr">
        <is>
          <t>11</t>
        </is>
      </c>
      <c r="E1167" s="68" t="inlineStr">
        <is>
          <t>Kiosk-LHI</t>
        </is>
      </c>
      <c r="F1167" s="68" t="inlineStr">
        <is>
          <t>母店内甜品站装修</t>
        </is>
      </c>
      <c r="G1167" s="68" t="inlineStr">
        <is>
          <t>母店内甜品站装修</t>
        </is>
      </c>
      <c r="H1167" s="68" t="inlineStr">
        <is>
          <t>母店内甜品站-柜台</t>
        </is>
      </c>
      <c r="I1167" s="69" t="inlineStr">
        <is>
          <t>1000022128</t>
        </is>
      </c>
      <c r="J1167" s="69" t="inlineStr">
        <is>
          <t>柜台上12mm钢化玻璃</t>
        </is>
      </c>
      <c r="K1167" s="70" t="n"/>
      <c r="L1167" s="70" t="n"/>
      <c r="M1167" s="71" t="inlineStr">
        <is>
          <t>m2</t>
        </is>
      </c>
      <c r="N1167" s="72" t="n">
        <v>275.43</v>
      </c>
      <c r="O1167" s="72">
        <f>ROUND(N1167*(1+$F$10),2)</f>
        <v/>
      </c>
      <c r="P1167" s="73">
        <f>ROUND(K1167*N1167,2)</f>
        <v/>
      </c>
      <c r="Q1167" s="74">
        <f>ROUND(L1167*N1167,2)</f>
        <v/>
      </c>
      <c r="R1167" s="75" t="n"/>
      <c r="S1167" s="76" t="n"/>
      <c r="T1167" s="77">
        <f>K1167-L1167</f>
        <v/>
      </c>
      <c r="U1167" s="77">
        <f>P1167-Q1167</f>
        <v/>
      </c>
      <c r="V1167" s="77">
        <f>ABS(U1167)</f>
        <v/>
      </c>
      <c r="W1167" s="78">
        <f>T1167/L1167</f>
        <v/>
      </c>
      <c r="X1167" s="79">
        <f>ABS(W1167)</f>
        <v/>
      </c>
    </row>
    <row r="1168" ht="11.4" customHeight="1">
      <c r="A1168" s="67" t="inlineStr">
        <is>
          <t>7064</t>
        </is>
      </c>
      <c r="B1168" s="67" t="inlineStr">
        <is>
          <t>1062</t>
        </is>
      </c>
      <c r="C1168" s="67" t="inlineStr">
        <is>
          <t>1611</t>
        </is>
      </c>
      <c r="D1168" s="68" t="inlineStr">
        <is>
          <t>11</t>
        </is>
      </c>
      <c r="E1168" s="68" t="inlineStr">
        <is>
          <t>Kiosk-LHI</t>
        </is>
      </c>
      <c r="F1168" s="68" t="inlineStr">
        <is>
          <t>母店内甜品站装修</t>
        </is>
      </c>
      <c r="G1168" s="68" t="inlineStr">
        <is>
          <t>母店内甜品站装修</t>
        </is>
      </c>
      <c r="H1168" s="68" t="inlineStr">
        <is>
          <t>母店内甜品站-墙体隔断</t>
        </is>
      </c>
      <c r="I1168" s="69" t="inlineStr">
        <is>
          <t>1000021601</t>
        </is>
      </c>
      <c r="J1168" s="69" t="inlineStr">
        <is>
          <t>防潮隔断板连门（连桥供应）</t>
        </is>
      </c>
      <c r="K1168" s="70" t="n"/>
      <c r="L1168" s="70" t="n"/>
      <c r="M1168" s="71" t="inlineStr">
        <is>
          <t>m2</t>
        </is>
      </c>
      <c r="N1168" s="72" t="n">
        <v>617.2</v>
      </c>
      <c r="O1168" s="72">
        <f>ROUND(N1168*(1+$F$10),2)</f>
        <v/>
      </c>
      <c r="P1168" s="73">
        <f>ROUND(K1168*N1168,2)</f>
        <v/>
      </c>
      <c r="Q1168" s="74">
        <f>ROUND(L1168*N1168,2)</f>
        <v/>
      </c>
      <c r="R1168" s="75" t="n"/>
      <c r="S1168" s="76" t="n"/>
      <c r="T1168" s="77">
        <f>K1168-L1168</f>
        <v/>
      </c>
      <c r="U1168" s="77">
        <f>P1168-Q1168</f>
        <v/>
      </c>
      <c r="V1168" s="77">
        <f>ABS(U1168)</f>
        <v/>
      </c>
      <c r="W1168" s="78">
        <f>T1168/L1168</f>
        <v/>
      </c>
      <c r="X1168" s="79">
        <f>ABS(W1168)</f>
        <v/>
      </c>
    </row>
    <row r="1169" ht="11.4" customHeight="1">
      <c r="A1169" s="67" t="inlineStr">
        <is>
          <t>7064</t>
        </is>
      </c>
      <c r="B1169" s="67" t="inlineStr">
        <is>
          <t>1062</t>
        </is>
      </c>
      <c r="C1169" s="67" t="inlineStr">
        <is>
          <t>1611</t>
        </is>
      </c>
      <c r="D1169" s="68" t="inlineStr">
        <is>
          <t>11</t>
        </is>
      </c>
      <c r="E1169" s="68" t="inlineStr">
        <is>
          <t>Kiosk-LHI</t>
        </is>
      </c>
      <c r="F1169" s="68" t="inlineStr">
        <is>
          <t>母店内甜品站装修</t>
        </is>
      </c>
      <c r="G1169" s="68" t="inlineStr">
        <is>
          <t>母店内甜品站装修</t>
        </is>
      </c>
      <c r="H1169" s="68" t="inlineStr">
        <is>
          <t>母店内甜品站-墙体隔断</t>
        </is>
      </c>
      <c r="I1169" s="69" t="inlineStr">
        <is>
          <t>1000021602</t>
        </is>
      </c>
      <c r="J1169" s="69" t="inlineStr">
        <is>
          <t>防潮隔断五金件（连桥供应）</t>
        </is>
      </c>
      <c r="K1169" s="70" t="n"/>
      <c r="L1169" s="70" t="n"/>
      <c r="M1169" s="71" t="inlineStr">
        <is>
          <t>套</t>
        </is>
      </c>
      <c r="N1169" s="72" t="n">
        <v>432.3</v>
      </c>
      <c r="O1169" s="72">
        <f>ROUND(N1169*(1+$F$10),2)</f>
        <v/>
      </c>
      <c r="P1169" s="73">
        <f>ROUND(K1169*N1169,2)</f>
        <v/>
      </c>
      <c r="Q1169" s="74">
        <f>ROUND(L1169*N1169,2)</f>
        <v/>
      </c>
      <c r="R1169" s="75" t="n"/>
      <c r="S1169" s="76" t="n"/>
      <c r="T1169" s="77">
        <f>K1169-L1169</f>
        <v/>
      </c>
      <c r="U1169" s="77">
        <f>P1169-Q1169</f>
        <v/>
      </c>
      <c r="V1169" s="77">
        <f>ABS(U1169)</f>
        <v/>
      </c>
      <c r="W1169" s="78">
        <f>T1169/L1169</f>
        <v/>
      </c>
      <c r="X1169" s="79">
        <f>ABS(W1169)</f>
        <v/>
      </c>
    </row>
    <row r="1170" ht="11.4" customHeight="1">
      <c r="A1170" s="67" t="inlineStr">
        <is>
          <t>7064</t>
        </is>
      </c>
      <c r="B1170" s="67" t="inlineStr">
        <is>
          <t>1062</t>
        </is>
      </c>
      <c r="C1170" s="67" t="inlineStr">
        <is>
          <t>1611</t>
        </is>
      </c>
      <c r="D1170" s="68" t="inlineStr">
        <is>
          <t>11</t>
        </is>
      </c>
      <c r="E1170" s="68" t="inlineStr">
        <is>
          <t>Kiosk-LHI</t>
        </is>
      </c>
      <c r="F1170" s="68" t="inlineStr">
        <is>
          <t>母店内甜品站装修</t>
        </is>
      </c>
      <c r="G1170" s="68" t="inlineStr">
        <is>
          <t>母店内甜品站装修</t>
        </is>
      </c>
      <c r="H1170" s="68" t="inlineStr">
        <is>
          <t>母店内甜品站-墙体隔断</t>
        </is>
      </c>
      <c r="I1170" s="69" t="inlineStr">
        <is>
          <t>1000021857</t>
        </is>
      </c>
      <c r="J1170" s="69" t="inlineStr">
        <is>
          <t>1300mm高矮墙（不含防火板）</t>
        </is>
      </c>
      <c r="K1170" s="70" t="n"/>
      <c r="L1170" s="70" t="n"/>
      <c r="M1170" s="71" t="inlineStr">
        <is>
          <t>米</t>
        </is>
      </c>
      <c r="N1170" s="72" t="n">
        <v>552.08</v>
      </c>
      <c r="O1170" s="72">
        <f>ROUND(N1170*(1+$F$10),2)</f>
        <v/>
      </c>
      <c r="P1170" s="73">
        <f>ROUND(K1170*N1170,2)</f>
        <v/>
      </c>
      <c r="Q1170" s="74">
        <f>ROUND(L1170*N1170,2)</f>
        <v/>
      </c>
      <c r="R1170" s="75" t="n"/>
      <c r="S1170" s="76" t="n"/>
      <c r="T1170" s="77">
        <f>K1170-L1170</f>
        <v/>
      </c>
      <c r="U1170" s="77">
        <f>P1170-Q1170</f>
        <v/>
      </c>
      <c r="V1170" s="77">
        <f>ABS(U1170)</f>
        <v/>
      </c>
      <c r="W1170" s="78">
        <f>T1170/L1170</f>
        <v/>
      </c>
      <c r="X1170" s="79">
        <f>ABS(W1170)</f>
        <v/>
      </c>
    </row>
    <row r="1171" ht="11.4" customHeight="1">
      <c r="A1171" s="67" t="inlineStr">
        <is>
          <t>7064</t>
        </is>
      </c>
      <c r="B1171" s="67" t="inlineStr">
        <is>
          <t>1062</t>
        </is>
      </c>
      <c r="C1171" s="67" t="inlineStr">
        <is>
          <t>1611</t>
        </is>
      </c>
      <c r="D1171" s="68" t="inlineStr">
        <is>
          <t>11</t>
        </is>
      </c>
      <c r="E1171" s="68" t="inlineStr">
        <is>
          <t>Kiosk-LHI</t>
        </is>
      </c>
      <c r="F1171" s="68" t="inlineStr">
        <is>
          <t>母店内甜品站装修</t>
        </is>
      </c>
      <c r="G1171" s="68" t="inlineStr">
        <is>
          <t>母店内甜品站装修</t>
        </is>
      </c>
      <c r="H1171" s="68" t="inlineStr">
        <is>
          <t>母店内甜品站-墙体隔断</t>
        </is>
      </c>
      <c r="I1171" s="69" t="inlineStr">
        <is>
          <t>1000022129</t>
        </is>
      </c>
      <c r="J1171" s="69" t="inlineStr">
        <is>
          <t>12mm厚钢化磨砂玻璃</t>
        </is>
      </c>
      <c r="K1171" s="70" t="n"/>
      <c r="L1171" s="70" t="n"/>
      <c r="M1171" s="71" t="inlineStr">
        <is>
          <t>m2</t>
        </is>
      </c>
      <c r="N1171" s="72" t="n">
        <v>338.6</v>
      </c>
      <c r="O1171" s="72">
        <f>ROUND(N1171*(1+$F$10),2)</f>
        <v/>
      </c>
      <c r="P1171" s="73">
        <f>ROUND(K1171*N1171,2)</f>
        <v/>
      </c>
      <c r="Q1171" s="74">
        <f>ROUND(L1171*N1171,2)</f>
        <v/>
      </c>
      <c r="R1171" s="75" t="n"/>
      <c r="S1171" s="76" t="n"/>
      <c r="T1171" s="77">
        <f>K1171-L1171</f>
        <v/>
      </c>
      <c r="U1171" s="77">
        <f>P1171-Q1171</f>
        <v/>
      </c>
      <c r="V1171" s="77">
        <f>ABS(U1171)</f>
        <v/>
      </c>
      <c r="W1171" s="78">
        <f>T1171/L1171</f>
        <v/>
      </c>
      <c r="X1171" s="79">
        <f>ABS(W1171)</f>
        <v/>
      </c>
    </row>
    <row r="1172" ht="11.4" customHeight="1">
      <c r="A1172" s="67" t="inlineStr">
        <is>
          <t>7064</t>
        </is>
      </c>
      <c r="B1172" s="67" t="inlineStr">
        <is>
          <t>1062</t>
        </is>
      </c>
      <c r="C1172" s="67" t="inlineStr">
        <is>
          <t>1611</t>
        </is>
      </c>
      <c r="D1172" s="68" t="inlineStr">
        <is>
          <t>11</t>
        </is>
      </c>
      <c r="E1172" s="68" t="inlineStr">
        <is>
          <t>Kiosk-LHI</t>
        </is>
      </c>
      <c r="F1172" s="68" t="inlineStr">
        <is>
          <t>母店内甜品站装修</t>
        </is>
      </c>
      <c r="G1172" s="68" t="inlineStr">
        <is>
          <t>母店内甜品站装修</t>
        </is>
      </c>
      <c r="H1172" s="68" t="inlineStr">
        <is>
          <t>母店内甜品站-门</t>
        </is>
      </c>
      <c r="I1172" s="69" t="inlineStr">
        <is>
          <t>1000022130</t>
        </is>
      </c>
      <c r="J1172" s="69" t="inlineStr">
        <is>
          <t>850mmX40mm厚 隔断成品门及全部配件</t>
        </is>
      </c>
      <c r="K1172" s="70" t="n"/>
      <c r="L1172" s="70" t="n"/>
      <c r="M1172" s="71" t="inlineStr">
        <is>
          <t>樘</t>
        </is>
      </c>
      <c r="N1172" s="72" t="n">
        <v>755.15</v>
      </c>
      <c r="O1172" s="72">
        <f>ROUND(N1172*(1+$F$10),2)</f>
        <v/>
      </c>
      <c r="P1172" s="73">
        <f>ROUND(K1172*N1172,2)</f>
        <v/>
      </c>
      <c r="Q1172" s="74">
        <f>ROUND(L1172*N1172,2)</f>
        <v/>
      </c>
      <c r="R1172" s="75" t="n"/>
      <c r="S1172" s="76" t="n"/>
      <c r="T1172" s="77">
        <f>K1172-L1172</f>
        <v/>
      </c>
      <c r="U1172" s="77">
        <f>P1172-Q1172</f>
        <v/>
      </c>
      <c r="V1172" s="77">
        <f>ABS(U1172)</f>
        <v/>
      </c>
      <c r="W1172" s="78">
        <f>T1172/L1172</f>
        <v/>
      </c>
      <c r="X1172" s="79">
        <f>ABS(W1172)</f>
        <v/>
      </c>
    </row>
    <row r="1173" ht="11.4" customHeight="1">
      <c r="A1173" s="67" t="inlineStr">
        <is>
          <t>7064</t>
        </is>
      </c>
      <c r="B1173" s="67" t="inlineStr">
        <is>
          <t>1062</t>
        </is>
      </c>
      <c r="C1173" s="67" t="inlineStr">
        <is>
          <t>1611</t>
        </is>
      </c>
      <c r="D1173" s="68" t="inlineStr">
        <is>
          <t>11</t>
        </is>
      </c>
      <c r="E1173" s="68" t="inlineStr">
        <is>
          <t>Kiosk-LHI</t>
        </is>
      </c>
      <c r="F1173" s="68" t="inlineStr">
        <is>
          <t>母店内甜品站装修</t>
        </is>
      </c>
      <c r="G1173" s="68" t="inlineStr">
        <is>
          <t>母店内甜品站装修</t>
        </is>
      </c>
      <c r="H1173" s="68" t="inlineStr">
        <is>
          <t>母店内甜品站-门</t>
        </is>
      </c>
      <c r="I1173" s="69" t="inlineStr">
        <is>
          <t>1000021520</t>
        </is>
      </c>
      <c r="J1173" s="69" t="inlineStr">
        <is>
          <t>40mm厚成品门（含门套，连桥供应）</t>
        </is>
      </c>
      <c r="K1173" s="70" t="n"/>
      <c r="L1173" s="70" t="n"/>
      <c r="M1173" s="71" t="inlineStr">
        <is>
          <t>樘</t>
        </is>
      </c>
      <c r="N1173" s="72" t="n">
        <v>2585.55</v>
      </c>
      <c r="O1173" s="72">
        <f>ROUND(N1173*(1+$F$10),2)</f>
        <v/>
      </c>
      <c r="P1173" s="73">
        <f>ROUND(K1173*N1173,2)</f>
        <v/>
      </c>
      <c r="Q1173" s="74">
        <f>ROUND(L1173*N1173,2)</f>
        <v/>
      </c>
      <c r="R1173" s="75" t="n"/>
      <c r="S1173" s="76" t="n"/>
      <c r="T1173" s="77">
        <f>K1173-L1173</f>
        <v/>
      </c>
      <c r="U1173" s="77">
        <f>P1173-Q1173</f>
        <v/>
      </c>
      <c r="V1173" s="77">
        <f>ABS(U1173)</f>
        <v/>
      </c>
      <c r="W1173" s="78">
        <f>T1173/L1173</f>
        <v/>
      </c>
      <c r="X1173" s="79">
        <f>ABS(W1173)</f>
        <v/>
      </c>
    </row>
    <row r="1174" ht="11.4" customHeight="1">
      <c r="A1174" s="67" t="inlineStr">
        <is>
          <t>7064</t>
        </is>
      </c>
      <c r="B1174" s="67" t="inlineStr">
        <is>
          <t>1062</t>
        </is>
      </c>
      <c r="C1174" s="67" t="inlineStr">
        <is>
          <t>1611</t>
        </is>
      </c>
      <c r="D1174" s="68" t="inlineStr">
        <is>
          <t>11</t>
        </is>
      </c>
      <c r="E1174" s="68" t="inlineStr">
        <is>
          <t>Kiosk-LHI</t>
        </is>
      </c>
      <c r="F1174" s="68" t="inlineStr">
        <is>
          <t>母店内甜品站装修</t>
        </is>
      </c>
      <c r="G1174" s="68" t="inlineStr">
        <is>
          <t>母店内甜品站装修</t>
        </is>
      </c>
      <c r="H1174" s="68" t="inlineStr">
        <is>
          <t>母店内甜品站-门</t>
        </is>
      </c>
      <c r="I1174" s="69" t="inlineStr">
        <is>
          <t>1000021658</t>
        </is>
      </c>
      <c r="J1174" s="69" t="inlineStr">
        <is>
          <t>40mm厚成品门（含门套，远达供应）</t>
        </is>
      </c>
      <c r="K1174" s="70" t="n"/>
      <c r="L1174" s="70" t="n"/>
      <c r="M1174" s="71" t="inlineStr">
        <is>
          <t>樘</t>
        </is>
      </c>
      <c r="N1174" s="72" t="n">
        <v>2585.55</v>
      </c>
      <c r="O1174" s="72">
        <f>ROUND(N1174*(1+$F$10),2)</f>
        <v/>
      </c>
      <c r="P1174" s="73">
        <f>ROUND(K1174*N1174,2)</f>
        <v/>
      </c>
      <c r="Q1174" s="74">
        <f>ROUND(L1174*N1174,2)</f>
        <v/>
      </c>
      <c r="R1174" s="75" t="n"/>
      <c r="S1174" s="76" t="n"/>
      <c r="T1174" s="77">
        <f>K1174-L1174</f>
        <v/>
      </c>
      <c r="U1174" s="77">
        <f>P1174-Q1174</f>
        <v/>
      </c>
      <c r="V1174" s="77">
        <f>ABS(U1174)</f>
        <v/>
      </c>
      <c r="W1174" s="78">
        <f>T1174/L1174</f>
        <v/>
      </c>
      <c r="X1174" s="79">
        <f>ABS(W1174)</f>
        <v/>
      </c>
    </row>
    <row r="1175" ht="11.4" customHeight="1">
      <c r="A1175" s="67" t="inlineStr">
        <is>
          <t>7064</t>
        </is>
      </c>
      <c r="B1175" s="67" t="inlineStr">
        <is>
          <t>1062</t>
        </is>
      </c>
      <c r="C1175" s="67" t="inlineStr">
        <is>
          <t>1611</t>
        </is>
      </c>
      <c r="D1175" s="68" t="inlineStr">
        <is>
          <t>11</t>
        </is>
      </c>
      <c r="E1175" s="68" t="inlineStr">
        <is>
          <t>Kiosk-LHI</t>
        </is>
      </c>
      <c r="F1175" s="68" t="inlineStr">
        <is>
          <t>母店内甜品站装修</t>
        </is>
      </c>
      <c r="G1175" s="68" t="inlineStr">
        <is>
          <t>母店内甜品站装修</t>
        </is>
      </c>
      <c r="H1175" s="68" t="inlineStr">
        <is>
          <t>母店内甜品站-门</t>
        </is>
      </c>
      <c r="I1175" s="69" t="inlineStr">
        <is>
          <t>1000053617</t>
        </is>
      </c>
      <c r="J1175" s="69" t="inlineStr">
        <is>
          <t>40mm厚成品门（含门套，航凯供应）</t>
        </is>
      </c>
      <c r="K1175" s="70" t="n"/>
      <c r="L1175" s="70" t="n"/>
      <c r="M1175" s="71" t="inlineStr">
        <is>
          <t>樘</t>
        </is>
      </c>
      <c r="N1175" s="72" t="n">
        <v>2941.14</v>
      </c>
      <c r="O1175" s="72">
        <f>ROUND(N1175*(1+$F$10),2)</f>
        <v/>
      </c>
      <c r="P1175" s="73">
        <f>ROUND(K1175*N1175,2)</f>
        <v/>
      </c>
      <c r="Q1175" s="74">
        <f>ROUND(L1175*N1175,2)</f>
        <v/>
      </c>
      <c r="R1175" s="75" t="n"/>
      <c r="S1175" s="76" t="n"/>
      <c r="T1175" s="77">
        <f>K1175-L1175</f>
        <v/>
      </c>
      <c r="U1175" s="77">
        <f>P1175-Q1175</f>
        <v/>
      </c>
      <c r="V1175" s="77">
        <f>ABS(U1175)</f>
        <v/>
      </c>
      <c r="W1175" s="78">
        <f>T1175/L1175</f>
        <v/>
      </c>
      <c r="X1175" s="79">
        <f>ABS(W1175)</f>
        <v/>
      </c>
    </row>
    <row r="1176" ht="11.4" customHeight="1">
      <c r="A1176" s="67" t="inlineStr">
        <is>
          <t>7064</t>
        </is>
      </c>
      <c r="B1176" s="67" t="inlineStr">
        <is>
          <t>1062</t>
        </is>
      </c>
      <c r="C1176" s="67" t="inlineStr">
        <is>
          <t>1611</t>
        </is>
      </c>
      <c r="D1176" s="68" t="inlineStr">
        <is>
          <t>11</t>
        </is>
      </c>
      <c r="E1176" s="68" t="inlineStr">
        <is>
          <t>Kiosk-LHI</t>
        </is>
      </c>
      <c r="F1176" s="68" t="inlineStr">
        <is>
          <t>母店内甜品站装修</t>
        </is>
      </c>
      <c r="G1176" s="68" t="inlineStr">
        <is>
          <t>母店内甜品站装修</t>
        </is>
      </c>
      <c r="H1176" s="68" t="inlineStr">
        <is>
          <t>母店内甜品站-门</t>
        </is>
      </c>
      <c r="I1176" s="69" t="inlineStr">
        <is>
          <t>1000025194</t>
        </is>
      </c>
      <c r="J1176" s="69" t="inlineStr">
        <is>
          <t>甜品站玻璃单开门（含五金配件）</t>
        </is>
      </c>
      <c r="K1176" s="70" t="n"/>
      <c r="L1176" s="70" t="n"/>
      <c r="M1176" s="71" t="inlineStr">
        <is>
          <t>樘</t>
        </is>
      </c>
      <c r="N1176" s="72" t="n">
        <v>1496.64</v>
      </c>
      <c r="O1176" s="72">
        <f>ROUND(N1176*(1+$F$10),2)</f>
        <v/>
      </c>
      <c r="P1176" s="73">
        <f>ROUND(K1176*N1176,2)</f>
        <v/>
      </c>
      <c r="Q1176" s="74">
        <f>ROUND(L1176*N1176,2)</f>
        <v/>
      </c>
      <c r="R1176" s="75" t="n"/>
      <c r="S1176" s="76" t="n"/>
      <c r="T1176" s="77">
        <f>K1176-L1176</f>
        <v/>
      </c>
      <c r="U1176" s="77">
        <f>P1176-Q1176</f>
        <v/>
      </c>
      <c r="V1176" s="77">
        <f>ABS(U1176)</f>
        <v/>
      </c>
      <c r="W1176" s="78">
        <f>T1176/L1176</f>
        <v/>
      </c>
      <c r="X1176" s="79">
        <f>ABS(W1176)</f>
        <v/>
      </c>
    </row>
    <row r="1177" ht="11.4" customHeight="1">
      <c r="A1177" s="67" t="inlineStr">
        <is>
          <t>7064</t>
        </is>
      </c>
      <c r="B1177" s="67" t="inlineStr">
        <is>
          <t>1062</t>
        </is>
      </c>
      <c r="C1177" s="67" t="inlineStr">
        <is>
          <t>1611</t>
        </is>
      </c>
      <c r="D1177" s="68" t="inlineStr">
        <is>
          <t>11</t>
        </is>
      </c>
      <c r="E1177" s="68" t="inlineStr">
        <is>
          <t>Kiosk-LHI</t>
        </is>
      </c>
      <c r="F1177" s="68" t="inlineStr">
        <is>
          <t>母店内甜品站装修</t>
        </is>
      </c>
      <c r="G1177" s="68" t="inlineStr">
        <is>
          <t>母店内甜品站装修</t>
        </is>
      </c>
      <c r="H1177" s="68" t="inlineStr">
        <is>
          <t>母店内甜品站-其他</t>
        </is>
      </c>
      <c r="I1177" s="69" t="inlineStr">
        <is>
          <t>1000022114</t>
        </is>
      </c>
      <c r="J1177" s="69" t="inlineStr">
        <is>
          <t>不锈钢踢脚 H=100</t>
        </is>
      </c>
      <c r="K1177" s="70" t="n"/>
      <c r="L1177" s="70" t="n"/>
      <c r="M1177" s="71" t="inlineStr">
        <is>
          <t>米</t>
        </is>
      </c>
      <c r="N1177" s="72" t="n">
        <v>75.86</v>
      </c>
      <c r="O1177" s="72">
        <f>ROUND(N1177*(1+$F$10),2)</f>
        <v/>
      </c>
      <c r="P1177" s="73">
        <f>ROUND(K1177*N1177,2)</f>
        <v/>
      </c>
      <c r="Q1177" s="74">
        <f>ROUND(L1177*N1177,2)</f>
        <v/>
      </c>
      <c r="R1177" s="75" t="n"/>
      <c r="S1177" s="76" t="n"/>
      <c r="T1177" s="77">
        <f>K1177-L1177</f>
        <v/>
      </c>
      <c r="U1177" s="77">
        <f>P1177-Q1177</f>
        <v/>
      </c>
      <c r="V1177" s="77">
        <f>ABS(U1177)</f>
        <v/>
      </c>
      <c r="W1177" s="78">
        <f>T1177/L1177</f>
        <v/>
      </c>
      <c r="X1177" s="79">
        <f>ABS(W1177)</f>
        <v/>
      </c>
    </row>
    <row r="1178" ht="11.4" customHeight="1">
      <c r="A1178" s="67" t="inlineStr">
        <is>
          <t>7064</t>
        </is>
      </c>
      <c r="B1178" s="67" t="inlineStr">
        <is>
          <t>1062</t>
        </is>
      </c>
      <c r="C1178" s="67" t="inlineStr">
        <is>
          <t>1611</t>
        </is>
      </c>
      <c r="D1178" s="68" t="inlineStr">
        <is>
          <t>11</t>
        </is>
      </c>
      <c r="E1178" s="68" t="inlineStr">
        <is>
          <t>Kiosk-LHI</t>
        </is>
      </c>
      <c r="F1178" s="68" t="inlineStr">
        <is>
          <t>母店内甜品站装修</t>
        </is>
      </c>
      <c r="G1178" s="68" t="inlineStr">
        <is>
          <t>母店内甜品站装修</t>
        </is>
      </c>
      <c r="H1178" s="68" t="inlineStr">
        <is>
          <t>母店内甜品站-其他</t>
        </is>
      </c>
      <c r="I1178" s="69" t="inlineStr">
        <is>
          <t>1000022131</t>
        </is>
      </c>
      <c r="J1178" s="69" t="inlineStr">
        <is>
          <t>地面抬高</t>
        </is>
      </c>
      <c r="K1178" s="70" t="n"/>
      <c r="L1178" s="70" t="n"/>
      <c r="M1178" s="71" t="inlineStr">
        <is>
          <t>m2</t>
        </is>
      </c>
      <c r="N1178" s="72" t="n">
        <v>88.25</v>
      </c>
      <c r="O1178" s="72">
        <f>ROUND(N1178*(1+$F$10),2)</f>
        <v/>
      </c>
      <c r="P1178" s="73">
        <f>ROUND(K1178*N1178,2)</f>
        <v/>
      </c>
      <c r="Q1178" s="74">
        <f>ROUND(L1178*N1178,2)</f>
        <v/>
      </c>
      <c r="R1178" s="75" t="n"/>
      <c r="S1178" s="76" t="n"/>
      <c r="T1178" s="77">
        <f>K1178-L1178</f>
        <v/>
      </c>
      <c r="U1178" s="77">
        <f>P1178-Q1178</f>
        <v/>
      </c>
      <c r="V1178" s="77">
        <f>ABS(U1178)</f>
        <v/>
      </c>
      <c r="W1178" s="78">
        <f>T1178/L1178</f>
        <v/>
      </c>
      <c r="X1178" s="79">
        <f>ABS(W1178)</f>
        <v/>
      </c>
    </row>
    <row r="1179" ht="11.4" customHeight="1">
      <c r="A1179" s="67" t="inlineStr">
        <is>
          <t>7068</t>
        </is>
      </c>
      <c r="B1179" s="67" t="inlineStr">
        <is>
          <t>1066</t>
        </is>
      </c>
      <c r="C1179" s="67" t="inlineStr">
        <is>
          <t>1612</t>
        </is>
      </c>
      <c r="D1179" s="68" t="inlineStr">
        <is>
          <t>11</t>
        </is>
      </c>
      <c r="E1179" s="68" t="inlineStr">
        <is>
          <t>Kiosk-LHI</t>
        </is>
      </c>
      <c r="F1179" s="68" t="inlineStr">
        <is>
          <t>母店内甜品站装修</t>
        </is>
      </c>
      <c r="G1179" s="68" t="inlineStr">
        <is>
          <t>母店内甜品站装修</t>
        </is>
      </c>
      <c r="H1179" s="68" t="inlineStr">
        <is>
          <t>母店内甜品站-电气</t>
        </is>
      </c>
      <c r="I1179" s="69" t="inlineStr">
        <is>
          <t>1000022132</t>
        </is>
      </c>
      <c r="J1179" s="69" t="inlineStr">
        <is>
          <t>配电柜至甜品站接驳电线</t>
        </is>
      </c>
      <c r="K1179" s="70" t="n"/>
      <c r="L1179" s="70" t="n"/>
      <c r="M1179" s="71" t="inlineStr">
        <is>
          <t>米</t>
        </is>
      </c>
      <c r="N1179" s="72" t="n">
        <v>38.5</v>
      </c>
      <c r="O1179" s="72">
        <f>ROUND(N1179*(1+$F$10),2)</f>
        <v/>
      </c>
      <c r="P1179" s="73">
        <f>ROUND(K1179*N1179,2)</f>
        <v/>
      </c>
      <c r="Q1179" s="74">
        <f>ROUND(L1179*N1179,2)</f>
        <v/>
      </c>
      <c r="R1179" s="75" t="n"/>
      <c r="S1179" s="76" t="n"/>
      <c r="T1179" s="77">
        <f>K1179-L1179</f>
        <v/>
      </c>
      <c r="U1179" s="77">
        <f>P1179-Q1179</f>
        <v/>
      </c>
      <c r="V1179" s="77">
        <f>ABS(U1179)</f>
        <v/>
      </c>
      <c r="W1179" s="78">
        <f>T1179/L1179</f>
        <v/>
      </c>
      <c r="X1179" s="79">
        <f>ABS(W1179)</f>
        <v/>
      </c>
    </row>
    <row r="1180" ht="11.4" customHeight="1">
      <c r="A1180" s="67" t="inlineStr">
        <is>
          <t>7068</t>
        </is>
      </c>
      <c r="B1180" s="67" t="inlineStr">
        <is>
          <t>1066</t>
        </is>
      </c>
      <c r="C1180" s="67" t="inlineStr">
        <is>
          <t>1612</t>
        </is>
      </c>
      <c r="D1180" s="68" t="inlineStr">
        <is>
          <t>11</t>
        </is>
      </c>
      <c r="E1180" s="68" t="inlineStr">
        <is>
          <t>Kiosk-LHI</t>
        </is>
      </c>
      <c r="F1180" s="68" t="inlineStr">
        <is>
          <t>母店内甜品站装修</t>
        </is>
      </c>
      <c r="G1180" s="68" t="inlineStr">
        <is>
          <t>母店内甜品站装修</t>
        </is>
      </c>
      <c r="H1180" s="68" t="inlineStr">
        <is>
          <t>母店内甜品站-电气</t>
        </is>
      </c>
      <c r="I1180" s="69" t="inlineStr">
        <is>
          <t>1000022117</t>
        </is>
      </c>
      <c r="J1180" s="69" t="inlineStr">
        <is>
          <t>内部电源安装（含插头插座开关）</t>
        </is>
      </c>
      <c r="K1180" s="70" t="n"/>
      <c r="L1180" s="70" t="n"/>
      <c r="M1180" s="71" t="inlineStr">
        <is>
          <t>项</t>
        </is>
      </c>
      <c r="N1180" s="72" t="n">
        <v>1637.1</v>
      </c>
      <c r="O1180" s="72">
        <f>ROUND(N1180*(1+$F$10),2)</f>
        <v/>
      </c>
      <c r="P1180" s="73">
        <f>ROUND(K1180*N1180,2)</f>
        <v/>
      </c>
      <c r="Q1180" s="74">
        <f>ROUND(L1180*N1180,2)</f>
        <v/>
      </c>
      <c r="R1180" s="75" t="n"/>
      <c r="S1180" s="76" t="n"/>
      <c r="T1180" s="77">
        <f>K1180-L1180</f>
        <v/>
      </c>
      <c r="U1180" s="77">
        <f>P1180-Q1180</f>
        <v/>
      </c>
      <c r="V1180" s="77">
        <f>ABS(U1180)</f>
        <v/>
      </c>
      <c r="W1180" s="78">
        <f>T1180/L1180</f>
        <v/>
      </c>
      <c r="X1180" s="79">
        <f>ABS(W1180)</f>
        <v/>
      </c>
    </row>
    <row r="1181" ht="11.4" customHeight="1">
      <c r="A1181" s="67" t="inlineStr">
        <is>
          <t>7068</t>
        </is>
      </c>
      <c r="B1181" s="67" t="inlineStr">
        <is>
          <t>1066</t>
        </is>
      </c>
      <c r="C1181" s="67" t="inlineStr">
        <is>
          <t>1612</t>
        </is>
      </c>
      <c r="D1181" s="68" t="inlineStr">
        <is>
          <t>11</t>
        </is>
      </c>
      <c r="E1181" s="68" t="inlineStr">
        <is>
          <t>Kiosk-LHI</t>
        </is>
      </c>
      <c r="F1181" s="68" t="inlineStr">
        <is>
          <t>母店内甜品站装修</t>
        </is>
      </c>
      <c r="G1181" s="68" t="inlineStr">
        <is>
          <t>母店内甜品站装修</t>
        </is>
      </c>
      <c r="H1181" s="68" t="inlineStr">
        <is>
          <t>母店内甜品站-电气</t>
        </is>
      </c>
      <c r="I1181" s="69" t="inlineStr">
        <is>
          <t>1000022133</t>
        </is>
      </c>
      <c r="J1181" s="69" t="inlineStr">
        <is>
          <t>配合弱电安装</t>
        </is>
      </c>
      <c r="K1181" s="70" t="n"/>
      <c r="L1181" s="70" t="n"/>
      <c r="M1181" s="71" t="inlineStr">
        <is>
          <t>项</t>
        </is>
      </c>
      <c r="N1181" s="72" t="n">
        <v>699.36</v>
      </c>
      <c r="O1181" s="72">
        <f>ROUND(N1181*(1+$F$10),2)</f>
        <v/>
      </c>
      <c r="P1181" s="73">
        <f>ROUND(K1181*N1181,2)</f>
        <v/>
      </c>
      <c r="Q1181" s="74">
        <f>ROUND(L1181*N1181,2)</f>
        <v/>
      </c>
      <c r="R1181" s="75" t="n"/>
      <c r="S1181" s="76" t="n"/>
      <c r="T1181" s="77">
        <f>K1181-L1181</f>
        <v/>
      </c>
      <c r="U1181" s="77">
        <f>P1181-Q1181</f>
        <v/>
      </c>
      <c r="V1181" s="77">
        <f>ABS(U1181)</f>
        <v/>
      </c>
      <c r="W1181" s="78">
        <f>T1181/L1181</f>
        <v/>
      </c>
      <c r="X1181" s="79">
        <f>ABS(W1181)</f>
        <v/>
      </c>
    </row>
    <row r="1182" ht="11.4" customHeight="1">
      <c r="A1182" s="67" t="inlineStr">
        <is>
          <t>7132</t>
        </is>
      </c>
      <c r="B1182" s="67" t="inlineStr">
        <is>
          <t>1130</t>
        </is>
      </c>
      <c r="C1182" s="67" t="inlineStr">
        <is>
          <t>8422</t>
        </is>
      </c>
      <c r="D1182" s="68" t="inlineStr">
        <is>
          <t>11</t>
        </is>
      </c>
      <c r="E1182" s="68" t="inlineStr">
        <is>
          <t>Kiosk-ESSD</t>
        </is>
      </c>
      <c r="F1182" s="68" t="inlineStr">
        <is>
          <t>店内甜品站ESSD</t>
        </is>
      </c>
      <c r="G1182" s="68" t="inlineStr">
        <is>
          <t>店内甜品站本地采购设备</t>
        </is>
      </c>
      <c r="H1182" s="68" t="inlineStr">
        <is>
          <t>店内甜品站-音响</t>
        </is>
      </c>
      <c r="I1182" s="69" t="inlineStr">
        <is>
          <t>1000021603</t>
        </is>
      </c>
      <c r="J1182" s="69" t="inlineStr">
        <is>
          <t>Honeywell甜品站-音响（含无线耳麦话筒）</t>
        </is>
      </c>
      <c r="K1182" s="70" t="n"/>
      <c r="L1182" s="70" t="n"/>
      <c r="M1182" s="71" t="inlineStr">
        <is>
          <t>项</t>
        </is>
      </c>
      <c r="N1182" s="72" t="n">
        <v>3741.96</v>
      </c>
      <c r="O1182" s="72">
        <f>ROUND(N1182*(1+$F$10),2)</f>
        <v/>
      </c>
      <c r="P1182" s="73">
        <f>ROUND(K1182*N1182,2)</f>
        <v/>
      </c>
      <c r="Q1182" s="74">
        <f>ROUND(L1182*N1182,2)</f>
        <v/>
      </c>
      <c r="R1182" s="75" t="n"/>
      <c r="S1182" s="76" t="n"/>
      <c r="T1182" s="77">
        <f>K1182-L1182</f>
        <v/>
      </c>
      <c r="U1182" s="77">
        <f>P1182-Q1182</f>
        <v/>
      </c>
      <c r="V1182" s="77">
        <f>ABS(U1182)</f>
        <v/>
      </c>
      <c r="W1182" s="78">
        <f>T1182/L1182</f>
        <v/>
      </c>
      <c r="X1182" s="79">
        <f>ABS(W1182)</f>
        <v/>
      </c>
    </row>
    <row r="1183" ht="11.4" customHeight="1">
      <c r="A1183" s="67" t="inlineStr">
        <is>
          <t>7132</t>
        </is>
      </c>
      <c r="B1183" s="67" t="inlineStr">
        <is>
          <t>1130</t>
        </is>
      </c>
      <c r="C1183" s="67" t="inlineStr">
        <is>
          <t>8422</t>
        </is>
      </c>
      <c r="D1183" s="68" t="inlineStr">
        <is>
          <t>11</t>
        </is>
      </c>
      <c r="E1183" s="68" t="inlineStr">
        <is>
          <t>Kiosk-ESSD</t>
        </is>
      </c>
      <c r="F1183" s="68" t="inlineStr">
        <is>
          <t>店内甜品站ESSD</t>
        </is>
      </c>
      <c r="G1183" s="68" t="inlineStr">
        <is>
          <t>店内甜品站本地采购设备</t>
        </is>
      </c>
      <c r="H1183" s="68" t="inlineStr">
        <is>
          <t>店内甜品站-音响</t>
        </is>
      </c>
      <c r="I1183" s="69" t="inlineStr">
        <is>
          <t>1000021604</t>
        </is>
      </c>
      <c r="J1183" s="69" t="inlineStr">
        <is>
          <t>BOSCH甜品站-音响（含无线耳麦话筒）</t>
        </is>
      </c>
      <c r="K1183" s="70" t="n"/>
      <c r="L1183" s="70" t="n"/>
      <c r="M1183" s="71" t="inlineStr">
        <is>
          <t>项</t>
        </is>
      </c>
      <c r="N1183" s="72" t="n">
        <v>3867.36</v>
      </c>
      <c r="O1183" s="72">
        <f>ROUND(N1183*(1+$F$10),2)</f>
        <v/>
      </c>
      <c r="P1183" s="73">
        <f>ROUND(K1183*N1183,2)</f>
        <v/>
      </c>
      <c r="Q1183" s="74">
        <f>ROUND(L1183*N1183,2)</f>
        <v/>
      </c>
      <c r="R1183" s="75" t="n"/>
      <c r="S1183" s="76" t="n"/>
      <c r="T1183" s="77">
        <f>K1183-L1183</f>
        <v/>
      </c>
      <c r="U1183" s="77">
        <f>P1183-Q1183</f>
        <v/>
      </c>
      <c r="V1183" s="77">
        <f>ABS(U1183)</f>
        <v/>
      </c>
      <c r="W1183" s="78">
        <f>T1183/L1183</f>
        <v/>
      </c>
      <c r="X1183" s="79">
        <f>ABS(W1183)</f>
        <v/>
      </c>
    </row>
    <row r="1184" ht="11.4" customHeight="1">
      <c r="A1184" s="67" t="inlineStr">
        <is>
          <t>7132</t>
        </is>
      </c>
      <c r="B1184" s="67" t="inlineStr">
        <is>
          <t>1130</t>
        </is>
      </c>
      <c r="C1184" s="67" t="inlineStr">
        <is>
          <t>8422</t>
        </is>
      </c>
      <c r="D1184" s="68" t="inlineStr">
        <is>
          <t>11</t>
        </is>
      </c>
      <c r="E1184" s="68" t="inlineStr">
        <is>
          <t>Kiosk-ESSD</t>
        </is>
      </c>
      <c r="F1184" s="68" t="inlineStr">
        <is>
          <t>店内甜品站ESSD</t>
        </is>
      </c>
      <c r="G1184" s="68" t="inlineStr">
        <is>
          <t>店内甜品站本地采购设备</t>
        </is>
      </c>
      <c r="H1184" s="68" t="inlineStr">
        <is>
          <t>店内甜品站-音响</t>
        </is>
      </c>
      <c r="I1184" s="69" t="inlineStr">
        <is>
          <t>1000022170</t>
        </is>
      </c>
      <c r="J1184" s="69" t="inlineStr">
        <is>
          <t>甜品站-音响布线及安装</t>
        </is>
      </c>
      <c r="K1184" s="70" t="n"/>
      <c r="L1184" s="70" t="n"/>
      <c r="M1184" s="71" t="inlineStr">
        <is>
          <t>项</t>
        </is>
      </c>
      <c r="N1184" s="72" t="n">
        <v>791.76</v>
      </c>
      <c r="O1184" s="72">
        <f>ROUND(N1184*(1+$F$10),2)</f>
        <v/>
      </c>
      <c r="P1184" s="73">
        <f>ROUND(K1184*N1184,2)</f>
        <v/>
      </c>
      <c r="Q1184" s="74">
        <f>ROUND(L1184*N1184,2)</f>
        <v/>
      </c>
      <c r="R1184" s="75" t="n"/>
      <c r="S1184" s="76" t="n"/>
      <c r="T1184" s="77">
        <f>K1184-L1184</f>
        <v/>
      </c>
      <c r="U1184" s="77">
        <f>P1184-Q1184</f>
        <v/>
      </c>
      <c r="V1184" s="77">
        <f>ABS(U1184)</f>
        <v/>
      </c>
      <c r="W1184" s="78">
        <f>T1184/L1184</f>
        <v/>
      </c>
      <c r="X1184" s="79">
        <f>ABS(W1184)</f>
        <v/>
      </c>
    </row>
    <row r="1185" ht="11.4" customHeight="1">
      <c r="A1185" s="67" t="inlineStr">
        <is>
          <t>7086</t>
        </is>
      </c>
      <c r="B1185" s="67" t="inlineStr">
        <is>
          <t>1084</t>
        </is>
      </c>
      <c r="C1185" s="67" t="inlineStr">
        <is>
          <t>3791</t>
        </is>
      </c>
      <c r="D1185" s="68" t="inlineStr">
        <is>
          <t>11</t>
        </is>
      </c>
      <c r="E1185" s="68" t="inlineStr">
        <is>
          <t>Kiosk-ESSD</t>
        </is>
      </c>
      <c r="F1185" s="68" t="inlineStr">
        <is>
          <t>母店内甜品站ESSD</t>
        </is>
      </c>
      <c r="G1185" s="68" t="inlineStr">
        <is>
          <t>母店内甜品站ESSD</t>
        </is>
      </c>
      <c r="H1185" s="68" t="inlineStr">
        <is>
          <t>母店内甜品站-招牌安装</t>
        </is>
      </c>
      <c r="I1185" s="69" t="inlineStr">
        <is>
          <t>1000022134</t>
        </is>
      </c>
      <c r="J1185" s="69" t="inlineStr">
        <is>
          <t>甜品站-招牌安装</t>
        </is>
      </c>
      <c r="K1185" s="70" t="n"/>
      <c r="L1185" s="70" t="n"/>
      <c r="M1185" s="71" t="inlineStr">
        <is>
          <t>项</t>
        </is>
      </c>
      <c r="N1185" s="72" t="n">
        <v>674.38</v>
      </c>
      <c r="O1185" s="72">
        <f>ROUND(N1185*(1+$F$10),2)</f>
        <v/>
      </c>
      <c r="P1185" s="73">
        <f>ROUND(K1185*N1185,2)</f>
        <v/>
      </c>
      <c r="Q1185" s="74">
        <f>ROUND(L1185*N1185,2)</f>
        <v/>
      </c>
      <c r="R1185" s="75" t="n"/>
      <c r="S1185" s="76" t="n"/>
      <c r="T1185" s="77">
        <f>K1185-L1185</f>
        <v/>
      </c>
      <c r="U1185" s="77">
        <f>P1185-Q1185</f>
        <v/>
      </c>
      <c r="V1185" s="77">
        <f>ABS(U1185)</f>
        <v/>
      </c>
      <c r="W1185" s="78">
        <f>T1185/L1185</f>
        <v/>
      </c>
      <c r="X1185" s="79">
        <f>ABS(W1185)</f>
        <v/>
      </c>
    </row>
    <row r="1186" ht="11.4" customHeight="1">
      <c r="A1186" s="67" t="inlineStr">
        <is>
          <t>7086</t>
        </is>
      </c>
      <c r="B1186" s="67" t="inlineStr">
        <is>
          <t>1084</t>
        </is>
      </c>
      <c r="C1186" s="67" t="inlineStr">
        <is>
          <t>3791</t>
        </is>
      </c>
      <c r="D1186" s="68" t="inlineStr">
        <is>
          <t>11</t>
        </is>
      </c>
      <c r="E1186" s="68" t="inlineStr">
        <is>
          <t>Kiosk-ESSD</t>
        </is>
      </c>
      <c r="F1186" s="68" t="inlineStr">
        <is>
          <t>母店内甜品站ESSD</t>
        </is>
      </c>
      <c r="G1186" s="68" t="inlineStr">
        <is>
          <t>母店内甜品站ESSD</t>
        </is>
      </c>
      <c r="H1186" s="68" t="inlineStr">
        <is>
          <t>母店内甜品站-“大生”铝板吊顶安装</t>
        </is>
      </c>
      <c r="I1186" s="69" t="inlineStr">
        <is>
          <t>1000022135</t>
        </is>
      </c>
      <c r="J1186" s="69" t="inlineStr">
        <is>
          <t>甜品站-“大生”铝板吊顶安装</t>
        </is>
      </c>
      <c r="K1186" s="70" t="n"/>
      <c r="L1186" s="70" t="n"/>
      <c r="M1186" s="71" t="inlineStr">
        <is>
          <t>项</t>
        </is>
      </c>
      <c r="N1186" s="72" t="n">
        <v>761.5</v>
      </c>
      <c r="O1186" s="72">
        <f>ROUND(N1186*(1+$F$10),2)</f>
        <v/>
      </c>
      <c r="P1186" s="73">
        <f>ROUND(K1186*N1186,2)</f>
        <v/>
      </c>
      <c r="Q1186" s="74">
        <f>ROUND(L1186*N1186,2)</f>
        <v/>
      </c>
      <c r="R1186" s="75" t="n"/>
      <c r="S1186" s="76" t="n"/>
      <c r="T1186" s="77">
        <f>K1186-L1186</f>
        <v/>
      </c>
      <c r="U1186" s="77">
        <f>P1186-Q1186</f>
        <v/>
      </c>
      <c r="V1186" s="77">
        <f>ABS(U1186)</f>
        <v/>
      </c>
      <c r="W1186" s="78">
        <f>T1186/L1186</f>
        <v/>
      </c>
      <c r="X1186" s="79">
        <f>ABS(W1186)</f>
        <v/>
      </c>
    </row>
    <row r="1187" ht="11.4" customHeight="1">
      <c r="A1187" s="67" t="inlineStr">
        <is>
          <t>7086</t>
        </is>
      </c>
      <c r="B1187" s="67" t="inlineStr">
        <is>
          <t>1084</t>
        </is>
      </c>
      <c r="C1187" s="67" t="inlineStr">
        <is>
          <t>3791</t>
        </is>
      </c>
      <c r="D1187" s="68" t="inlineStr">
        <is>
          <t>11</t>
        </is>
      </c>
      <c r="E1187" s="68" t="inlineStr">
        <is>
          <t>Kiosk-ESSD</t>
        </is>
      </c>
      <c r="F1187" s="68" t="inlineStr">
        <is>
          <t>母店内甜品站ESSD</t>
        </is>
      </c>
      <c r="G1187" s="68" t="inlineStr">
        <is>
          <t>母店内甜品站ESSD</t>
        </is>
      </c>
      <c r="H1187" s="68" t="inlineStr">
        <is>
          <t>母店内甜品站-菜单牌安装</t>
        </is>
      </c>
      <c r="I1187" s="69" t="inlineStr">
        <is>
          <t>1000022136</t>
        </is>
      </c>
      <c r="J1187" s="69" t="inlineStr">
        <is>
          <t>甜品站-菜单牌安装</t>
        </is>
      </c>
      <c r="K1187" s="70" t="n"/>
      <c r="L1187" s="70" t="n"/>
      <c r="M1187" s="71" t="inlineStr">
        <is>
          <t>项</t>
        </is>
      </c>
      <c r="N1187" s="72" t="n">
        <v>137.5</v>
      </c>
      <c r="O1187" s="72">
        <f>ROUND(N1187*(1+$F$10),2)</f>
        <v/>
      </c>
      <c r="P1187" s="73">
        <f>ROUND(K1187*N1187,2)</f>
        <v/>
      </c>
      <c r="Q1187" s="74">
        <f>ROUND(L1187*N1187,2)</f>
        <v/>
      </c>
      <c r="R1187" s="75" t="n"/>
      <c r="S1187" s="76" t="n"/>
      <c r="T1187" s="77">
        <f>K1187-L1187</f>
        <v/>
      </c>
      <c r="U1187" s="77">
        <f>P1187-Q1187</f>
        <v/>
      </c>
      <c r="V1187" s="77">
        <f>ABS(U1187)</f>
        <v/>
      </c>
      <c r="W1187" s="78">
        <f>T1187/L1187</f>
        <v/>
      </c>
      <c r="X1187" s="79">
        <f>ABS(W1187)</f>
        <v/>
      </c>
    </row>
    <row r="1188" ht="11.4" customHeight="1">
      <c r="A1188" s="67" t="inlineStr">
        <is>
          <t>7086</t>
        </is>
      </c>
      <c r="B1188" s="67" t="inlineStr">
        <is>
          <t>1084</t>
        </is>
      </c>
      <c r="C1188" s="67" t="inlineStr">
        <is>
          <t>3791</t>
        </is>
      </c>
      <c r="D1188" s="68" t="inlineStr">
        <is>
          <t>11</t>
        </is>
      </c>
      <c r="E1188" s="68" t="inlineStr">
        <is>
          <t>Kiosk-ESSD</t>
        </is>
      </c>
      <c r="F1188" s="68" t="inlineStr">
        <is>
          <t>母店内甜品站ESSD</t>
        </is>
      </c>
      <c r="G1188" s="68" t="inlineStr">
        <is>
          <t>母店内甜品站ESSD</t>
        </is>
      </c>
      <c r="H1188" s="68" t="inlineStr">
        <is>
          <t>母店内甜品站-菜单牌安装</t>
        </is>
      </c>
      <c r="I1188" s="69" t="inlineStr">
        <is>
          <t>1000022138</t>
        </is>
      </c>
      <c r="J1188" s="69" t="inlineStr">
        <is>
          <t>定制展示柜灯箱安装</t>
        </is>
      </c>
      <c r="K1188" s="70" t="n"/>
      <c r="L1188" s="70" t="n"/>
      <c r="M1188" s="71" t="inlineStr">
        <is>
          <t>套</t>
        </is>
      </c>
      <c r="N1188" s="72" t="n">
        <v>1197.5</v>
      </c>
      <c r="O1188" s="72">
        <f>ROUND(N1188*(1+$F$10),2)</f>
        <v/>
      </c>
      <c r="P1188" s="73">
        <f>ROUND(K1188*N1188,2)</f>
        <v/>
      </c>
      <c r="Q1188" s="74">
        <f>ROUND(L1188*N1188,2)</f>
        <v/>
      </c>
      <c r="R1188" s="75" t="n"/>
      <c r="S1188" s="76" t="n"/>
      <c r="T1188" s="77">
        <f>K1188-L1188</f>
        <v/>
      </c>
      <c r="U1188" s="77">
        <f>P1188-Q1188</f>
        <v/>
      </c>
      <c r="V1188" s="77">
        <f>ABS(U1188)</f>
        <v/>
      </c>
      <c r="W1188" s="78">
        <f>T1188/L1188</f>
        <v/>
      </c>
      <c r="X1188" s="79">
        <f>ABS(W1188)</f>
        <v/>
      </c>
    </row>
    <row r="1189" ht="11.4" customHeight="1">
      <c r="A1189" s="67" t="inlineStr">
        <is>
          <t>7086</t>
        </is>
      </c>
      <c r="B1189" s="67" t="inlineStr">
        <is>
          <t>1084</t>
        </is>
      </c>
      <c r="C1189" s="67" t="inlineStr">
        <is>
          <t>3791</t>
        </is>
      </c>
      <c r="D1189" s="68" t="inlineStr">
        <is>
          <t>11</t>
        </is>
      </c>
      <c r="E1189" s="68" t="inlineStr">
        <is>
          <t>Kiosk-ESSD</t>
        </is>
      </c>
      <c r="F1189" s="68" t="inlineStr">
        <is>
          <t>母店内甜品站ESSD</t>
        </is>
      </c>
      <c r="G1189" s="68" t="inlineStr">
        <is>
          <t>母店内甜品站ESSD</t>
        </is>
      </c>
      <c r="H1189" s="68" t="inlineStr">
        <is>
          <t>母店内甜品站-菜单牌安装</t>
        </is>
      </c>
      <c r="I1189" s="69" t="inlineStr">
        <is>
          <t>1000022137</t>
        </is>
      </c>
      <c r="J1189" s="69" t="inlineStr">
        <is>
          <t>甜品站-700*700灯箱安装</t>
        </is>
      </c>
      <c r="K1189" s="70" t="n"/>
      <c r="L1189" s="70" t="n"/>
      <c r="M1189" s="71" t="inlineStr">
        <is>
          <t>只</t>
        </is>
      </c>
      <c r="N1189" s="72" t="n">
        <v>158.95</v>
      </c>
      <c r="O1189" s="72">
        <f>ROUND(N1189*(1+$F$10),2)</f>
        <v/>
      </c>
      <c r="P1189" s="73">
        <f>ROUND(K1189*N1189,2)</f>
        <v/>
      </c>
      <c r="Q1189" s="74">
        <f>ROUND(L1189*N1189,2)</f>
        <v/>
      </c>
      <c r="R1189" s="75" t="n"/>
      <c r="S1189" s="76" t="n"/>
      <c r="T1189" s="77">
        <f>K1189-L1189</f>
        <v/>
      </c>
      <c r="U1189" s="77">
        <f>P1189-Q1189</f>
        <v/>
      </c>
      <c r="V1189" s="77">
        <f>ABS(U1189)</f>
        <v/>
      </c>
      <c r="W1189" s="78">
        <f>T1189/L1189</f>
        <v/>
      </c>
      <c r="X1189" s="79">
        <f>ABS(W1189)</f>
        <v/>
      </c>
    </row>
    <row r="1190" ht="11.4" customHeight="1">
      <c r="A1190" s="67" t="inlineStr">
        <is>
          <t>8056</t>
        </is>
      </c>
      <c r="B1190" s="67" t="inlineStr">
        <is>
          <t>1054</t>
        </is>
      </c>
      <c r="C1190" s="67" t="inlineStr">
        <is>
          <t>1611</t>
        </is>
      </c>
      <c r="D1190" s="68" t="inlineStr">
        <is>
          <t>21</t>
        </is>
      </c>
      <c r="E1190" s="68" t="inlineStr">
        <is>
          <t>Kiosk-LHI</t>
        </is>
      </c>
      <c r="F1190" s="68" t="inlineStr">
        <is>
          <t>独立甜品站装修</t>
        </is>
      </c>
      <c r="G1190" s="68" t="inlineStr">
        <is>
          <t>独立甜品站装修</t>
        </is>
      </c>
      <c r="H1190" s="68" t="inlineStr">
        <is>
          <t>独立甜品站-地面</t>
        </is>
      </c>
      <c r="I1190" s="69" t="inlineStr">
        <is>
          <t>1000021456</t>
        </is>
      </c>
      <c r="J1190" s="69" t="inlineStr">
        <is>
          <t>国产同质砖（琛雄，含不超过50mm厚的找平层）</t>
        </is>
      </c>
      <c r="K1190" s="70" t="n"/>
      <c r="L1190" s="70" t="n"/>
      <c r="M1190" s="71" t="inlineStr">
        <is>
          <t>m2</t>
        </is>
      </c>
      <c r="N1190" s="72" t="n">
        <v>180.78</v>
      </c>
      <c r="O1190" s="72">
        <f>ROUND(N1190*(1+$F$10),2)</f>
        <v/>
      </c>
      <c r="P1190" s="73">
        <f>ROUND(K1190*N1190,2)</f>
        <v/>
      </c>
      <c r="Q1190" s="74">
        <f>ROUND(L1190*N1190,2)</f>
        <v/>
      </c>
      <c r="R1190" s="75" t="n"/>
      <c r="S1190" s="76" t="n"/>
      <c r="T1190" s="77">
        <f>K1190-L1190</f>
        <v/>
      </c>
      <c r="U1190" s="77">
        <f>P1190-Q1190</f>
        <v/>
      </c>
      <c r="V1190" s="77">
        <f>ABS(U1190)</f>
        <v/>
      </c>
      <c r="W1190" s="78">
        <f>T1190/L1190</f>
        <v/>
      </c>
      <c r="X1190" s="79">
        <f>ABS(W1190)</f>
        <v/>
      </c>
    </row>
    <row r="1191" ht="11.4" customHeight="1">
      <c r="A1191" s="67" t="inlineStr">
        <is>
          <t>8056</t>
        </is>
      </c>
      <c r="B1191" s="67" t="inlineStr">
        <is>
          <t>1054</t>
        </is>
      </c>
      <c r="C1191" s="67" t="inlineStr">
        <is>
          <t>1611</t>
        </is>
      </c>
      <c r="D1191" s="68" t="inlineStr">
        <is>
          <t>21</t>
        </is>
      </c>
      <c r="E1191" s="68" t="inlineStr">
        <is>
          <t>Kiosk-LHI</t>
        </is>
      </c>
      <c r="F1191" s="68" t="inlineStr">
        <is>
          <t>独立甜品站装修</t>
        </is>
      </c>
      <c r="G1191" s="68" t="inlineStr">
        <is>
          <t>独立甜品站装修</t>
        </is>
      </c>
      <c r="H1191" s="68" t="inlineStr">
        <is>
          <t>独立甜品站-地面</t>
        </is>
      </c>
      <c r="I1191" s="69" t="inlineStr">
        <is>
          <t>1000021457</t>
        </is>
      </c>
      <c r="J1191" s="69" t="inlineStr">
        <is>
          <t>国产同质砖踢脚（琛雄）</t>
        </is>
      </c>
      <c r="K1191" s="70" t="n"/>
      <c r="L1191" s="70" t="n"/>
      <c r="M1191" s="71" t="inlineStr">
        <is>
          <t>米</t>
        </is>
      </c>
      <c r="N1191" s="72" t="n">
        <v>41.36</v>
      </c>
      <c r="O1191" s="72">
        <f>ROUND(N1191*(1+$F$10),2)</f>
        <v/>
      </c>
      <c r="P1191" s="73">
        <f>ROUND(K1191*N1191,2)</f>
        <v/>
      </c>
      <c r="Q1191" s="74">
        <f>ROUND(L1191*N1191,2)</f>
        <v/>
      </c>
      <c r="R1191" s="75" t="n"/>
      <c r="S1191" s="76" t="n"/>
      <c r="T1191" s="77">
        <f>K1191-L1191</f>
        <v/>
      </c>
      <c r="U1191" s="77">
        <f>P1191-Q1191</f>
        <v/>
      </c>
      <c r="V1191" s="77">
        <f>ABS(U1191)</f>
        <v/>
      </c>
      <c r="W1191" s="78">
        <f>T1191/L1191</f>
        <v/>
      </c>
      <c r="X1191" s="79">
        <f>ABS(W1191)</f>
        <v/>
      </c>
    </row>
    <row r="1192" ht="11.4" customHeight="1">
      <c r="A1192" s="67" t="inlineStr">
        <is>
          <t>8056</t>
        </is>
      </c>
      <c r="B1192" s="67" t="inlineStr">
        <is>
          <t>1054</t>
        </is>
      </c>
      <c r="C1192" s="67" t="inlineStr">
        <is>
          <t>1611</t>
        </is>
      </c>
      <c r="D1192" s="68" t="inlineStr">
        <is>
          <t>21</t>
        </is>
      </c>
      <c r="E1192" s="68" t="inlineStr">
        <is>
          <t>Kiosk-LHI</t>
        </is>
      </c>
      <c r="F1192" s="68" t="inlineStr">
        <is>
          <t>独立甜品站装修</t>
        </is>
      </c>
      <c r="G1192" s="68" t="inlineStr">
        <is>
          <t>独立甜品站装修</t>
        </is>
      </c>
      <c r="H1192" s="68" t="inlineStr">
        <is>
          <t>独立甜品站-地面</t>
        </is>
      </c>
      <c r="I1192" s="69" t="inlineStr">
        <is>
          <t>1000021643</t>
        </is>
      </c>
      <c r="J1192" s="69" t="inlineStr">
        <is>
          <t>国产同质砖（共荣，含不超过50mm厚的找平层）</t>
        </is>
      </c>
      <c r="K1192" s="70" t="n"/>
      <c r="L1192" s="70" t="n"/>
      <c r="M1192" s="71" t="inlineStr">
        <is>
          <t>m2</t>
        </is>
      </c>
      <c r="N1192" s="72" t="n">
        <v>160.21</v>
      </c>
      <c r="O1192" s="72">
        <f>ROUND(N1192*(1+$F$10),2)</f>
        <v/>
      </c>
      <c r="P1192" s="73">
        <f>ROUND(K1192*N1192,2)</f>
        <v/>
      </c>
      <c r="Q1192" s="74">
        <f>ROUND(L1192*N1192,2)</f>
        <v/>
      </c>
      <c r="R1192" s="75" t="n"/>
      <c r="S1192" s="76" t="n"/>
      <c r="T1192" s="77">
        <f>K1192-L1192</f>
        <v/>
      </c>
      <c r="U1192" s="77">
        <f>P1192-Q1192</f>
        <v/>
      </c>
      <c r="V1192" s="77">
        <f>ABS(U1192)</f>
        <v/>
      </c>
      <c r="W1192" s="78">
        <f>T1192/L1192</f>
        <v/>
      </c>
      <c r="X1192" s="79">
        <f>ABS(W1192)</f>
        <v/>
      </c>
    </row>
    <row r="1193" ht="11.4" customHeight="1">
      <c r="A1193" s="67" t="inlineStr">
        <is>
          <t>8056</t>
        </is>
      </c>
      <c r="B1193" s="67" t="inlineStr">
        <is>
          <t>1054</t>
        </is>
      </c>
      <c r="C1193" s="67" t="inlineStr">
        <is>
          <t>1611</t>
        </is>
      </c>
      <c r="D1193" s="68" t="inlineStr">
        <is>
          <t>21</t>
        </is>
      </c>
      <c r="E1193" s="68" t="inlineStr">
        <is>
          <t>Kiosk-LHI</t>
        </is>
      </c>
      <c r="F1193" s="68" t="inlineStr">
        <is>
          <t>独立甜品站装修</t>
        </is>
      </c>
      <c r="G1193" s="68" t="inlineStr">
        <is>
          <t>独立甜品站装修</t>
        </is>
      </c>
      <c r="H1193" s="68" t="inlineStr">
        <is>
          <t>独立甜品站-地面</t>
        </is>
      </c>
      <c r="I1193" s="69" t="inlineStr">
        <is>
          <t>1000021644</t>
        </is>
      </c>
      <c r="J1193" s="69" t="inlineStr">
        <is>
          <t>国产同质砖踢脚（共荣）</t>
        </is>
      </c>
      <c r="K1193" s="70" t="n"/>
      <c r="L1193" s="70" t="n"/>
      <c r="M1193" s="71" t="inlineStr">
        <is>
          <t>米</t>
        </is>
      </c>
      <c r="N1193" s="72" t="n">
        <v>38.94</v>
      </c>
      <c r="O1193" s="72">
        <f>ROUND(N1193*(1+$F$10),2)</f>
        <v/>
      </c>
      <c r="P1193" s="73">
        <f>ROUND(K1193*N1193,2)</f>
        <v/>
      </c>
      <c r="Q1193" s="74">
        <f>ROUND(L1193*N1193,2)</f>
        <v/>
      </c>
      <c r="R1193" s="75" t="n"/>
      <c r="S1193" s="76" t="n"/>
      <c r="T1193" s="77">
        <f>K1193-L1193</f>
        <v/>
      </c>
      <c r="U1193" s="77">
        <f>P1193-Q1193</f>
        <v/>
      </c>
      <c r="V1193" s="77">
        <f>ABS(U1193)</f>
        <v/>
      </c>
      <c r="W1193" s="78">
        <f>T1193/L1193</f>
        <v/>
      </c>
      <c r="X1193" s="79">
        <f>ABS(W1193)</f>
        <v/>
      </c>
    </row>
    <row r="1194" ht="11.4" customHeight="1">
      <c r="A1194" s="67" t="inlineStr">
        <is>
          <t>8056</t>
        </is>
      </c>
      <c r="B1194" s="67" t="inlineStr">
        <is>
          <t>1054</t>
        </is>
      </c>
      <c r="C1194" s="67" t="inlineStr">
        <is>
          <t>1611</t>
        </is>
      </c>
      <c r="D1194" s="68" t="inlineStr">
        <is>
          <t>21</t>
        </is>
      </c>
      <c r="E1194" s="68" t="inlineStr">
        <is>
          <t>Kiosk-LHI</t>
        </is>
      </c>
      <c r="F1194" s="68" t="inlineStr">
        <is>
          <t>独立甜品站装修</t>
        </is>
      </c>
      <c r="G1194" s="68" t="inlineStr">
        <is>
          <t>独立甜品站装修</t>
        </is>
      </c>
      <c r="H1194" s="68" t="inlineStr">
        <is>
          <t>独立甜品站-地面</t>
        </is>
      </c>
      <c r="I1194" s="69" t="inlineStr">
        <is>
          <t>1000021622</t>
        </is>
      </c>
      <c r="J1194" s="69" t="inlineStr">
        <is>
          <t>国产同质砖（冠军，含不超过50mm厚的找平层）</t>
        </is>
      </c>
      <c r="K1194" s="70" t="n"/>
      <c r="L1194" s="70" t="n"/>
      <c r="M1194" s="71" t="inlineStr">
        <is>
          <t>m2</t>
        </is>
      </c>
      <c r="N1194" s="72" t="n">
        <v>181.99</v>
      </c>
      <c r="O1194" s="72">
        <f>ROUND(N1194*(1+$F$10),2)</f>
        <v/>
      </c>
      <c r="P1194" s="73">
        <f>ROUND(K1194*N1194,2)</f>
        <v/>
      </c>
      <c r="Q1194" s="74">
        <f>ROUND(L1194*N1194,2)</f>
        <v/>
      </c>
      <c r="R1194" s="75" t="n"/>
      <c r="S1194" s="76" t="n"/>
      <c r="T1194" s="77">
        <f>K1194-L1194</f>
        <v/>
      </c>
      <c r="U1194" s="77">
        <f>P1194-Q1194</f>
        <v/>
      </c>
      <c r="V1194" s="77">
        <f>ABS(U1194)</f>
        <v/>
      </c>
      <c r="W1194" s="78">
        <f>T1194/L1194</f>
        <v/>
      </c>
      <c r="X1194" s="79">
        <f>ABS(W1194)</f>
        <v/>
      </c>
    </row>
    <row r="1195" ht="11.4" customHeight="1">
      <c r="A1195" s="67" t="inlineStr">
        <is>
          <t>8056</t>
        </is>
      </c>
      <c r="B1195" s="67" t="inlineStr">
        <is>
          <t>1054</t>
        </is>
      </c>
      <c r="C1195" s="67" t="inlineStr">
        <is>
          <t>1611</t>
        </is>
      </c>
      <c r="D1195" s="68" t="inlineStr">
        <is>
          <t>21</t>
        </is>
      </c>
      <c r="E1195" s="68" t="inlineStr">
        <is>
          <t>Kiosk-LHI</t>
        </is>
      </c>
      <c r="F1195" s="68" t="inlineStr">
        <is>
          <t>独立甜品站装修</t>
        </is>
      </c>
      <c r="G1195" s="68" t="inlineStr">
        <is>
          <t>独立甜品站装修</t>
        </is>
      </c>
      <c r="H1195" s="68" t="inlineStr">
        <is>
          <t>独立甜品站-地面</t>
        </is>
      </c>
      <c r="I1195" s="69" t="inlineStr">
        <is>
          <t>1000021623</t>
        </is>
      </c>
      <c r="J1195" s="69" t="inlineStr">
        <is>
          <t>国产同质砖踢脚（冠军）</t>
        </is>
      </c>
      <c r="K1195" s="70" t="n"/>
      <c r="L1195" s="70" t="n"/>
      <c r="M1195" s="71" t="inlineStr">
        <is>
          <t>米</t>
        </is>
      </c>
      <c r="N1195" s="72" t="n">
        <v>42.57</v>
      </c>
      <c r="O1195" s="72">
        <f>ROUND(N1195*(1+$F$10),2)</f>
        <v/>
      </c>
      <c r="P1195" s="73">
        <f>ROUND(K1195*N1195,2)</f>
        <v/>
      </c>
      <c r="Q1195" s="74">
        <f>ROUND(L1195*N1195,2)</f>
        <v/>
      </c>
      <c r="R1195" s="75" t="n"/>
      <c r="S1195" s="76" t="n"/>
      <c r="T1195" s="77">
        <f>K1195-L1195</f>
        <v/>
      </c>
      <c r="U1195" s="77">
        <f>P1195-Q1195</f>
        <v/>
      </c>
      <c r="V1195" s="77">
        <f>ABS(U1195)</f>
        <v/>
      </c>
      <c r="W1195" s="78">
        <f>T1195/L1195</f>
        <v/>
      </c>
      <c r="X1195" s="79">
        <f>ABS(W1195)</f>
        <v/>
      </c>
    </row>
    <row r="1196" ht="11.4" customHeight="1">
      <c r="A1196" s="67" t="inlineStr">
        <is>
          <t>8057</t>
        </is>
      </c>
      <c r="B1196" s="67" t="inlineStr">
        <is>
          <t>1055</t>
        </is>
      </c>
      <c r="C1196" s="67" t="inlineStr">
        <is>
          <t>1611</t>
        </is>
      </c>
      <c r="D1196" s="68" t="inlineStr">
        <is>
          <t>21</t>
        </is>
      </c>
      <c r="E1196" s="68" t="inlineStr">
        <is>
          <t>Kiosk-LHI</t>
        </is>
      </c>
      <c r="F1196" s="68" t="inlineStr">
        <is>
          <t>独立甜品站装修</t>
        </is>
      </c>
      <c r="G1196" s="68" t="inlineStr">
        <is>
          <t>独立甜品站装修</t>
        </is>
      </c>
      <c r="H1196" s="68" t="inlineStr">
        <is>
          <t>独立甜品站-墙面</t>
        </is>
      </c>
      <c r="I1196" s="69" t="inlineStr">
        <is>
          <t>1000021773</t>
        </is>
      </c>
      <c r="J1196" s="69" t="inlineStr">
        <is>
          <t>墙面基层（木工板或硅酸钙板）</t>
        </is>
      </c>
      <c r="K1196" s="70" t="n"/>
      <c r="L1196" s="70" t="n"/>
      <c r="M1196" s="71" t="inlineStr">
        <is>
          <t>m2</t>
        </is>
      </c>
      <c r="N1196" s="72" t="n">
        <v>114.06</v>
      </c>
      <c r="O1196" s="72">
        <f>ROUND(N1196*(1+$F$10),2)</f>
        <v/>
      </c>
      <c r="P1196" s="73">
        <f>ROUND(K1196*N1196,2)</f>
        <v/>
      </c>
      <c r="Q1196" s="74">
        <f>ROUND(L1196*N1196,2)</f>
        <v/>
      </c>
      <c r="R1196" s="75" t="n"/>
      <c r="S1196" s="76" t="n"/>
      <c r="T1196" s="77">
        <f>K1196-L1196</f>
        <v/>
      </c>
      <c r="U1196" s="77">
        <f>P1196-Q1196</f>
        <v/>
      </c>
      <c r="V1196" s="77">
        <f>ABS(U1196)</f>
        <v/>
      </c>
      <c r="W1196" s="78">
        <f>T1196/L1196</f>
        <v/>
      </c>
      <c r="X1196" s="79">
        <f>ABS(W1196)</f>
        <v/>
      </c>
    </row>
    <row r="1197" ht="11.4" customHeight="1">
      <c r="A1197" s="67" t="inlineStr">
        <is>
          <t>8057</t>
        </is>
      </c>
      <c r="B1197" s="67" t="inlineStr">
        <is>
          <t>1055</t>
        </is>
      </c>
      <c r="C1197" s="67" t="inlineStr">
        <is>
          <t>1611</t>
        </is>
      </c>
      <c r="D1197" s="68" t="inlineStr">
        <is>
          <t>21</t>
        </is>
      </c>
      <c r="E1197" s="68" t="inlineStr">
        <is>
          <t>Kiosk-LHI</t>
        </is>
      </c>
      <c r="F1197" s="68" t="inlineStr">
        <is>
          <t>独立甜品站装修</t>
        </is>
      </c>
      <c r="G1197" s="68" t="inlineStr">
        <is>
          <t>独立甜品站装修</t>
        </is>
      </c>
      <c r="H1197" s="68" t="inlineStr">
        <is>
          <t>独立甜品站-墙面</t>
        </is>
      </c>
      <c r="I1197" s="69" t="inlineStr">
        <is>
          <t>1000021465</t>
        </is>
      </c>
      <c r="J1197" s="69" t="inlineStr">
        <is>
          <t>墙面 /富美家木纹色防火板（不含基层）</t>
        </is>
      </c>
      <c r="K1197" s="70" t="n"/>
      <c r="L1197" s="70" t="n"/>
      <c r="M1197" s="71" t="inlineStr">
        <is>
          <t>m2</t>
        </is>
      </c>
      <c r="N1197" s="72" t="n">
        <v>197.83</v>
      </c>
      <c r="O1197" s="72">
        <f>ROUND(N1197*(1+$F$10),2)</f>
        <v/>
      </c>
      <c r="P1197" s="73">
        <f>ROUND(K1197*N1197,2)</f>
        <v/>
      </c>
      <c r="Q1197" s="74">
        <f>ROUND(L1197*N1197,2)</f>
        <v/>
      </c>
      <c r="R1197" s="75" t="n"/>
      <c r="S1197" s="76" t="n"/>
      <c r="T1197" s="77">
        <f>K1197-L1197</f>
        <v/>
      </c>
      <c r="U1197" s="77">
        <f>P1197-Q1197</f>
        <v/>
      </c>
      <c r="V1197" s="77">
        <f>ABS(U1197)</f>
        <v/>
      </c>
      <c r="W1197" s="78">
        <f>T1197/L1197</f>
        <v/>
      </c>
      <c r="X1197" s="79">
        <f>ABS(W1197)</f>
        <v/>
      </c>
    </row>
    <row r="1198" ht="11.4" customHeight="1">
      <c r="A1198" s="67" t="inlineStr">
        <is>
          <t>8057</t>
        </is>
      </c>
      <c r="B1198" s="67" t="inlineStr">
        <is>
          <t>1055</t>
        </is>
      </c>
      <c r="C1198" s="67" t="inlineStr">
        <is>
          <t>1611</t>
        </is>
      </c>
      <c r="D1198" s="68" t="inlineStr">
        <is>
          <t>21</t>
        </is>
      </c>
      <c r="E1198" s="68" t="inlineStr">
        <is>
          <t>Kiosk-LHI</t>
        </is>
      </c>
      <c r="F1198" s="68" t="inlineStr">
        <is>
          <t>独立甜品站装修</t>
        </is>
      </c>
      <c r="G1198" s="68" t="inlineStr">
        <is>
          <t>独立甜品站装修</t>
        </is>
      </c>
      <c r="H1198" s="68" t="inlineStr">
        <is>
          <t>独立甜品站-墙面</t>
        </is>
      </c>
      <c r="I1198" s="69" t="inlineStr">
        <is>
          <t>1000040124</t>
        </is>
      </c>
      <c r="J1198" s="69" t="inlineStr">
        <is>
          <t>墙面 /富美家深灰色防火板（不含基层）</t>
        </is>
      </c>
      <c r="K1198" s="70" t="n"/>
      <c r="L1198" s="70" t="n"/>
      <c r="M1198" s="71" t="inlineStr">
        <is>
          <t>m2</t>
        </is>
      </c>
      <c r="N1198" s="72" t="n">
        <v>182.9</v>
      </c>
      <c r="O1198" s="72">
        <f>ROUND(N1198*(1+$F$10),2)</f>
        <v/>
      </c>
      <c r="P1198" s="73">
        <f>ROUND(K1198*N1198,2)</f>
        <v/>
      </c>
      <c r="Q1198" s="74">
        <f>ROUND(L1198*N1198,2)</f>
        <v/>
      </c>
      <c r="R1198" s="75" t="n"/>
      <c r="S1198" s="76" t="n"/>
      <c r="T1198" s="77">
        <f>K1198-L1198</f>
        <v/>
      </c>
      <c r="U1198" s="77">
        <f>P1198-Q1198</f>
        <v/>
      </c>
      <c r="V1198" s="77">
        <f>ABS(U1198)</f>
        <v/>
      </c>
      <c r="W1198" s="78">
        <f>T1198/L1198</f>
        <v/>
      </c>
      <c r="X1198" s="79">
        <f>ABS(W1198)</f>
        <v/>
      </c>
    </row>
    <row r="1199" ht="11.4" customHeight="1">
      <c r="A1199" s="67" t="inlineStr">
        <is>
          <t>8057</t>
        </is>
      </c>
      <c r="B1199" s="67" t="inlineStr">
        <is>
          <t>1055</t>
        </is>
      </c>
      <c r="C1199" s="67" t="inlineStr">
        <is>
          <t>1611</t>
        </is>
      </c>
      <c r="D1199" s="68" t="inlineStr">
        <is>
          <t>21</t>
        </is>
      </c>
      <c r="E1199" s="68" t="inlineStr">
        <is>
          <t>Kiosk-LHI</t>
        </is>
      </c>
      <c r="F1199" s="68" t="inlineStr">
        <is>
          <t>独立甜品站装修</t>
        </is>
      </c>
      <c r="G1199" s="68" t="inlineStr">
        <is>
          <t>独立甜品站装修</t>
        </is>
      </c>
      <c r="H1199" s="68" t="inlineStr">
        <is>
          <t>独立甜品站-墙面</t>
        </is>
      </c>
      <c r="I1199" s="69" t="inlineStr">
        <is>
          <t>1000021625</t>
        </is>
      </c>
      <c r="J1199" s="69" t="inlineStr">
        <is>
          <t>墙面 /威盛亚木纹色防火板（不含基层）</t>
        </is>
      </c>
      <c r="K1199" s="70" t="n"/>
      <c r="L1199" s="70" t="n"/>
      <c r="M1199" s="71" t="inlineStr">
        <is>
          <t>m2</t>
        </is>
      </c>
      <c r="N1199" s="72" t="n">
        <v>186.66</v>
      </c>
      <c r="O1199" s="72">
        <f>ROUND(N1199*(1+$F$10),2)</f>
        <v/>
      </c>
      <c r="P1199" s="73">
        <f>ROUND(K1199*N1199,2)</f>
        <v/>
      </c>
      <c r="Q1199" s="74">
        <f>ROUND(L1199*N1199,2)</f>
        <v/>
      </c>
      <c r="R1199" s="75" t="n"/>
      <c r="S1199" s="76" t="n"/>
      <c r="T1199" s="77">
        <f>K1199-L1199</f>
        <v/>
      </c>
      <c r="U1199" s="77">
        <f>P1199-Q1199</f>
        <v/>
      </c>
      <c r="V1199" s="77">
        <f>ABS(U1199)</f>
        <v/>
      </c>
      <c r="W1199" s="78">
        <f>T1199/L1199</f>
        <v/>
      </c>
      <c r="X1199" s="79">
        <f>ABS(W1199)</f>
        <v/>
      </c>
    </row>
    <row r="1200" ht="11.4" customHeight="1">
      <c r="A1200" s="67" t="inlineStr">
        <is>
          <t>8057</t>
        </is>
      </c>
      <c r="B1200" s="67" t="inlineStr">
        <is>
          <t>1055</t>
        </is>
      </c>
      <c r="C1200" s="67" t="inlineStr">
        <is>
          <t>1611</t>
        </is>
      </c>
      <c r="D1200" s="68" t="inlineStr">
        <is>
          <t>21</t>
        </is>
      </c>
      <c r="E1200" s="68" t="inlineStr">
        <is>
          <t>Kiosk-LHI</t>
        </is>
      </c>
      <c r="F1200" s="68" t="inlineStr">
        <is>
          <t>独立甜品站装修</t>
        </is>
      </c>
      <c r="G1200" s="68" t="inlineStr">
        <is>
          <t>独立甜品站装修</t>
        </is>
      </c>
      <c r="H1200" s="68" t="inlineStr">
        <is>
          <t>独立甜品站-墙面</t>
        </is>
      </c>
      <c r="I1200" s="69" t="inlineStr">
        <is>
          <t>1000021624</t>
        </is>
      </c>
      <c r="J1200" s="69" t="inlineStr">
        <is>
          <t>墙面 /威盛亚深灰色防火板（不含基层）</t>
        </is>
      </c>
      <c r="K1200" s="70" t="n"/>
      <c r="L1200" s="70" t="n"/>
      <c r="M1200" s="71" t="inlineStr">
        <is>
          <t>m2</t>
        </is>
      </c>
      <c r="N1200" s="72" t="n">
        <v>174.35</v>
      </c>
      <c r="O1200" s="72">
        <f>ROUND(N1200*(1+$F$10),2)</f>
        <v/>
      </c>
      <c r="P1200" s="73">
        <f>ROUND(K1200*N1200,2)</f>
        <v/>
      </c>
      <c r="Q1200" s="74">
        <f>ROUND(L1200*N1200,2)</f>
        <v/>
      </c>
      <c r="R1200" s="75" t="n"/>
      <c r="S1200" s="76" t="n"/>
      <c r="T1200" s="77">
        <f>K1200-L1200</f>
        <v/>
      </c>
      <c r="U1200" s="77">
        <f>P1200-Q1200</f>
        <v/>
      </c>
      <c r="V1200" s="77">
        <f>ABS(U1200)</f>
        <v/>
      </c>
      <c r="W1200" s="78">
        <f>T1200/L1200</f>
        <v/>
      </c>
      <c r="X1200" s="79">
        <f>ABS(W1200)</f>
        <v/>
      </c>
    </row>
    <row r="1201" ht="11.4" customHeight="1">
      <c r="A1201" s="67" t="inlineStr">
        <is>
          <t>8057</t>
        </is>
      </c>
      <c r="B1201" s="67" t="inlineStr">
        <is>
          <t>1055</t>
        </is>
      </c>
      <c r="C1201" s="67" t="inlineStr">
        <is>
          <t>1611</t>
        </is>
      </c>
      <c r="D1201" s="68" t="inlineStr">
        <is>
          <t>21</t>
        </is>
      </c>
      <c r="E1201" s="68" t="inlineStr">
        <is>
          <t>Kiosk-LHI</t>
        </is>
      </c>
      <c r="F1201" s="68" t="inlineStr">
        <is>
          <t>独立甜品站装修</t>
        </is>
      </c>
      <c r="G1201" s="68" t="inlineStr">
        <is>
          <t>独立甜品站装修</t>
        </is>
      </c>
      <c r="H1201" s="68" t="inlineStr">
        <is>
          <t>独立甜品站-墙面</t>
        </is>
      </c>
      <c r="I1201" s="69" t="inlineStr">
        <is>
          <t>1000021774</t>
        </is>
      </c>
      <c r="J1201" s="69" t="inlineStr">
        <is>
          <t>A级防火铝型材墙板-墙面基层（方管龙骨）</t>
        </is>
      </c>
      <c r="K1201" s="70" t="n"/>
      <c r="L1201" s="70" t="n"/>
      <c r="M1201" s="71" t="inlineStr">
        <is>
          <t>m2</t>
        </is>
      </c>
      <c r="N1201" s="72" t="n">
        <v>70.84999999999999</v>
      </c>
      <c r="O1201" s="72">
        <f>ROUND(N1201*(1+$F$10),2)</f>
        <v/>
      </c>
      <c r="P1201" s="73">
        <f>ROUND(K1201*N1201,2)</f>
        <v/>
      </c>
      <c r="Q1201" s="74">
        <f>ROUND(L1201*N1201,2)</f>
        <v/>
      </c>
      <c r="R1201" s="75" t="n"/>
      <c r="S1201" s="76" t="n"/>
      <c r="T1201" s="77">
        <f>K1201-L1201</f>
        <v/>
      </c>
      <c r="U1201" s="77">
        <f>P1201-Q1201</f>
        <v/>
      </c>
      <c r="V1201" s="77">
        <f>ABS(U1201)</f>
        <v/>
      </c>
      <c r="W1201" s="78">
        <f>T1201/L1201</f>
        <v/>
      </c>
      <c r="X1201" s="79">
        <f>ABS(W1201)</f>
        <v/>
      </c>
    </row>
    <row r="1202" ht="11.4" customHeight="1">
      <c r="A1202" s="67" t="inlineStr">
        <is>
          <t>8057</t>
        </is>
      </c>
      <c r="B1202" s="67" t="inlineStr">
        <is>
          <t>1055</t>
        </is>
      </c>
      <c r="C1202" s="67" t="inlineStr">
        <is>
          <t>1611</t>
        </is>
      </c>
      <c r="D1202" s="68" t="inlineStr">
        <is>
          <t>21</t>
        </is>
      </c>
      <c r="E1202" s="68" t="inlineStr">
        <is>
          <t>Kiosk-LHI</t>
        </is>
      </c>
      <c r="F1202" s="68" t="inlineStr">
        <is>
          <t>独立甜品站装修</t>
        </is>
      </c>
      <c r="G1202" s="68" t="inlineStr">
        <is>
          <t>独立甜品站装修</t>
        </is>
      </c>
      <c r="H1202" s="68" t="inlineStr">
        <is>
          <t>独立甜品站-墙面</t>
        </is>
      </c>
      <c r="I1202" s="69" t="inlineStr">
        <is>
          <t>1000021775</t>
        </is>
      </c>
      <c r="J1202" s="69" t="inlineStr">
        <is>
          <t>A级防火铝型材墙板-主材</t>
        </is>
      </c>
      <c r="K1202" s="70" t="n"/>
      <c r="L1202" s="70" t="n"/>
      <c r="M1202" s="71" t="inlineStr">
        <is>
          <t>m2</t>
        </is>
      </c>
      <c r="N1202" s="72" t="n">
        <v>307.56</v>
      </c>
      <c r="O1202" s="72">
        <f>ROUND(N1202*(1+$F$10),2)</f>
        <v/>
      </c>
      <c r="P1202" s="73">
        <f>ROUND(K1202*N1202,2)</f>
        <v/>
      </c>
      <c r="Q1202" s="74">
        <f>ROUND(L1202*N1202,2)</f>
        <v/>
      </c>
      <c r="R1202" s="75" t="n"/>
      <c r="S1202" s="76" t="n"/>
      <c r="T1202" s="77">
        <f>K1202-L1202</f>
        <v/>
      </c>
      <c r="U1202" s="77">
        <f>P1202-Q1202</f>
        <v/>
      </c>
      <c r="V1202" s="77">
        <f>ABS(U1202)</f>
        <v/>
      </c>
      <c r="W1202" s="78">
        <f>T1202/L1202</f>
        <v/>
      </c>
      <c r="X1202" s="79">
        <f>ABS(W1202)</f>
        <v/>
      </c>
    </row>
    <row r="1203" ht="11.4" customHeight="1">
      <c r="A1203" s="67" t="inlineStr">
        <is>
          <t>8057</t>
        </is>
      </c>
      <c r="B1203" s="67" t="inlineStr">
        <is>
          <t>1055</t>
        </is>
      </c>
      <c r="C1203" s="67" t="inlineStr">
        <is>
          <t>1611</t>
        </is>
      </c>
      <c r="D1203" s="68" t="inlineStr">
        <is>
          <t>21</t>
        </is>
      </c>
      <c r="E1203" s="68" t="inlineStr">
        <is>
          <t>Kiosk-LHI</t>
        </is>
      </c>
      <c r="F1203" s="68" t="inlineStr">
        <is>
          <t>独立甜品站装修</t>
        </is>
      </c>
      <c r="G1203" s="68" t="inlineStr">
        <is>
          <t>独立甜品站装修</t>
        </is>
      </c>
      <c r="H1203" s="68" t="inlineStr">
        <is>
          <t>独立甜品站-墙面</t>
        </is>
      </c>
      <c r="I1203" s="69" t="inlineStr">
        <is>
          <t>1000021776</t>
        </is>
      </c>
      <c r="J1203" s="69" t="inlineStr">
        <is>
          <t>A级防火铝型材墙板--安装</t>
        </is>
      </c>
      <c r="K1203" s="70" t="n"/>
      <c r="L1203" s="70" t="n"/>
      <c r="M1203" s="71" t="inlineStr">
        <is>
          <t>m2</t>
        </is>
      </c>
      <c r="N1203" s="72" t="n">
        <v>39.59</v>
      </c>
      <c r="O1203" s="72">
        <f>ROUND(N1203*(1+$F$10),2)</f>
        <v/>
      </c>
      <c r="P1203" s="73">
        <f>ROUND(K1203*N1203,2)</f>
        <v/>
      </c>
      <c r="Q1203" s="74">
        <f>ROUND(L1203*N1203,2)</f>
        <v/>
      </c>
      <c r="R1203" s="75" t="n"/>
      <c r="S1203" s="76" t="n"/>
      <c r="T1203" s="77">
        <f>K1203-L1203</f>
        <v/>
      </c>
      <c r="U1203" s="77">
        <f>P1203-Q1203</f>
        <v/>
      </c>
      <c r="V1203" s="77">
        <f>ABS(U1203)</f>
        <v/>
      </c>
      <c r="W1203" s="78">
        <f>T1203/L1203</f>
        <v/>
      </c>
      <c r="X1203" s="79">
        <f>ABS(W1203)</f>
        <v/>
      </c>
    </row>
    <row r="1204" ht="11.4" customHeight="1">
      <c r="A1204" s="67" t="inlineStr">
        <is>
          <t>8057</t>
        </is>
      </c>
      <c r="B1204" s="67" t="inlineStr">
        <is>
          <t>1055</t>
        </is>
      </c>
      <c r="C1204" s="67" t="inlineStr">
        <is>
          <t>1611</t>
        </is>
      </c>
      <c r="D1204" s="68" t="inlineStr">
        <is>
          <t>21</t>
        </is>
      </c>
      <c r="E1204" s="68" t="inlineStr">
        <is>
          <t>Kiosk-LHI</t>
        </is>
      </c>
      <c r="F1204" s="68" t="inlineStr">
        <is>
          <t>独立甜品站装修</t>
        </is>
      </c>
      <c r="G1204" s="68" t="inlineStr">
        <is>
          <t>独立甜品站装修</t>
        </is>
      </c>
      <c r="H1204" s="68" t="inlineStr">
        <is>
          <t>独立甜品站-墙面</t>
        </is>
      </c>
      <c r="I1204" s="69" t="inlineStr">
        <is>
          <t>1000021779</t>
        </is>
      </c>
      <c r="J1204" s="69" t="inlineStr">
        <is>
          <t>装饰画墙面基层</t>
        </is>
      </c>
      <c r="K1204" s="70" t="n"/>
      <c r="L1204" s="70" t="n"/>
      <c r="M1204" s="71" t="inlineStr">
        <is>
          <t>m2</t>
        </is>
      </c>
      <c r="N1204" s="72" t="n">
        <v>205.04</v>
      </c>
      <c r="O1204" s="72">
        <f>ROUND(N1204*(1+$F$10),2)</f>
        <v/>
      </c>
      <c r="P1204" s="73">
        <f>ROUND(K1204*N1204,2)</f>
        <v/>
      </c>
      <c r="Q1204" s="74">
        <f>ROUND(L1204*N1204,2)</f>
        <v/>
      </c>
      <c r="R1204" s="75" t="n"/>
      <c r="S1204" s="76" t="n"/>
      <c r="T1204" s="77">
        <f>K1204-L1204</f>
        <v/>
      </c>
      <c r="U1204" s="77">
        <f>P1204-Q1204</f>
        <v/>
      </c>
      <c r="V1204" s="77">
        <f>ABS(U1204)</f>
        <v/>
      </c>
      <c r="W1204" s="78">
        <f>T1204/L1204</f>
        <v/>
      </c>
      <c r="X1204" s="79">
        <f>ABS(W1204)</f>
        <v/>
      </c>
    </row>
    <row r="1205" ht="11.4" customHeight="1">
      <c r="A1205" s="67" t="inlineStr">
        <is>
          <t>66</t>
        </is>
      </c>
      <c r="B1205" s="67" t="inlineStr">
        <is>
          <t>1064</t>
        </is>
      </c>
      <c r="C1205" s="67" t="inlineStr">
        <is>
          <t>1644</t>
        </is>
      </c>
      <c r="D1205" s="68" t="inlineStr">
        <is>
          <t>21</t>
        </is>
      </c>
      <c r="E1205" s="68" t="inlineStr">
        <is>
          <t>Kiosk-LHI</t>
        </is>
      </c>
      <c r="F1205" s="68" t="inlineStr">
        <is>
          <t>独立甜品站装修</t>
        </is>
      </c>
      <c r="G1205" s="68" t="inlineStr">
        <is>
          <t>独立甜品站装修</t>
        </is>
      </c>
      <c r="H1205" s="68" t="inlineStr">
        <is>
          <t>独立甜品站-墙画</t>
        </is>
      </c>
      <c r="I1205" s="69" t="inlineStr">
        <is>
          <t>1000021627</t>
        </is>
      </c>
      <c r="J1205" s="69" t="inlineStr">
        <is>
          <t>墙画（仅主材-1年期）</t>
        </is>
      </c>
      <c r="K1205" s="70" t="n"/>
      <c r="L1205" s="70" t="n"/>
      <c r="M1205" s="71" t="inlineStr">
        <is>
          <t>m2</t>
        </is>
      </c>
      <c r="N1205" s="72" t="n"/>
      <c r="O1205" s="72">
        <f>ROUND(N1205*(1+$F$10),2)</f>
        <v/>
      </c>
      <c r="P1205" s="73">
        <f>ROUND(K1205*N1205,2)</f>
        <v/>
      </c>
      <c r="Q1205" s="74">
        <f>ROUND(L1205*N1205,2)</f>
        <v/>
      </c>
      <c r="R1205" s="75" t="n"/>
      <c r="S1205" s="76" t="n"/>
      <c r="T1205" s="77">
        <f>K1205-L1205</f>
        <v/>
      </c>
      <c r="U1205" s="77">
        <f>P1205-Q1205</f>
        <v/>
      </c>
      <c r="V1205" s="77">
        <f>ABS(U1205)</f>
        <v/>
      </c>
      <c r="W1205" s="78">
        <f>T1205/L1205</f>
        <v/>
      </c>
      <c r="X1205" s="79">
        <f>ABS(W1205)</f>
        <v/>
      </c>
    </row>
    <row r="1206" ht="11.4" customHeight="1">
      <c r="A1206" s="67" t="inlineStr">
        <is>
          <t>66</t>
        </is>
      </c>
      <c r="B1206" s="67" t="inlineStr">
        <is>
          <t>1064</t>
        </is>
      </c>
      <c r="C1206" s="67" t="inlineStr">
        <is>
          <t>1644</t>
        </is>
      </c>
      <c r="D1206" s="68" t="inlineStr">
        <is>
          <t>21</t>
        </is>
      </c>
      <c r="E1206" s="68" t="inlineStr">
        <is>
          <t>Kiosk-LHI</t>
        </is>
      </c>
      <c r="F1206" s="68" t="inlineStr">
        <is>
          <t>独立甜品站装修</t>
        </is>
      </c>
      <c r="G1206" s="68" t="inlineStr">
        <is>
          <t>独立甜品站装修</t>
        </is>
      </c>
      <c r="H1206" s="68" t="inlineStr">
        <is>
          <t>独立甜品站-墙画</t>
        </is>
      </c>
      <c r="I1206" s="69" t="inlineStr">
        <is>
          <t>1000021484</t>
        </is>
      </c>
      <c r="J1206" s="69" t="inlineStr">
        <is>
          <t>墙画（仅主材-3年期）</t>
        </is>
      </c>
      <c r="K1206" s="70" t="n"/>
      <c r="L1206" s="70" t="n"/>
      <c r="M1206" s="71" t="inlineStr">
        <is>
          <t>m2</t>
        </is>
      </c>
      <c r="N1206" s="72" t="n"/>
      <c r="O1206" s="72">
        <f>ROUND(N1206*(1+$F$10),2)</f>
        <v/>
      </c>
      <c r="P1206" s="73">
        <f>ROUND(K1206*N1206,2)</f>
        <v/>
      </c>
      <c r="Q1206" s="74">
        <f>ROUND(L1206*N1206,2)</f>
        <v/>
      </c>
      <c r="R1206" s="75" t="n"/>
      <c r="S1206" s="76" t="n"/>
      <c r="T1206" s="77">
        <f>K1206-L1206</f>
        <v/>
      </c>
      <c r="U1206" s="77">
        <f>P1206-Q1206</f>
        <v/>
      </c>
      <c r="V1206" s="77">
        <f>ABS(U1206)</f>
        <v/>
      </c>
      <c r="W1206" s="78">
        <f>T1206/L1206</f>
        <v/>
      </c>
      <c r="X1206" s="79">
        <f>ABS(W1206)</f>
        <v/>
      </c>
    </row>
    <row r="1207" ht="11.4" customHeight="1">
      <c r="A1207" s="67" t="inlineStr">
        <is>
          <t>66</t>
        </is>
      </c>
      <c r="B1207" s="67" t="inlineStr">
        <is>
          <t>1064</t>
        </is>
      </c>
      <c r="C1207" s="67" t="inlineStr">
        <is>
          <t>1644</t>
        </is>
      </c>
      <c r="D1207" s="68" t="inlineStr">
        <is>
          <t>21</t>
        </is>
      </c>
      <c r="E1207" s="68" t="inlineStr">
        <is>
          <t>Kiosk-LHI</t>
        </is>
      </c>
      <c r="F1207" s="68" t="inlineStr">
        <is>
          <t>独立甜品站装修</t>
        </is>
      </c>
      <c r="G1207" s="68" t="inlineStr">
        <is>
          <t>独立甜品站装修</t>
        </is>
      </c>
      <c r="H1207" s="68" t="inlineStr">
        <is>
          <t>独立甜品站-墙画</t>
        </is>
      </c>
      <c r="I1207" s="69" t="inlineStr">
        <is>
          <t>1000021628</t>
        </is>
      </c>
      <c r="J1207" s="69" t="inlineStr">
        <is>
          <t>墙画（仅主材-5年期）</t>
        </is>
      </c>
      <c r="K1207" s="70" t="n"/>
      <c r="L1207" s="70" t="n"/>
      <c r="M1207" s="71" t="inlineStr">
        <is>
          <t>m2</t>
        </is>
      </c>
      <c r="N1207" s="72" t="n"/>
      <c r="O1207" s="72">
        <f>ROUND(N1207*(1+$F$10),2)</f>
        <v/>
      </c>
      <c r="P1207" s="73">
        <f>ROUND(K1207*N1207,2)</f>
        <v/>
      </c>
      <c r="Q1207" s="74">
        <f>ROUND(L1207*N1207,2)</f>
        <v/>
      </c>
      <c r="R1207" s="75" t="n"/>
      <c r="S1207" s="76" t="n"/>
      <c r="T1207" s="77">
        <f>K1207-L1207</f>
        <v/>
      </c>
      <c r="U1207" s="77">
        <f>P1207-Q1207</f>
        <v/>
      </c>
      <c r="V1207" s="77">
        <f>ABS(U1207)</f>
        <v/>
      </c>
      <c r="W1207" s="78">
        <f>T1207/L1207</f>
        <v/>
      </c>
      <c r="X1207" s="79">
        <f>ABS(W1207)</f>
        <v/>
      </c>
    </row>
    <row r="1208" ht="11.4" customHeight="1">
      <c r="A1208" s="67" t="inlineStr">
        <is>
          <t>66</t>
        </is>
      </c>
      <c r="B1208" s="67" t="inlineStr">
        <is>
          <t>1064</t>
        </is>
      </c>
      <c r="C1208" s="67" t="inlineStr">
        <is>
          <t>1644</t>
        </is>
      </c>
      <c r="D1208" s="68" t="inlineStr">
        <is>
          <t>21</t>
        </is>
      </c>
      <c r="E1208" s="68" t="inlineStr">
        <is>
          <t>Kiosk-LHI</t>
        </is>
      </c>
      <c r="F1208" s="68" t="inlineStr">
        <is>
          <t>独立甜品站装修</t>
        </is>
      </c>
      <c r="G1208" s="68" t="inlineStr">
        <is>
          <t>独立甜品站装修</t>
        </is>
      </c>
      <c r="H1208" s="68" t="inlineStr">
        <is>
          <t>独立甜品站-墙画</t>
        </is>
      </c>
      <c r="I1208" s="69" t="inlineStr">
        <is>
          <t>1000021780</t>
        </is>
      </c>
      <c r="J1208" s="69" t="inlineStr">
        <is>
          <t>墙画安装</t>
        </is>
      </c>
      <c r="K1208" s="70" t="n"/>
      <c r="L1208" s="70" t="n"/>
      <c r="M1208" s="71" t="inlineStr">
        <is>
          <t>m2</t>
        </is>
      </c>
      <c r="N1208" s="72" t="n">
        <v>58</v>
      </c>
      <c r="O1208" s="72">
        <f>ROUND(N1208*(1+$F$10),2)</f>
        <v/>
      </c>
      <c r="P1208" s="73">
        <f>ROUND(K1208*N1208,2)</f>
        <v/>
      </c>
      <c r="Q1208" s="74">
        <f>ROUND(L1208*N1208,2)</f>
        <v/>
      </c>
      <c r="R1208" s="75" t="n"/>
      <c r="S1208" s="76" t="n"/>
      <c r="T1208" s="77">
        <f>K1208-L1208</f>
        <v/>
      </c>
      <c r="U1208" s="77">
        <f>P1208-Q1208</f>
        <v/>
      </c>
      <c r="V1208" s="77">
        <f>ABS(U1208)</f>
        <v/>
      </c>
      <c r="W1208" s="78">
        <f>T1208/L1208</f>
        <v/>
      </c>
      <c r="X1208" s="79">
        <f>ABS(W1208)</f>
        <v/>
      </c>
    </row>
    <row r="1209" ht="11.4" customHeight="1">
      <c r="A1209" s="67" t="inlineStr">
        <is>
          <t>8057</t>
        </is>
      </c>
      <c r="B1209" s="67" t="inlineStr">
        <is>
          <t>1053</t>
        </is>
      </c>
      <c r="C1209" s="67" t="inlineStr">
        <is>
          <t>1611</t>
        </is>
      </c>
      <c r="D1209" s="68" t="inlineStr">
        <is>
          <t>21</t>
        </is>
      </c>
      <c r="E1209" s="68" t="inlineStr">
        <is>
          <t>Kiosk-LHI</t>
        </is>
      </c>
      <c r="F1209" s="68" t="inlineStr">
        <is>
          <t>独立甜品站装修</t>
        </is>
      </c>
      <c r="G1209" s="68" t="inlineStr">
        <is>
          <t>独立甜品站装修</t>
        </is>
      </c>
      <c r="H1209" s="68" t="inlineStr">
        <is>
          <t>独立甜品站-墙面</t>
        </is>
      </c>
      <c r="I1209" s="69" t="inlineStr">
        <is>
          <t>1000021518</t>
        </is>
      </c>
      <c r="J1209" s="69" t="inlineStr">
        <is>
          <t>200x200x8mm白瓷砖（琛雄）</t>
        </is>
      </c>
      <c r="K1209" s="70" t="n"/>
      <c r="L1209" s="70" t="n"/>
      <c r="M1209" s="71" t="inlineStr">
        <is>
          <t>m2</t>
        </is>
      </c>
      <c r="N1209" s="72" t="n">
        <v>118.11</v>
      </c>
      <c r="O1209" s="72">
        <f>ROUND(N1209*(1+$F$10),2)</f>
        <v/>
      </c>
      <c r="P1209" s="73">
        <f>ROUND(K1209*N1209,2)</f>
        <v/>
      </c>
      <c r="Q1209" s="74">
        <f>ROUND(L1209*N1209,2)</f>
        <v/>
      </c>
      <c r="R1209" s="75" t="n"/>
      <c r="S1209" s="76" t="n"/>
      <c r="T1209" s="77">
        <f>K1209-L1209</f>
        <v/>
      </c>
      <c r="U1209" s="77">
        <f>P1209-Q1209</f>
        <v/>
      </c>
      <c r="V1209" s="77">
        <f>ABS(U1209)</f>
        <v/>
      </c>
      <c r="W1209" s="78">
        <f>T1209/L1209</f>
        <v/>
      </c>
      <c r="X1209" s="79">
        <f>ABS(W1209)</f>
        <v/>
      </c>
    </row>
    <row r="1210" ht="11.4" customHeight="1">
      <c r="A1210" s="67" t="inlineStr">
        <is>
          <t>8057</t>
        </is>
      </c>
      <c r="B1210" s="67" t="inlineStr">
        <is>
          <t>1053</t>
        </is>
      </c>
      <c r="C1210" s="67" t="inlineStr">
        <is>
          <t>1611</t>
        </is>
      </c>
      <c r="D1210" s="68" t="inlineStr">
        <is>
          <t>21</t>
        </is>
      </c>
      <c r="E1210" s="68" t="inlineStr">
        <is>
          <t>Kiosk-LHI</t>
        </is>
      </c>
      <c r="F1210" s="68" t="inlineStr">
        <is>
          <t>独立甜品站装修</t>
        </is>
      </c>
      <c r="G1210" s="68" t="inlineStr">
        <is>
          <t>独立甜品站装修</t>
        </is>
      </c>
      <c r="H1210" s="68" t="inlineStr">
        <is>
          <t>独立甜品站-墙面</t>
        </is>
      </c>
      <c r="I1210" s="69" t="inlineStr">
        <is>
          <t>1000021656</t>
        </is>
      </c>
      <c r="J1210" s="69" t="inlineStr">
        <is>
          <t>200x200x8mm白瓷砖（共荣）</t>
        </is>
      </c>
      <c r="K1210" s="70" t="n"/>
      <c r="L1210" s="70" t="n"/>
      <c r="M1210" s="71" t="inlineStr">
        <is>
          <t>m2</t>
        </is>
      </c>
      <c r="N1210" s="72" t="n">
        <v>113.49</v>
      </c>
      <c r="O1210" s="72">
        <f>ROUND(N1210*(1+$F$10),2)</f>
        <v/>
      </c>
      <c r="P1210" s="73">
        <f>ROUND(K1210*N1210,2)</f>
        <v/>
      </c>
      <c r="Q1210" s="74">
        <f>ROUND(L1210*N1210,2)</f>
        <v/>
      </c>
      <c r="R1210" s="75" t="n"/>
      <c r="S1210" s="76" t="n"/>
      <c r="T1210" s="77">
        <f>K1210-L1210</f>
        <v/>
      </c>
      <c r="U1210" s="77">
        <f>P1210-Q1210</f>
        <v/>
      </c>
      <c r="V1210" s="77">
        <f>ABS(U1210)</f>
        <v/>
      </c>
      <c r="W1210" s="78">
        <f>T1210/L1210</f>
        <v/>
      </c>
      <c r="X1210" s="79">
        <f>ABS(W1210)</f>
        <v/>
      </c>
    </row>
    <row r="1211" ht="11.4" customHeight="1">
      <c r="A1211" s="67" t="inlineStr">
        <is>
          <t>8057</t>
        </is>
      </c>
      <c r="B1211" s="67" t="inlineStr">
        <is>
          <t>1053</t>
        </is>
      </c>
      <c r="C1211" s="67" t="inlineStr">
        <is>
          <t>1611</t>
        </is>
      </c>
      <c r="D1211" s="68" t="inlineStr">
        <is>
          <t>21</t>
        </is>
      </c>
      <c r="E1211" s="68" t="inlineStr">
        <is>
          <t>Kiosk-LHI</t>
        </is>
      </c>
      <c r="F1211" s="68" t="inlineStr">
        <is>
          <t>独立甜品站装修</t>
        </is>
      </c>
      <c r="G1211" s="68" t="inlineStr">
        <is>
          <t>独立甜品站装修</t>
        </is>
      </c>
      <c r="H1211" s="68" t="inlineStr">
        <is>
          <t>独立甜品站-墙面</t>
        </is>
      </c>
      <c r="I1211" s="69" t="inlineStr">
        <is>
          <t>1000021703</t>
        </is>
      </c>
      <c r="J1211" s="69" t="inlineStr">
        <is>
          <t>200x200x8mm白瓷砖（冠军）</t>
        </is>
      </c>
      <c r="K1211" s="70" t="n"/>
      <c r="L1211" s="70" t="n"/>
      <c r="M1211" s="71" t="inlineStr">
        <is>
          <t>m2</t>
        </is>
      </c>
      <c r="N1211" s="72" t="n">
        <v>118.11</v>
      </c>
      <c r="O1211" s="72">
        <f>ROUND(N1211*(1+$F$10),2)</f>
        <v/>
      </c>
      <c r="P1211" s="73">
        <f>ROUND(K1211*N1211,2)</f>
        <v/>
      </c>
      <c r="Q1211" s="74">
        <f>ROUND(L1211*N1211,2)</f>
        <v/>
      </c>
      <c r="R1211" s="75" t="n"/>
      <c r="S1211" s="76" t="n"/>
      <c r="T1211" s="77">
        <f>K1211-L1211</f>
        <v/>
      </c>
      <c r="U1211" s="77">
        <f>P1211-Q1211</f>
        <v/>
      </c>
      <c r="V1211" s="77">
        <f>ABS(U1211)</f>
        <v/>
      </c>
      <c r="W1211" s="78">
        <f>T1211/L1211</f>
        <v/>
      </c>
      <c r="X1211" s="79">
        <f>ABS(W1211)</f>
        <v/>
      </c>
    </row>
    <row r="1212" ht="11.4" customHeight="1">
      <c r="A1212" s="67" t="inlineStr">
        <is>
          <t>8057</t>
        </is>
      </c>
      <c r="B1212" s="67" t="inlineStr">
        <is>
          <t>1055</t>
        </is>
      </c>
      <c r="C1212" s="67" t="inlineStr">
        <is>
          <t>1611</t>
        </is>
      </c>
      <c r="D1212" s="68" t="inlineStr">
        <is>
          <t>21</t>
        </is>
      </c>
      <c r="E1212" s="68" t="inlineStr">
        <is>
          <t>Kiosk-LHI</t>
        </is>
      </c>
      <c r="F1212" s="68" t="inlineStr">
        <is>
          <t>独立甜品站装修</t>
        </is>
      </c>
      <c r="G1212" s="68" t="inlineStr">
        <is>
          <t>独立甜品站装修</t>
        </is>
      </c>
      <c r="H1212" s="68" t="inlineStr">
        <is>
          <t>独立甜品站-墙面</t>
        </is>
      </c>
      <c r="I1212" s="69" t="inlineStr">
        <is>
          <t>1000021608</t>
        </is>
      </c>
      <c r="J1212" s="69" t="inlineStr">
        <is>
          <t>50*50mm黄色六角砖（琛雄）</t>
        </is>
      </c>
      <c r="K1212" s="70" t="n"/>
      <c r="L1212" s="70" t="n"/>
      <c r="M1212" s="71" t="inlineStr">
        <is>
          <t>m2</t>
        </is>
      </c>
      <c r="N1212" s="72" t="n">
        <v>192.47</v>
      </c>
      <c r="O1212" s="72">
        <f>ROUND(N1212*(1+$F$10),2)</f>
        <v/>
      </c>
      <c r="P1212" s="73">
        <f>ROUND(K1212*N1212,2)</f>
        <v/>
      </c>
      <c r="Q1212" s="74">
        <f>ROUND(L1212*N1212,2)</f>
        <v/>
      </c>
      <c r="R1212" s="75" t="n"/>
      <c r="S1212" s="76" t="n"/>
      <c r="T1212" s="77">
        <f>K1212-L1212</f>
        <v/>
      </c>
      <c r="U1212" s="77">
        <f>P1212-Q1212</f>
        <v/>
      </c>
      <c r="V1212" s="77">
        <f>ABS(U1212)</f>
        <v/>
      </c>
      <c r="W1212" s="78">
        <f>T1212/L1212</f>
        <v/>
      </c>
      <c r="X1212" s="79">
        <f>ABS(W1212)</f>
        <v/>
      </c>
    </row>
    <row r="1213" ht="11.4" customHeight="1">
      <c r="A1213" s="67" t="inlineStr">
        <is>
          <t>8057</t>
        </is>
      </c>
      <c r="B1213" s="67" t="inlineStr">
        <is>
          <t>1055</t>
        </is>
      </c>
      <c r="C1213" s="67" t="inlineStr">
        <is>
          <t>1611</t>
        </is>
      </c>
      <c r="D1213" s="68" t="inlineStr">
        <is>
          <t>21</t>
        </is>
      </c>
      <c r="E1213" s="68" t="inlineStr">
        <is>
          <t>Kiosk-LHI</t>
        </is>
      </c>
      <c r="F1213" s="68" t="inlineStr">
        <is>
          <t>独立甜品站装修</t>
        </is>
      </c>
      <c r="G1213" s="68" t="inlineStr">
        <is>
          <t>独立甜品站装修</t>
        </is>
      </c>
      <c r="H1213" s="68" t="inlineStr">
        <is>
          <t>独立甜品站-墙面</t>
        </is>
      </c>
      <c r="I1213" s="69" t="inlineStr">
        <is>
          <t>1000021705</t>
        </is>
      </c>
      <c r="J1213" s="69" t="inlineStr">
        <is>
          <t>50*50mm黄色六角砖（共荣）</t>
        </is>
      </c>
      <c r="K1213" s="70" t="n"/>
      <c r="L1213" s="70" t="n"/>
      <c r="M1213" s="71" t="inlineStr">
        <is>
          <t>m2</t>
        </is>
      </c>
      <c r="N1213" s="72" t="n">
        <v>172.83</v>
      </c>
      <c r="O1213" s="72">
        <f>ROUND(N1213*(1+$F$10),2)</f>
        <v/>
      </c>
      <c r="P1213" s="73">
        <f>ROUND(K1213*N1213,2)</f>
        <v/>
      </c>
      <c r="Q1213" s="74">
        <f>ROUND(L1213*N1213,2)</f>
        <v/>
      </c>
      <c r="R1213" s="75" t="n"/>
      <c r="S1213" s="76" t="n"/>
      <c r="T1213" s="77">
        <f>K1213-L1213</f>
        <v/>
      </c>
      <c r="U1213" s="77">
        <f>P1213-Q1213</f>
        <v/>
      </c>
      <c r="V1213" s="77">
        <f>ABS(U1213)</f>
        <v/>
      </c>
      <c r="W1213" s="78">
        <f>T1213/L1213</f>
        <v/>
      </c>
      <c r="X1213" s="79">
        <f>ABS(W1213)</f>
        <v/>
      </c>
    </row>
    <row r="1214" ht="11.4" customHeight="1">
      <c r="A1214" s="67" t="inlineStr">
        <is>
          <t>8057</t>
        </is>
      </c>
      <c r="B1214" s="67" t="inlineStr">
        <is>
          <t>1055</t>
        </is>
      </c>
      <c r="C1214" s="67" t="inlineStr">
        <is>
          <t>1611</t>
        </is>
      </c>
      <c r="D1214" s="68" t="inlineStr">
        <is>
          <t>21</t>
        </is>
      </c>
      <c r="E1214" s="68" t="inlineStr">
        <is>
          <t>Kiosk-LHI</t>
        </is>
      </c>
      <c r="F1214" s="68" t="inlineStr">
        <is>
          <t>独立甜品站装修</t>
        </is>
      </c>
      <c r="G1214" s="68" t="inlineStr">
        <is>
          <t>独立甜品站装修</t>
        </is>
      </c>
      <c r="H1214" s="68" t="inlineStr">
        <is>
          <t>独立甜品站-墙面</t>
        </is>
      </c>
      <c r="I1214" s="69" t="inlineStr">
        <is>
          <t>1000021704</t>
        </is>
      </c>
      <c r="J1214" s="69" t="inlineStr">
        <is>
          <t>50*50mm黄色六角砖（冠军）</t>
        </is>
      </c>
      <c r="K1214" s="70" t="n"/>
      <c r="L1214" s="70" t="n"/>
      <c r="M1214" s="71" t="inlineStr">
        <is>
          <t>m2</t>
        </is>
      </c>
      <c r="N1214" s="72" t="n">
        <v>192.47</v>
      </c>
      <c r="O1214" s="72">
        <f>ROUND(N1214*(1+$F$10),2)</f>
        <v/>
      </c>
      <c r="P1214" s="73">
        <f>ROUND(K1214*N1214,2)</f>
        <v/>
      </c>
      <c r="Q1214" s="74">
        <f>ROUND(L1214*N1214,2)</f>
        <v/>
      </c>
      <c r="R1214" s="75" t="n"/>
      <c r="S1214" s="76" t="n"/>
      <c r="T1214" s="77">
        <f>K1214-L1214</f>
        <v/>
      </c>
      <c r="U1214" s="77">
        <f>P1214-Q1214</f>
        <v/>
      </c>
      <c r="V1214" s="77">
        <f>ABS(U1214)</f>
        <v/>
      </c>
      <c r="W1214" s="78">
        <f>T1214/L1214</f>
        <v/>
      </c>
      <c r="X1214" s="79">
        <f>ABS(W1214)</f>
        <v/>
      </c>
    </row>
    <row r="1215" ht="11.4" customHeight="1">
      <c r="A1215" s="67" t="inlineStr">
        <is>
          <t>8057</t>
        </is>
      </c>
      <c r="B1215" s="67" t="inlineStr">
        <is>
          <t>1062</t>
        </is>
      </c>
      <c r="C1215" s="67" t="inlineStr">
        <is>
          <t>1611</t>
        </is>
      </c>
      <c r="D1215" s="68" t="inlineStr">
        <is>
          <t>21</t>
        </is>
      </c>
      <c r="E1215" s="68" t="inlineStr">
        <is>
          <t>Kiosk-LHI</t>
        </is>
      </c>
      <c r="F1215" s="68" t="inlineStr">
        <is>
          <t>独立甜品站装修</t>
        </is>
      </c>
      <c r="G1215" s="68" t="inlineStr">
        <is>
          <t>独立甜品站装修</t>
        </is>
      </c>
      <c r="H1215" s="68" t="inlineStr">
        <is>
          <t>独立甜品站-墙面</t>
        </is>
      </c>
      <c r="I1215" s="69" t="inlineStr">
        <is>
          <t>1000021856</t>
        </is>
      </c>
      <c r="J1215" s="69" t="inlineStr">
        <is>
          <t>消防栓门连框</t>
        </is>
      </c>
      <c r="K1215" s="70" t="n"/>
      <c r="L1215" s="70" t="n"/>
      <c r="M1215" s="71" t="inlineStr">
        <is>
          <t>个</t>
        </is>
      </c>
      <c r="N1215" s="72" t="n">
        <v>658.89</v>
      </c>
      <c r="O1215" s="72">
        <f>ROUND(N1215*(1+$F$10),2)</f>
        <v/>
      </c>
      <c r="P1215" s="73">
        <f>ROUND(K1215*N1215,2)</f>
        <v/>
      </c>
      <c r="Q1215" s="74">
        <f>ROUND(L1215*N1215,2)</f>
        <v/>
      </c>
      <c r="R1215" s="75" t="n"/>
      <c r="S1215" s="76" t="n"/>
      <c r="T1215" s="77">
        <f>K1215-L1215</f>
        <v/>
      </c>
      <c r="U1215" s="77">
        <f>P1215-Q1215</f>
        <v/>
      </c>
      <c r="V1215" s="77">
        <f>ABS(U1215)</f>
        <v/>
      </c>
      <c r="W1215" s="78">
        <f>T1215/L1215</f>
        <v/>
      </c>
      <c r="X1215" s="79">
        <f>ABS(W1215)</f>
        <v/>
      </c>
    </row>
    <row r="1216" ht="11.4" customHeight="1">
      <c r="A1216" s="67" t="inlineStr">
        <is>
          <t>8057</t>
        </is>
      </c>
      <c r="B1216" s="67" t="inlineStr">
        <is>
          <t>1053</t>
        </is>
      </c>
      <c r="C1216" s="67" t="inlineStr">
        <is>
          <t>1611</t>
        </is>
      </c>
      <c r="D1216" s="68" t="inlineStr">
        <is>
          <t>21</t>
        </is>
      </c>
      <c r="E1216" s="68" t="inlineStr">
        <is>
          <t>Kiosk-LHI</t>
        </is>
      </c>
      <c r="F1216" s="68" t="inlineStr">
        <is>
          <t>独立甜品站装修</t>
        </is>
      </c>
      <c r="G1216" s="68" t="inlineStr">
        <is>
          <t>独立甜品站装修</t>
        </is>
      </c>
      <c r="H1216" s="68" t="inlineStr">
        <is>
          <t>独立甜品站-墙面</t>
        </is>
      </c>
      <c r="I1216" s="69" t="inlineStr">
        <is>
          <t>1000021825</t>
        </is>
      </c>
      <c r="J1216" s="69" t="inlineStr">
        <is>
          <t>后区墙面贴发丝不锈钢</t>
        </is>
      </c>
      <c r="K1216" s="70" t="n"/>
      <c r="L1216" s="70" t="n"/>
      <c r="M1216" s="71" t="inlineStr">
        <is>
          <t>m2</t>
        </is>
      </c>
      <c r="N1216" s="72" t="n">
        <v>467.36</v>
      </c>
      <c r="O1216" s="72">
        <f>ROUND(N1216*(1+$F$10),2)</f>
        <v/>
      </c>
      <c r="P1216" s="73">
        <f>ROUND(K1216*N1216,2)</f>
        <v/>
      </c>
      <c r="Q1216" s="74">
        <f>ROUND(L1216*N1216,2)</f>
        <v/>
      </c>
      <c r="R1216" s="75" t="n"/>
      <c r="S1216" s="76" t="n"/>
      <c r="T1216" s="77">
        <f>K1216-L1216</f>
        <v/>
      </c>
      <c r="U1216" s="77">
        <f>P1216-Q1216</f>
        <v/>
      </c>
      <c r="V1216" s="77">
        <f>ABS(U1216)</f>
        <v/>
      </c>
      <c r="W1216" s="78">
        <f>T1216/L1216</f>
        <v/>
      </c>
      <c r="X1216" s="79">
        <f>ABS(W1216)</f>
        <v/>
      </c>
    </row>
    <row r="1217" ht="11.4" customHeight="1">
      <c r="A1217" s="67" t="inlineStr">
        <is>
          <t>8057</t>
        </is>
      </c>
      <c r="B1217" s="67" t="inlineStr">
        <is>
          <t>1053</t>
        </is>
      </c>
      <c r="C1217" s="67" t="inlineStr">
        <is>
          <t>1611</t>
        </is>
      </c>
      <c r="D1217" s="68" t="inlineStr">
        <is>
          <t>21</t>
        </is>
      </c>
      <c r="E1217" s="68" t="inlineStr">
        <is>
          <t>Kiosk-LHI</t>
        </is>
      </c>
      <c r="F1217" s="68" t="inlineStr">
        <is>
          <t>独立甜品站装修</t>
        </is>
      </c>
      <c r="G1217" s="68" t="inlineStr">
        <is>
          <t>独立甜品站装修</t>
        </is>
      </c>
      <c r="H1217" s="68" t="inlineStr">
        <is>
          <t>独立甜品站-墙面</t>
        </is>
      </c>
      <c r="I1217" s="69" t="inlineStr">
        <is>
          <t>1000021826</t>
        </is>
      </c>
      <c r="J1217" s="69" t="inlineStr">
        <is>
          <t>60x60x2.5 发丝不锈钢护角</t>
        </is>
      </c>
      <c r="K1217" s="70" t="n"/>
      <c r="L1217" s="70" t="n"/>
      <c r="M1217" s="71" t="inlineStr">
        <is>
          <t>件</t>
        </is>
      </c>
      <c r="N1217" s="72" t="n">
        <v>184.69</v>
      </c>
      <c r="O1217" s="72">
        <f>ROUND(N1217*(1+$F$10),2)</f>
        <v/>
      </c>
      <c r="P1217" s="73">
        <f>ROUND(K1217*N1217,2)</f>
        <v/>
      </c>
      <c r="Q1217" s="74">
        <f>ROUND(L1217*N1217,2)</f>
        <v/>
      </c>
      <c r="R1217" s="75" t="n"/>
      <c r="S1217" s="76" t="n"/>
      <c r="T1217" s="77">
        <f>K1217-L1217</f>
        <v/>
      </c>
      <c r="U1217" s="77">
        <f>P1217-Q1217</f>
        <v/>
      </c>
      <c r="V1217" s="77">
        <f>ABS(U1217)</f>
        <v/>
      </c>
      <c r="W1217" s="78">
        <f>T1217/L1217</f>
        <v/>
      </c>
      <c r="X1217" s="79">
        <f>ABS(W1217)</f>
        <v/>
      </c>
    </row>
    <row r="1218" ht="11.4" customHeight="1">
      <c r="A1218" s="67" t="inlineStr">
        <is>
          <t>8057</t>
        </is>
      </c>
      <c r="B1218" s="67" t="inlineStr">
        <is>
          <t>1053</t>
        </is>
      </c>
      <c r="C1218" s="67" t="inlineStr">
        <is>
          <t>1611</t>
        </is>
      </c>
      <c r="D1218" s="68" t="inlineStr">
        <is>
          <t>21</t>
        </is>
      </c>
      <c r="E1218" s="68" t="inlineStr">
        <is>
          <t>Kiosk-LHI</t>
        </is>
      </c>
      <c r="F1218" s="68" t="inlineStr">
        <is>
          <t>独立甜品站装修</t>
        </is>
      </c>
      <c r="G1218" s="68" t="inlineStr">
        <is>
          <t>独立甜品站装修</t>
        </is>
      </c>
      <c r="H1218" s="68" t="inlineStr">
        <is>
          <t>独立甜品站-墙面</t>
        </is>
      </c>
      <c r="I1218" s="69" t="inlineStr">
        <is>
          <t>1000021827</t>
        </is>
      </c>
      <c r="J1218" s="69" t="inlineStr">
        <is>
          <t>60x180x60x2.5 U型发丝不锈钢护角</t>
        </is>
      </c>
      <c r="K1218" s="70" t="n"/>
      <c r="L1218" s="70" t="n"/>
      <c r="M1218" s="71" t="inlineStr">
        <is>
          <t>件</t>
        </is>
      </c>
      <c r="N1218" s="72" t="n">
        <v>374.99</v>
      </c>
      <c r="O1218" s="72">
        <f>ROUND(N1218*(1+$F$10),2)</f>
        <v/>
      </c>
      <c r="P1218" s="73">
        <f>ROUND(K1218*N1218,2)</f>
        <v/>
      </c>
      <c r="Q1218" s="74">
        <f>ROUND(L1218*N1218,2)</f>
        <v/>
      </c>
      <c r="R1218" s="75" t="n"/>
      <c r="S1218" s="76" t="n"/>
      <c r="T1218" s="77">
        <f>K1218-L1218</f>
        <v/>
      </c>
      <c r="U1218" s="77">
        <f>P1218-Q1218</f>
        <v/>
      </c>
      <c r="V1218" s="77">
        <f>ABS(U1218)</f>
        <v/>
      </c>
      <c r="W1218" s="78">
        <f>T1218/L1218</f>
        <v/>
      </c>
      <c r="X1218" s="79">
        <f>ABS(W1218)</f>
        <v/>
      </c>
    </row>
    <row r="1219" ht="11.4" customHeight="1">
      <c r="A1219" s="67" t="inlineStr">
        <is>
          <t>8058</t>
        </is>
      </c>
      <c r="B1219" s="67" t="inlineStr">
        <is>
          <t>1056</t>
        </is>
      </c>
      <c r="C1219" s="67" t="inlineStr">
        <is>
          <t>1611</t>
        </is>
      </c>
      <c r="D1219" s="68" t="inlineStr">
        <is>
          <t>21</t>
        </is>
      </c>
      <c r="E1219" s="68" t="inlineStr">
        <is>
          <t>Kiosk-LHI</t>
        </is>
      </c>
      <c r="F1219" s="68" t="inlineStr">
        <is>
          <t>独立甜品站装修</t>
        </is>
      </c>
      <c r="G1219" s="68" t="inlineStr">
        <is>
          <t>独立甜品站装修</t>
        </is>
      </c>
      <c r="H1219" s="68" t="inlineStr">
        <is>
          <t>独立甜品站-吊顶</t>
        </is>
      </c>
      <c r="I1219" s="69" t="inlineStr">
        <is>
          <t>1000021485</t>
        </is>
      </c>
      <c r="J1219" s="69" t="inlineStr">
        <is>
          <t>600x600烤漆T龙防潮隔音矿棉天花</t>
        </is>
      </c>
      <c r="K1219" s="70" t="n"/>
      <c r="L1219" s="70" t="n"/>
      <c r="M1219" s="71" t="inlineStr">
        <is>
          <t>m2</t>
        </is>
      </c>
      <c r="N1219" s="72" t="n">
        <v>127.36</v>
      </c>
      <c r="O1219" s="72">
        <f>ROUND(N1219*(1+$F$10),2)</f>
        <v/>
      </c>
      <c r="P1219" s="73">
        <f>ROUND(K1219*N1219,2)</f>
        <v/>
      </c>
      <c r="Q1219" s="74">
        <f>ROUND(L1219*N1219,2)</f>
        <v/>
      </c>
      <c r="R1219" s="75" t="n"/>
      <c r="S1219" s="76" t="n"/>
      <c r="T1219" s="77">
        <f>K1219-L1219</f>
        <v/>
      </c>
      <c r="U1219" s="77">
        <f>P1219-Q1219</f>
        <v/>
      </c>
      <c r="V1219" s="77">
        <f>ABS(U1219)</f>
        <v/>
      </c>
      <c r="W1219" s="78">
        <f>T1219/L1219</f>
        <v/>
      </c>
      <c r="X1219" s="79">
        <f>ABS(W1219)</f>
        <v/>
      </c>
    </row>
    <row r="1220" ht="11.4" customHeight="1">
      <c r="A1220" s="67" t="inlineStr">
        <is>
          <t>8058</t>
        </is>
      </c>
      <c r="B1220" s="67" t="inlineStr">
        <is>
          <t>1056</t>
        </is>
      </c>
      <c r="C1220" s="67" t="inlineStr">
        <is>
          <t>1611</t>
        </is>
      </c>
      <c r="D1220" s="68" t="inlineStr">
        <is>
          <t>21</t>
        </is>
      </c>
      <c r="E1220" s="68" t="inlineStr">
        <is>
          <t>Kiosk-LHI</t>
        </is>
      </c>
      <c r="F1220" s="68" t="inlineStr">
        <is>
          <t>独立甜品站装修</t>
        </is>
      </c>
      <c r="G1220" s="68" t="inlineStr">
        <is>
          <t>独立甜品站装修</t>
        </is>
      </c>
      <c r="H1220" s="68" t="inlineStr">
        <is>
          <t>独立甜品站-吊顶</t>
        </is>
      </c>
      <c r="I1220" s="69" t="inlineStr">
        <is>
          <t>1000021486</t>
        </is>
      </c>
      <c r="J1220" s="69" t="inlineStr">
        <is>
          <t>600*1200烤漆龙骨防潮矿棉板天花</t>
        </is>
      </c>
      <c r="K1220" s="70" t="n"/>
      <c r="L1220" s="70" t="n"/>
      <c r="M1220" s="71" t="inlineStr">
        <is>
          <t>m2</t>
        </is>
      </c>
      <c r="N1220" s="72" t="n">
        <v>138.36</v>
      </c>
      <c r="O1220" s="72">
        <f>ROUND(N1220*(1+$F$10),2)</f>
        <v/>
      </c>
      <c r="P1220" s="73">
        <f>ROUND(K1220*N1220,2)</f>
        <v/>
      </c>
      <c r="Q1220" s="74">
        <f>ROUND(L1220*N1220,2)</f>
        <v/>
      </c>
      <c r="R1220" s="75" t="n"/>
      <c r="S1220" s="76" t="n"/>
      <c r="T1220" s="77">
        <f>K1220-L1220</f>
        <v/>
      </c>
      <c r="U1220" s="77">
        <f>P1220-Q1220</f>
        <v/>
      </c>
      <c r="V1220" s="77">
        <f>ABS(U1220)</f>
        <v/>
      </c>
      <c r="W1220" s="78">
        <f>T1220/L1220</f>
        <v/>
      </c>
      <c r="X1220" s="79">
        <f>ABS(W1220)</f>
        <v/>
      </c>
    </row>
    <row r="1221" ht="11.4" customHeight="1">
      <c r="A1221" s="67" t="inlineStr">
        <is>
          <t>8058</t>
        </is>
      </c>
      <c r="B1221" s="67" t="inlineStr">
        <is>
          <t>1056</t>
        </is>
      </c>
      <c r="C1221" s="67" t="inlineStr">
        <is>
          <t>1611</t>
        </is>
      </c>
      <c r="D1221" s="68" t="inlineStr">
        <is>
          <t>21</t>
        </is>
      </c>
      <c r="E1221" s="68" t="inlineStr">
        <is>
          <t>Kiosk-LHI</t>
        </is>
      </c>
      <c r="F1221" s="68" t="inlineStr">
        <is>
          <t>独立甜品站装修</t>
        </is>
      </c>
      <c r="G1221" s="68" t="inlineStr">
        <is>
          <t>独立甜品站装修</t>
        </is>
      </c>
      <c r="H1221" s="68" t="inlineStr">
        <is>
          <t>独立甜品站-吊顶</t>
        </is>
      </c>
      <c r="I1221" s="69" t="inlineStr">
        <is>
          <t>1000021781</t>
        </is>
      </c>
      <c r="J1221" s="69" t="inlineStr">
        <is>
          <t>轻钢龙骨石膏板叠级天花（含收口凹槽）</t>
        </is>
      </c>
      <c r="K1221" s="70" t="n"/>
      <c r="L1221" s="70" t="n"/>
      <c r="M1221" s="71" t="inlineStr">
        <is>
          <t>m2</t>
        </is>
      </c>
      <c r="N1221" s="72" t="n">
        <v>250.08</v>
      </c>
      <c r="O1221" s="72">
        <f>ROUND(N1221*(1+$F$10),2)</f>
        <v/>
      </c>
      <c r="P1221" s="73">
        <f>ROUND(K1221*N1221,2)</f>
        <v/>
      </c>
      <c r="Q1221" s="74">
        <f>ROUND(L1221*N1221,2)</f>
        <v/>
      </c>
      <c r="R1221" s="75" t="n"/>
      <c r="S1221" s="76" t="n"/>
      <c r="T1221" s="77">
        <f>K1221-L1221</f>
        <v/>
      </c>
      <c r="U1221" s="77">
        <f>P1221-Q1221</f>
        <v/>
      </c>
      <c r="V1221" s="77">
        <f>ABS(U1221)</f>
        <v/>
      </c>
      <c r="W1221" s="78">
        <f>T1221/L1221</f>
        <v/>
      </c>
      <c r="X1221" s="79">
        <f>ABS(W1221)</f>
        <v/>
      </c>
    </row>
    <row r="1222" ht="11.4" customHeight="1">
      <c r="A1222" s="67" t="inlineStr">
        <is>
          <t>8058</t>
        </is>
      </c>
      <c r="B1222" s="67" t="inlineStr">
        <is>
          <t>1056</t>
        </is>
      </c>
      <c r="C1222" s="67" t="inlineStr">
        <is>
          <t>1611</t>
        </is>
      </c>
      <c r="D1222" s="68" t="inlineStr">
        <is>
          <t>21</t>
        </is>
      </c>
      <c r="E1222" s="68" t="inlineStr">
        <is>
          <t>Kiosk-LHI</t>
        </is>
      </c>
      <c r="F1222" s="68" t="inlineStr">
        <is>
          <t>独立甜品站装修</t>
        </is>
      </c>
      <c r="G1222" s="68" t="inlineStr">
        <is>
          <t>独立甜品站装修</t>
        </is>
      </c>
      <c r="H1222" s="68" t="inlineStr">
        <is>
          <t>独立甜品站-吊顶</t>
        </is>
      </c>
      <c r="I1222" s="69" t="inlineStr">
        <is>
          <t>1000021782</t>
        </is>
      </c>
      <c r="J1222" s="69" t="inlineStr">
        <is>
          <t>轻钢龙骨石膏板天花</t>
        </is>
      </c>
      <c r="K1222" s="70" t="n"/>
      <c r="L1222" s="70" t="n"/>
      <c r="M1222" s="71" t="inlineStr">
        <is>
          <t>m2</t>
        </is>
      </c>
      <c r="N1222" s="72" t="n">
        <v>139.73</v>
      </c>
      <c r="O1222" s="72">
        <f>ROUND(N1222*(1+$F$10),2)</f>
        <v/>
      </c>
      <c r="P1222" s="73">
        <f>ROUND(K1222*N1222,2)</f>
        <v/>
      </c>
      <c r="Q1222" s="74">
        <f>ROUND(L1222*N1222,2)</f>
        <v/>
      </c>
      <c r="R1222" s="75" t="n"/>
      <c r="S1222" s="76" t="n"/>
      <c r="T1222" s="77">
        <f>K1222-L1222</f>
        <v/>
      </c>
      <c r="U1222" s="77">
        <f>P1222-Q1222</f>
        <v/>
      </c>
      <c r="V1222" s="77">
        <f>ABS(U1222)</f>
        <v/>
      </c>
      <c r="W1222" s="78">
        <f>T1222/L1222</f>
        <v/>
      </c>
      <c r="X1222" s="79">
        <f>ABS(W1222)</f>
        <v/>
      </c>
    </row>
    <row r="1223" ht="11.4" customHeight="1">
      <c r="A1223" s="67" t="inlineStr">
        <is>
          <t>8058</t>
        </is>
      </c>
      <c r="B1223" s="67" t="inlineStr">
        <is>
          <t>1056</t>
        </is>
      </c>
      <c r="C1223" s="67" t="inlineStr">
        <is>
          <t>1611</t>
        </is>
      </c>
      <c r="D1223" s="68" t="inlineStr">
        <is>
          <t>21</t>
        </is>
      </c>
      <c r="E1223" s="68" t="inlineStr">
        <is>
          <t>Kiosk-LHI</t>
        </is>
      </c>
      <c r="F1223" s="68" t="inlineStr">
        <is>
          <t>独立甜品站装修</t>
        </is>
      </c>
      <c r="G1223" s="68" t="inlineStr">
        <is>
          <t>独立甜品站装修</t>
        </is>
      </c>
      <c r="H1223" s="68" t="inlineStr">
        <is>
          <t>独立甜品站-吊顶</t>
        </is>
      </c>
      <c r="I1223" s="69" t="inlineStr">
        <is>
          <t>1000021483</t>
        </is>
      </c>
      <c r="J1223" s="69" t="inlineStr">
        <is>
          <t>室内深色乳胶漆（含批搪，可擦洗）</t>
        </is>
      </c>
      <c r="K1223" s="70" t="n"/>
      <c r="L1223" s="70" t="n"/>
      <c r="M1223" s="71" t="inlineStr">
        <is>
          <t>m2</t>
        </is>
      </c>
      <c r="N1223" s="72" t="n">
        <v>62.19</v>
      </c>
      <c r="O1223" s="72">
        <f>ROUND(N1223*(1+$F$10),2)</f>
        <v/>
      </c>
      <c r="P1223" s="73">
        <f>ROUND(K1223*N1223,2)</f>
        <v/>
      </c>
      <c r="Q1223" s="74">
        <f>ROUND(L1223*N1223,2)</f>
        <v/>
      </c>
      <c r="R1223" s="75" t="n"/>
      <c r="S1223" s="76" t="n"/>
      <c r="T1223" s="77">
        <f>K1223-L1223</f>
        <v/>
      </c>
      <c r="U1223" s="77">
        <f>P1223-Q1223</f>
        <v/>
      </c>
      <c r="V1223" s="77">
        <f>ABS(U1223)</f>
        <v/>
      </c>
      <c r="W1223" s="78">
        <f>T1223/L1223</f>
        <v/>
      </c>
      <c r="X1223" s="79">
        <f>ABS(W1223)</f>
        <v/>
      </c>
    </row>
    <row r="1224" ht="11.4" customHeight="1">
      <c r="A1224" s="67" t="inlineStr">
        <is>
          <t>8059</t>
        </is>
      </c>
      <c r="B1224" s="67" t="inlineStr">
        <is>
          <t>1057</t>
        </is>
      </c>
      <c r="C1224" s="67" t="inlineStr">
        <is>
          <t>1611</t>
        </is>
      </c>
      <c r="D1224" s="68" t="inlineStr">
        <is>
          <t>21</t>
        </is>
      </c>
      <c r="E1224" s="68" t="inlineStr">
        <is>
          <t>Kiosk-LHI</t>
        </is>
      </c>
      <c r="F1224" s="68" t="inlineStr">
        <is>
          <t>独立甜品站装修</t>
        </is>
      </c>
      <c r="G1224" s="68" t="inlineStr">
        <is>
          <t>独立甜品站装修</t>
        </is>
      </c>
      <c r="H1224" s="68" t="inlineStr">
        <is>
          <t>独立甜品站-外立面</t>
        </is>
      </c>
      <c r="I1224" s="69" t="inlineStr">
        <is>
          <t>1000021787</t>
        </is>
      </c>
      <c r="J1224" s="69" t="inlineStr">
        <is>
          <t>铝框12mm 钢化玻璃（单层）</t>
        </is>
      </c>
      <c r="K1224" s="70" t="n"/>
      <c r="L1224" s="70" t="n"/>
      <c r="M1224" s="71" t="inlineStr">
        <is>
          <t>m2</t>
        </is>
      </c>
      <c r="N1224" s="72" t="n">
        <v>465.88</v>
      </c>
      <c r="O1224" s="72">
        <f>ROUND(N1224*(1+$F$10),2)</f>
        <v/>
      </c>
      <c r="P1224" s="73">
        <f>ROUND(K1224*N1224,2)</f>
        <v/>
      </c>
      <c r="Q1224" s="74">
        <f>ROUND(L1224*N1224,2)</f>
        <v/>
      </c>
      <c r="R1224" s="75" t="n"/>
      <c r="S1224" s="76" t="n"/>
      <c r="T1224" s="77">
        <f>K1224-L1224</f>
        <v/>
      </c>
      <c r="U1224" s="77">
        <f>P1224-Q1224</f>
        <v/>
      </c>
      <c r="V1224" s="77">
        <f>ABS(U1224)</f>
        <v/>
      </c>
      <c r="W1224" s="78">
        <f>T1224/L1224</f>
        <v/>
      </c>
      <c r="X1224" s="79">
        <f>ABS(W1224)</f>
        <v/>
      </c>
    </row>
    <row r="1225" ht="11.4" customHeight="1">
      <c r="A1225" s="67" t="inlineStr">
        <is>
          <t>8059</t>
        </is>
      </c>
      <c r="B1225" s="67" t="inlineStr">
        <is>
          <t>1057</t>
        </is>
      </c>
      <c r="C1225" s="67" t="inlineStr">
        <is>
          <t>1611</t>
        </is>
      </c>
      <c r="D1225" s="68" t="inlineStr">
        <is>
          <t>21</t>
        </is>
      </c>
      <c r="E1225" s="68" t="inlineStr">
        <is>
          <t>Kiosk-LHI</t>
        </is>
      </c>
      <c r="F1225" s="68" t="inlineStr">
        <is>
          <t>独立甜品站装修</t>
        </is>
      </c>
      <c r="G1225" s="68" t="inlineStr">
        <is>
          <t>独立甜品站装修</t>
        </is>
      </c>
      <c r="H1225" s="68" t="inlineStr">
        <is>
          <t>独立甜品站-外立面</t>
        </is>
      </c>
      <c r="I1225" s="69" t="inlineStr">
        <is>
          <t>1000021788</t>
        </is>
      </c>
      <c r="J1225" s="69" t="inlineStr">
        <is>
          <t>铝框6+6mm 钢化玻璃（双层）</t>
        </is>
      </c>
      <c r="K1225" s="70" t="n"/>
      <c r="L1225" s="70" t="n"/>
      <c r="M1225" s="71" t="inlineStr">
        <is>
          <t>m2</t>
        </is>
      </c>
      <c r="N1225" s="72" t="n">
        <v>674.21</v>
      </c>
      <c r="O1225" s="72">
        <f>ROUND(N1225*(1+$F$10),2)</f>
        <v/>
      </c>
      <c r="P1225" s="73">
        <f>ROUND(K1225*N1225,2)</f>
        <v/>
      </c>
      <c r="Q1225" s="74">
        <f>ROUND(L1225*N1225,2)</f>
        <v/>
      </c>
      <c r="R1225" s="75" t="n"/>
      <c r="S1225" s="76" t="n"/>
      <c r="T1225" s="77">
        <f>K1225-L1225</f>
        <v/>
      </c>
      <c r="U1225" s="77">
        <f>P1225-Q1225</f>
        <v/>
      </c>
      <c r="V1225" s="77">
        <f>ABS(U1225)</f>
        <v/>
      </c>
      <c r="W1225" s="78">
        <f>T1225/L1225</f>
        <v/>
      </c>
      <c r="X1225" s="79">
        <f>ABS(W1225)</f>
        <v/>
      </c>
    </row>
    <row r="1226" ht="11.4" customHeight="1">
      <c r="A1226" s="67" t="inlineStr">
        <is>
          <t>8148</t>
        </is>
      </c>
      <c r="B1226" s="67" t="inlineStr">
        <is>
          <t>1154</t>
        </is>
      </c>
      <c r="C1226" s="67" t="inlineStr">
        <is>
          <t>8485</t>
        </is>
      </c>
      <c r="D1226" s="68" t="inlineStr">
        <is>
          <t>21</t>
        </is>
      </c>
      <c r="E1226" s="68" t="inlineStr">
        <is>
          <t>Kiosk-LHI</t>
        </is>
      </c>
      <c r="F1226" s="68" t="inlineStr">
        <is>
          <t>独立甜品站装修</t>
        </is>
      </c>
      <c r="G1226" s="68" t="inlineStr">
        <is>
          <t>独立甜品站装修</t>
        </is>
      </c>
      <c r="H1226" s="68" t="inlineStr">
        <is>
          <t>独立甜品站-外立面</t>
        </is>
      </c>
      <c r="I1226" s="69" t="inlineStr">
        <is>
          <t>1000021499</t>
        </is>
      </c>
      <c r="J1226" s="69" t="inlineStr">
        <is>
          <t>铝合金双开门连门框及全部配件（主材，佳诺浩德）</t>
        </is>
      </c>
      <c r="K1226" s="70" t="n"/>
      <c r="L1226" s="70" t="n"/>
      <c r="M1226" s="71" t="inlineStr">
        <is>
          <t>樘</t>
        </is>
      </c>
      <c r="N1226" s="72" t="n">
        <v>4665.2</v>
      </c>
      <c r="O1226" s="72">
        <f>ROUND(N1226*(1+$F$10),2)</f>
        <v/>
      </c>
      <c r="P1226" s="73">
        <f>ROUND(K1226*N1226,2)</f>
        <v/>
      </c>
      <c r="Q1226" s="74">
        <f>ROUND(L1226*N1226,2)</f>
        <v/>
      </c>
      <c r="R1226" s="75" t="n"/>
      <c r="S1226" s="76" t="n"/>
      <c r="T1226" s="77">
        <f>K1226-L1226</f>
        <v/>
      </c>
      <c r="U1226" s="77">
        <f>P1226-Q1226</f>
        <v/>
      </c>
      <c r="V1226" s="77">
        <f>ABS(U1226)</f>
        <v/>
      </c>
      <c r="W1226" s="78">
        <f>T1226/L1226</f>
        <v/>
      </c>
      <c r="X1226" s="79">
        <f>ABS(W1226)</f>
        <v/>
      </c>
    </row>
    <row r="1227" ht="11.4" customHeight="1">
      <c r="A1227" s="67" t="inlineStr">
        <is>
          <t>8148</t>
        </is>
      </c>
      <c r="B1227" s="67" t="inlineStr">
        <is>
          <t>1154</t>
        </is>
      </c>
      <c r="C1227" s="67" t="inlineStr">
        <is>
          <t>8485</t>
        </is>
      </c>
      <c r="D1227" s="68" t="inlineStr">
        <is>
          <t>21</t>
        </is>
      </c>
      <c r="E1227" s="68" t="inlineStr">
        <is>
          <t>Kiosk-LHI</t>
        </is>
      </c>
      <c r="F1227" s="68" t="inlineStr">
        <is>
          <t>独立甜品站装修</t>
        </is>
      </c>
      <c r="G1227" s="68" t="inlineStr">
        <is>
          <t>独立甜品站装修</t>
        </is>
      </c>
      <c r="H1227" s="68" t="inlineStr">
        <is>
          <t>独立甜品站-外立面</t>
        </is>
      </c>
      <c r="I1227" s="69" t="inlineStr">
        <is>
          <t>1000021500</t>
        </is>
      </c>
      <c r="J1227" s="69" t="inlineStr">
        <is>
          <t>铝合金单开门连门框及全部配件（主材，佳诺浩德）</t>
        </is>
      </c>
      <c r="K1227" s="70" t="n"/>
      <c r="L1227" s="70" t="n"/>
      <c r="M1227" s="71" t="inlineStr">
        <is>
          <t>樘</t>
        </is>
      </c>
      <c r="N1227" s="72" t="n">
        <v>2712.45</v>
      </c>
      <c r="O1227" s="72">
        <f>ROUND(N1227*(1+$F$10),2)</f>
        <v/>
      </c>
      <c r="P1227" s="73">
        <f>ROUND(K1227*N1227,2)</f>
        <v/>
      </c>
      <c r="Q1227" s="74">
        <f>ROUND(L1227*N1227,2)</f>
        <v/>
      </c>
      <c r="R1227" s="75" t="n"/>
      <c r="S1227" s="76" t="n"/>
      <c r="T1227" s="77">
        <f>K1227-L1227</f>
        <v/>
      </c>
      <c r="U1227" s="77">
        <f>P1227-Q1227</f>
        <v/>
      </c>
      <c r="V1227" s="77">
        <f>ABS(U1227)</f>
        <v/>
      </c>
      <c r="W1227" s="78">
        <f>T1227/L1227</f>
        <v/>
      </c>
      <c r="X1227" s="79">
        <f>ABS(W1227)</f>
        <v/>
      </c>
    </row>
    <row r="1228" ht="11.4" customHeight="1">
      <c r="A1228" s="67" t="inlineStr">
        <is>
          <t>8148</t>
        </is>
      </c>
      <c r="B1228" s="67" t="inlineStr">
        <is>
          <t>1154</t>
        </is>
      </c>
      <c r="C1228" s="67" t="inlineStr">
        <is>
          <t>8485</t>
        </is>
      </c>
      <c r="D1228" s="68" t="inlineStr">
        <is>
          <t>21</t>
        </is>
      </c>
      <c r="E1228" s="68" t="inlineStr">
        <is>
          <t>Kiosk-LHI</t>
        </is>
      </c>
      <c r="F1228" s="68" t="inlineStr">
        <is>
          <t>独立甜品站装修</t>
        </is>
      </c>
      <c r="G1228" s="68" t="inlineStr">
        <is>
          <t>独立甜品站装修</t>
        </is>
      </c>
      <c r="H1228" s="68" t="inlineStr">
        <is>
          <t>独立甜品站-外立面</t>
        </is>
      </c>
      <c r="I1228" s="69" t="inlineStr">
        <is>
          <t>1000053607</t>
        </is>
      </c>
      <c r="J1228" s="69" t="inlineStr">
        <is>
          <t>铝合金双开门连门框及全部配件（主材，天晟）</t>
        </is>
      </c>
      <c r="K1228" s="70" t="n"/>
      <c r="L1228" s="70" t="n"/>
      <c r="M1228" s="71" t="inlineStr">
        <is>
          <t>樘</t>
        </is>
      </c>
      <c r="N1228" s="72" t="n">
        <v>4703.72</v>
      </c>
      <c r="O1228" s="72">
        <f>ROUND(N1228*(1+$F$10),2)</f>
        <v/>
      </c>
      <c r="P1228" s="73">
        <f>ROUND(K1228*N1228,2)</f>
        <v/>
      </c>
      <c r="Q1228" s="74">
        <f>ROUND(L1228*N1228,2)</f>
        <v/>
      </c>
      <c r="R1228" s="75" t="n"/>
      <c r="S1228" s="76" t="n"/>
      <c r="T1228" s="77">
        <f>K1228-L1228</f>
        <v/>
      </c>
      <c r="U1228" s="77">
        <f>P1228-Q1228</f>
        <v/>
      </c>
      <c r="V1228" s="77">
        <f>ABS(U1228)</f>
        <v/>
      </c>
      <c r="W1228" s="78">
        <f>T1228/L1228</f>
        <v/>
      </c>
      <c r="X1228" s="79">
        <f>ABS(W1228)</f>
        <v/>
      </c>
    </row>
    <row r="1229" ht="11.4" customHeight="1">
      <c r="A1229" s="67" t="inlineStr">
        <is>
          <t>8148</t>
        </is>
      </c>
      <c r="B1229" s="67" t="inlineStr">
        <is>
          <t>1154</t>
        </is>
      </c>
      <c r="C1229" s="67" t="inlineStr">
        <is>
          <t>8485</t>
        </is>
      </c>
      <c r="D1229" s="68" t="inlineStr">
        <is>
          <t>21</t>
        </is>
      </c>
      <c r="E1229" s="68" t="inlineStr">
        <is>
          <t>Kiosk-LHI</t>
        </is>
      </c>
      <c r="F1229" s="68" t="inlineStr">
        <is>
          <t>独立甜品站装修</t>
        </is>
      </c>
      <c r="G1229" s="68" t="inlineStr">
        <is>
          <t>独立甜品站装修</t>
        </is>
      </c>
      <c r="H1229" s="68" t="inlineStr">
        <is>
          <t>独立甜品站-外立面</t>
        </is>
      </c>
      <c r="I1229" s="69" t="inlineStr">
        <is>
          <t>1000053606</t>
        </is>
      </c>
      <c r="J1229" s="69" t="inlineStr">
        <is>
          <t>铝合金单开门连门框及全部配件（主材，天晟）</t>
        </is>
      </c>
      <c r="K1229" s="70" t="n"/>
      <c r="L1229" s="70" t="n"/>
      <c r="M1229" s="71" t="inlineStr">
        <is>
          <t>樘</t>
        </is>
      </c>
      <c r="N1229" s="72" t="n">
        <v>2811.96</v>
      </c>
      <c r="O1229" s="72">
        <f>ROUND(N1229*(1+$F$10),2)</f>
        <v/>
      </c>
      <c r="P1229" s="73">
        <f>ROUND(K1229*N1229,2)</f>
        <v/>
      </c>
      <c r="Q1229" s="74">
        <f>ROUND(L1229*N1229,2)</f>
        <v/>
      </c>
      <c r="R1229" s="75" t="n"/>
      <c r="S1229" s="76" t="n"/>
      <c r="T1229" s="77">
        <f>K1229-L1229</f>
        <v/>
      </c>
      <c r="U1229" s="77">
        <f>P1229-Q1229</f>
        <v/>
      </c>
      <c r="V1229" s="77">
        <f>ABS(U1229)</f>
        <v/>
      </c>
      <c r="W1229" s="78">
        <f>T1229/L1229</f>
        <v/>
      </c>
      <c r="X1229" s="79">
        <f>ABS(W1229)</f>
        <v/>
      </c>
    </row>
    <row r="1230" ht="11.4" customHeight="1">
      <c r="A1230" s="67" t="inlineStr">
        <is>
          <t>8148</t>
        </is>
      </c>
      <c r="B1230" s="67" t="inlineStr">
        <is>
          <t>1154</t>
        </is>
      </c>
      <c r="C1230" s="67" t="inlineStr">
        <is>
          <t>8485</t>
        </is>
      </c>
      <c r="D1230" s="68" t="inlineStr">
        <is>
          <t>21</t>
        </is>
      </c>
      <c r="E1230" s="68" t="inlineStr">
        <is>
          <t>Kiosk-LHI</t>
        </is>
      </c>
      <c r="F1230" s="68" t="inlineStr">
        <is>
          <t>独立甜品站装修</t>
        </is>
      </c>
      <c r="G1230" s="68" t="inlineStr">
        <is>
          <t>独立甜品站装修</t>
        </is>
      </c>
      <c r="H1230" s="68" t="inlineStr">
        <is>
          <t>独立甜品站-外立面</t>
        </is>
      </c>
      <c r="I1230" s="69" t="inlineStr">
        <is>
          <t>1000053610</t>
        </is>
      </c>
      <c r="J1230" s="69" t="inlineStr">
        <is>
          <t>铝合金双开门连门框及全部配件（主材，航凯）</t>
        </is>
      </c>
      <c r="K1230" s="70" t="n"/>
      <c r="L1230" s="70" t="n"/>
      <c r="M1230" s="71" t="inlineStr">
        <is>
          <t>樘</t>
        </is>
      </c>
      <c r="N1230" s="72" t="n">
        <v>4636.31</v>
      </c>
      <c r="O1230" s="72">
        <f>ROUND(N1230*(1+$F$10),2)</f>
        <v/>
      </c>
      <c r="P1230" s="73">
        <f>ROUND(K1230*N1230,2)</f>
        <v/>
      </c>
      <c r="Q1230" s="74">
        <f>ROUND(L1230*N1230,2)</f>
        <v/>
      </c>
      <c r="R1230" s="75" t="n"/>
      <c r="S1230" s="76" t="n"/>
      <c r="T1230" s="77">
        <f>K1230-L1230</f>
        <v/>
      </c>
      <c r="U1230" s="77">
        <f>P1230-Q1230</f>
        <v/>
      </c>
      <c r="V1230" s="77">
        <f>ABS(U1230)</f>
        <v/>
      </c>
      <c r="W1230" s="78">
        <f>T1230/L1230</f>
        <v/>
      </c>
      <c r="X1230" s="79">
        <f>ABS(W1230)</f>
        <v/>
      </c>
    </row>
    <row r="1231" ht="11.4" customHeight="1">
      <c r="A1231" s="67" t="inlineStr">
        <is>
          <t>8148</t>
        </is>
      </c>
      <c r="B1231" s="67" t="inlineStr">
        <is>
          <t>1154</t>
        </is>
      </c>
      <c r="C1231" s="67" t="inlineStr">
        <is>
          <t>8485</t>
        </is>
      </c>
      <c r="D1231" s="68" t="inlineStr">
        <is>
          <t>21</t>
        </is>
      </c>
      <c r="E1231" s="68" t="inlineStr">
        <is>
          <t>Kiosk-LHI</t>
        </is>
      </c>
      <c r="F1231" s="68" t="inlineStr">
        <is>
          <t>独立甜品站装修</t>
        </is>
      </c>
      <c r="G1231" s="68" t="inlineStr">
        <is>
          <t>独立甜品站装修</t>
        </is>
      </c>
      <c r="H1231" s="68" t="inlineStr">
        <is>
          <t>独立甜品站-外立面</t>
        </is>
      </c>
      <c r="I1231" s="69" t="inlineStr">
        <is>
          <t>1000053609</t>
        </is>
      </c>
      <c r="J1231" s="69" t="inlineStr">
        <is>
          <t>铝合金单开门连门框及全部配件（主材，航凯）</t>
        </is>
      </c>
      <c r="K1231" s="70" t="n"/>
      <c r="L1231" s="70" t="n"/>
      <c r="M1231" s="71" t="inlineStr">
        <is>
          <t>樘</t>
        </is>
      </c>
      <c r="N1231" s="72" t="n">
        <v>2711.38</v>
      </c>
      <c r="O1231" s="72">
        <f>ROUND(N1231*(1+$F$10),2)</f>
        <v/>
      </c>
      <c r="P1231" s="73">
        <f>ROUND(K1231*N1231,2)</f>
        <v/>
      </c>
      <c r="Q1231" s="74">
        <f>ROUND(L1231*N1231,2)</f>
        <v/>
      </c>
      <c r="R1231" s="75" t="n"/>
      <c r="S1231" s="76" t="n"/>
      <c r="T1231" s="77">
        <f>K1231-L1231</f>
        <v/>
      </c>
      <c r="U1231" s="77">
        <f>P1231-Q1231</f>
        <v/>
      </c>
      <c r="V1231" s="77">
        <f>ABS(U1231)</f>
        <v/>
      </c>
      <c r="W1231" s="78">
        <f>T1231/L1231</f>
        <v/>
      </c>
      <c r="X1231" s="79">
        <f>ABS(W1231)</f>
        <v/>
      </c>
    </row>
    <row r="1232" ht="11.4" customHeight="1">
      <c r="A1232" s="67" t="inlineStr">
        <is>
          <t>8148</t>
        </is>
      </c>
      <c r="B1232" s="67" t="inlineStr">
        <is>
          <t>1154</t>
        </is>
      </c>
      <c r="C1232" s="67" t="inlineStr">
        <is>
          <t>8485</t>
        </is>
      </c>
      <c r="D1232" s="68" t="inlineStr">
        <is>
          <t>21</t>
        </is>
      </c>
      <c r="E1232" s="68" t="inlineStr">
        <is>
          <t>Kiosk-LHI</t>
        </is>
      </c>
      <c r="F1232" s="68" t="inlineStr">
        <is>
          <t>独立甜品站装修</t>
        </is>
      </c>
      <c r="G1232" s="68" t="inlineStr">
        <is>
          <t>独立甜品站装修</t>
        </is>
      </c>
      <c r="H1232" s="68" t="inlineStr">
        <is>
          <t>独立甜品站-外立面</t>
        </is>
      </c>
      <c r="I1232" s="69" t="inlineStr">
        <is>
          <t>1000081295</t>
        </is>
      </c>
      <c r="J1232" s="69" t="inlineStr">
        <is>
          <t>铝合金双开门连门框及全部配件（主材，力保）</t>
        </is>
      </c>
      <c r="K1232" s="70" t="n"/>
      <c r="L1232" s="70" t="n"/>
      <c r="M1232" s="71" t="inlineStr">
        <is>
          <t>樘</t>
        </is>
      </c>
      <c r="N1232" s="72" t="n">
        <v>5150.98</v>
      </c>
      <c r="O1232" s="72">
        <f>ROUND(N1232*(1+$F$10),2)</f>
        <v/>
      </c>
      <c r="P1232" s="73">
        <f>ROUND(K1232*N1232,2)</f>
        <v/>
      </c>
      <c r="Q1232" s="74">
        <f>ROUND(L1232*N1232,2)</f>
        <v/>
      </c>
      <c r="R1232" s="75" t="n"/>
      <c r="S1232" s="76" t="n"/>
      <c r="T1232" s="77">
        <f>K1232-L1232</f>
        <v/>
      </c>
      <c r="U1232" s="77">
        <f>P1232-Q1232</f>
        <v/>
      </c>
      <c r="V1232" s="77">
        <f>ABS(U1232)</f>
        <v/>
      </c>
      <c r="W1232" s="78">
        <f>T1232/L1232</f>
        <v/>
      </c>
      <c r="X1232" s="79">
        <f>ABS(W1232)</f>
        <v/>
      </c>
    </row>
    <row r="1233" ht="11.4" customHeight="1">
      <c r="A1233" s="67" t="inlineStr">
        <is>
          <t>8148</t>
        </is>
      </c>
      <c r="B1233" s="67" t="inlineStr">
        <is>
          <t>1154</t>
        </is>
      </c>
      <c r="C1233" s="67" t="inlineStr">
        <is>
          <t>8485</t>
        </is>
      </c>
      <c r="D1233" s="68" t="inlineStr">
        <is>
          <t>21</t>
        </is>
      </c>
      <c r="E1233" s="68" t="inlineStr">
        <is>
          <t>Kiosk-LHI</t>
        </is>
      </c>
      <c r="F1233" s="68" t="inlineStr">
        <is>
          <t>独立甜品站装修</t>
        </is>
      </c>
      <c r="G1233" s="68" t="inlineStr">
        <is>
          <t>独立甜品站装修</t>
        </is>
      </c>
      <c r="H1233" s="68" t="inlineStr">
        <is>
          <t>独立甜品站-外立面</t>
        </is>
      </c>
      <c r="I1233" s="69" t="inlineStr">
        <is>
          <t>1000081635</t>
        </is>
      </c>
      <c r="J1233" s="69" t="inlineStr">
        <is>
          <t>铝合金单开门连门框及全部配件（主材，力保）</t>
        </is>
      </c>
      <c r="K1233" s="70" t="n"/>
      <c r="L1233" s="70" t="n"/>
      <c r="M1233" s="71" t="inlineStr">
        <is>
          <t>樘</t>
        </is>
      </c>
      <c r="N1233" s="72" t="n">
        <v>2853.69</v>
      </c>
      <c r="O1233" s="72">
        <f>ROUND(N1233*(1+$F$10),2)</f>
        <v/>
      </c>
      <c r="P1233" s="73">
        <f>ROUND(K1233*N1233,2)</f>
        <v/>
      </c>
      <c r="Q1233" s="74">
        <f>ROUND(L1233*N1233,2)</f>
        <v/>
      </c>
      <c r="R1233" s="75" t="n"/>
      <c r="S1233" s="76" t="n"/>
      <c r="T1233" s="77">
        <f>K1233-L1233</f>
        <v/>
      </c>
      <c r="U1233" s="77">
        <f>P1233-Q1233</f>
        <v/>
      </c>
      <c r="V1233" s="77">
        <f>ABS(U1233)</f>
        <v/>
      </c>
      <c r="W1233" s="78">
        <f>T1233/L1233</f>
        <v/>
      </c>
      <c r="X1233" s="79">
        <f>ABS(W1233)</f>
        <v/>
      </c>
    </row>
    <row r="1234" ht="11.4" customHeight="1">
      <c r="A1234" s="67" t="inlineStr">
        <is>
          <t>8148</t>
        </is>
      </c>
      <c r="B1234" s="67" t="inlineStr">
        <is>
          <t>1154</t>
        </is>
      </c>
      <c r="C1234" s="67" t="inlineStr">
        <is>
          <t>8485</t>
        </is>
      </c>
      <c r="D1234" s="68" t="inlineStr">
        <is>
          <t>21</t>
        </is>
      </c>
      <c r="E1234" s="68" t="inlineStr">
        <is>
          <t>Kiosk-LHI</t>
        </is>
      </c>
      <c r="F1234" s="68" t="inlineStr">
        <is>
          <t>独立甜品站装修</t>
        </is>
      </c>
      <c r="G1234" s="68" t="inlineStr">
        <is>
          <t>独立甜品站装修</t>
        </is>
      </c>
      <c r="H1234" s="68" t="inlineStr">
        <is>
          <t>独立甜品站-外立面</t>
        </is>
      </c>
      <c r="I1234" s="69" t="inlineStr">
        <is>
          <t>1000081639</t>
        </is>
      </c>
      <c r="J1234" s="69" t="inlineStr">
        <is>
          <t>窄边不锈钢双开门连门框及全部配件（主材，天晟）</t>
        </is>
      </c>
      <c r="K1234" s="70" t="n"/>
      <c r="L1234" s="70" t="n"/>
      <c r="M1234" s="71" t="inlineStr">
        <is>
          <t>樘</t>
        </is>
      </c>
      <c r="N1234" s="72" t="n">
        <v>6665.03</v>
      </c>
      <c r="O1234" s="72">
        <f>ROUND(N1234*(1+$F$10),2)</f>
        <v/>
      </c>
      <c r="P1234" s="73">
        <f>ROUND(K1234*N1234,2)</f>
        <v/>
      </c>
      <c r="Q1234" s="74">
        <f>ROUND(L1234*N1234,2)</f>
        <v/>
      </c>
      <c r="R1234" s="75" t="n"/>
      <c r="S1234" s="76" t="n"/>
      <c r="T1234" s="77">
        <f>K1234-L1234</f>
        <v/>
      </c>
      <c r="U1234" s="77">
        <f>P1234-Q1234</f>
        <v/>
      </c>
      <c r="V1234" s="77">
        <f>ABS(U1234)</f>
        <v/>
      </c>
      <c r="W1234" s="78">
        <f>T1234/L1234</f>
        <v/>
      </c>
      <c r="X1234" s="79">
        <f>ABS(W1234)</f>
        <v/>
      </c>
    </row>
    <row r="1235" ht="11.4" customHeight="1">
      <c r="A1235" s="67" t="inlineStr">
        <is>
          <t>8148</t>
        </is>
      </c>
      <c r="B1235" s="67" t="inlineStr">
        <is>
          <t>1154</t>
        </is>
      </c>
      <c r="C1235" s="67" t="inlineStr">
        <is>
          <t>8485</t>
        </is>
      </c>
      <c r="D1235" s="68" t="inlineStr">
        <is>
          <t>21</t>
        </is>
      </c>
      <c r="E1235" s="68" t="inlineStr">
        <is>
          <t>Kiosk-LHI</t>
        </is>
      </c>
      <c r="F1235" s="68" t="inlineStr">
        <is>
          <t>独立甜品站装修</t>
        </is>
      </c>
      <c r="G1235" s="68" t="inlineStr">
        <is>
          <t>独立甜品站装修</t>
        </is>
      </c>
      <c r="H1235" s="68" t="inlineStr">
        <is>
          <t>独立甜品站-外立面</t>
        </is>
      </c>
      <c r="I1235" s="69" t="inlineStr">
        <is>
          <t>1000082233</t>
        </is>
      </c>
      <c r="J1235" s="69" t="inlineStr">
        <is>
          <t>窄边不锈钢单开门连门框及全部配件（主材，天晟）</t>
        </is>
      </c>
      <c r="K1235" s="70" t="n"/>
      <c r="L1235" s="70" t="n"/>
      <c r="M1235" s="71" t="inlineStr">
        <is>
          <t>樘</t>
        </is>
      </c>
      <c r="N1235" s="72" t="n">
        <v>3581.29</v>
      </c>
      <c r="O1235" s="72">
        <f>ROUND(N1235*(1+$F$10),2)</f>
        <v/>
      </c>
      <c r="P1235" s="73">
        <f>ROUND(K1235*N1235,2)</f>
        <v/>
      </c>
      <c r="Q1235" s="74">
        <f>ROUND(L1235*N1235,2)</f>
        <v/>
      </c>
      <c r="R1235" s="75" t="n"/>
      <c r="S1235" s="76" t="n"/>
      <c r="T1235" s="77">
        <f>K1235-L1235</f>
        <v/>
      </c>
      <c r="U1235" s="77">
        <f>P1235-Q1235</f>
        <v/>
      </c>
      <c r="V1235" s="77">
        <f>ABS(U1235)</f>
        <v/>
      </c>
      <c r="W1235" s="78">
        <f>T1235/L1235</f>
        <v/>
      </c>
      <c r="X1235" s="79">
        <f>ABS(W1235)</f>
        <v/>
      </c>
    </row>
    <row r="1236" ht="11.4" customHeight="1">
      <c r="A1236" s="67" t="inlineStr">
        <is>
          <t>8148</t>
        </is>
      </c>
      <c r="B1236" s="67" t="inlineStr">
        <is>
          <t>1154</t>
        </is>
      </c>
      <c r="C1236" s="67" t="inlineStr">
        <is>
          <t>8485</t>
        </is>
      </c>
      <c r="D1236" s="68" t="inlineStr">
        <is>
          <t>21</t>
        </is>
      </c>
      <c r="E1236" s="68" t="inlineStr">
        <is>
          <t>Kiosk-LHI</t>
        </is>
      </c>
      <c r="F1236" s="68" t="inlineStr">
        <is>
          <t>独立甜品站装修</t>
        </is>
      </c>
      <c r="G1236" s="68" t="inlineStr">
        <is>
          <t>独立甜品站装修</t>
        </is>
      </c>
      <c r="H1236" s="68" t="inlineStr">
        <is>
          <t>独立甜品站-外立面</t>
        </is>
      </c>
      <c r="I1236" s="69" t="inlineStr">
        <is>
          <t>1000082234</t>
        </is>
      </c>
      <c r="J1236" s="69" t="inlineStr">
        <is>
          <t>窄边不锈钢双开门连门框及全部配件（主材，航凯）</t>
        </is>
      </c>
      <c r="K1236" s="70" t="n"/>
      <c r="L1236" s="70" t="n"/>
      <c r="M1236" s="71" t="inlineStr">
        <is>
          <t>樘</t>
        </is>
      </c>
      <c r="N1236" s="72" t="n">
        <v>6335.47</v>
      </c>
      <c r="O1236" s="72">
        <f>ROUND(N1236*(1+$F$10),2)</f>
        <v/>
      </c>
      <c r="P1236" s="73">
        <f>ROUND(K1236*N1236,2)</f>
        <v/>
      </c>
      <c r="Q1236" s="74">
        <f>ROUND(L1236*N1236,2)</f>
        <v/>
      </c>
      <c r="R1236" s="75" t="n"/>
      <c r="S1236" s="76" t="n"/>
      <c r="T1236" s="77">
        <f>K1236-L1236</f>
        <v/>
      </c>
      <c r="U1236" s="77">
        <f>P1236-Q1236</f>
        <v/>
      </c>
      <c r="V1236" s="77">
        <f>ABS(U1236)</f>
        <v/>
      </c>
      <c r="W1236" s="78">
        <f>T1236/L1236</f>
        <v/>
      </c>
      <c r="X1236" s="79">
        <f>ABS(W1236)</f>
        <v/>
      </c>
    </row>
    <row r="1237" ht="11.4" customHeight="1">
      <c r="A1237" s="67" t="inlineStr">
        <is>
          <t>8148</t>
        </is>
      </c>
      <c r="B1237" s="67" t="inlineStr">
        <is>
          <t>1154</t>
        </is>
      </c>
      <c r="C1237" s="67" t="inlineStr">
        <is>
          <t>8485</t>
        </is>
      </c>
      <c r="D1237" s="68" t="inlineStr">
        <is>
          <t>21</t>
        </is>
      </c>
      <c r="E1237" s="68" t="inlineStr">
        <is>
          <t>Kiosk-LHI</t>
        </is>
      </c>
      <c r="F1237" s="68" t="inlineStr">
        <is>
          <t>独立甜品站装修</t>
        </is>
      </c>
      <c r="G1237" s="68" t="inlineStr">
        <is>
          <t>独立甜品站装修</t>
        </is>
      </c>
      <c r="H1237" s="68" t="inlineStr">
        <is>
          <t>独立甜品站-外立面</t>
        </is>
      </c>
      <c r="I1237" s="69" t="inlineStr">
        <is>
          <t>1000082402</t>
        </is>
      </c>
      <c r="J1237" s="69" t="inlineStr">
        <is>
          <t>窄边不锈钢单开门连门框及全部配件（主材，航凯）</t>
        </is>
      </c>
      <c r="K1237" s="70" t="n"/>
      <c r="L1237" s="70" t="n"/>
      <c r="M1237" s="71" t="inlineStr">
        <is>
          <t>樘</t>
        </is>
      </c>
      <c r="N1237" s="72" t="n">
        <v>3268.85</v>
      </c>
      <c r="O1237" s="72">
        <f>ROUND(N1237*(1+$F$10),2)</f>
        <v/>
      </c>
      <c r="P1237" s="73">
        <f>ROUND(K1237*N1237,2)</f>
        <v/>
      </c>
      <c r="Q1237" s="74">
        <f>ROUND(L1237*N1237,2)</f>
        <v/>
      </c>
      <c r="R1237" s="75" t="n"/>
      <c r="S1237" s="76" t="n"/>
      <c r="T1237" s="77">
        <f>K1237-L1237</f>
        <v/>
      </c>
      <c r="U1237" s="77">
        <f>P1237-Q1237</f>
        <v/>
      </c>
      <c r="V1237" s="77">
        <f>ABS(U1237)</f>
        <v/>
      </c>
      <c r="W1237" s="78">
        <f>T1237/L1237</f>
        <v/>
      </c>
      <c r="X1237" s="79">
        <f>ABS(W1237)</f>
        <v/>
      </c>
    </row>
    <row r="1238" ht="11.4" customHeight="1">
      <c r="A1238" s="67" t="inlineStr">
        <is>
          <t>8148</t>
        </is>
      </c>
      <c r="B1238" s="67" t="inlineStr">
        <is>
          <t>1154</t>
        </is>
      </c>
      <c r="C1238" s="67" t="inlineStr">
        <is>
          <t>8485</t>
        </is>
      </c>
      <c r="D1238" s="68" t="inlineStr">
        <is>
          <t>21</t>
        </is>
      </c>
      <c r="E1238" s="68" t="inlineStr">
        <is>
          <t>Kiosk-LHI</t>
        </is>
      </c>
      <c r="F1238" s="68" t="inlineStr">
        <is>
          <t>独立甜品站装修</t>
        </is>
      </c>
      <c r="G1238" s="68" t="inlineStr">
        <is>
          <t>独立甜品站装修</t>
        </is>
      </c>
      <c r="H1238" s="68" t="inlineStr">
        <is>
          <t>独立甜品站-外立面</t>
        </is>
      </c>
      <c r="I1238" s="69" t="inlineStr">
        <is>
          <t>1000081637</t>
        </is>
      </c>
      <c r="J1238" s="69" t="inlineStr">
        <is>
          <t>窄边不锈钢双开门连门框及全部配件（主材，力保）</t>
        </is>
      </c>
      <c r="K1238" s="70" t="n"/>
      <c r="L1238" s="70" t="n"/>
      <c r="M1238" s="71" t="inlineStr">
        <is>
          <t>樘</t>
        </is>
      </c>
      <c r="N1238" s="72" t="n">
        <v>6589.06</v>
      </c>
      <c r="O1238" s="72">
        <f>ROUND(N1238*(1+$F$10),2)</f>
        <v/>
      </c>
      <c r="P1238" s="73">
        <f>ROUND(K1238*N1238,2)</f>
        <v/>
      </c>
      <c r="Q1238" s="74">
        <f>ROUND(L1238*N1238,2)</f>
        <v/>
      </c>
      <c r="R1238" s="75" t="n"/>
      <c r="S1238" s="76" t="n"/>
      <c r="T1238" s="77">
        <f>K1238-L1238</f>
        <v/>
      </c>
      <c r="U1238" s="77">
        <f>P1238-Q1238</f>
        <v/>
      </c>
      <c r="V1238" s="77">
        <f>ABS(U1238)</f>
        <v/>
      </c>
      <c r="W1238" s="78">
        <f>T1238/L1238</f>
        <v/>
      </c>
      <c r="X1238" s="79">
        <f>ABS(W1238)</f>
        <v/>
      </c>
    </row>
    <row r="1239" ht="11.4" customHeight="1">
      <c r="A1239" s="67" t="inlineStr">
        <is>
          <t>8148</t>
        </is>
      </c>
      <c r="B1239" s="67" t="inlineStr">
        <is>
          <t>1154</t>
        </is>
      </c>
      <c r="C1239" s="67" t="inlineStr">
        <is>
          <t>8485</t>
        </is>
      </c>
      <c r="D1239" s="68" t="inlineStr">
        <is>
          <t>21</t>
        </is>
      </c>
      <c r="E1239" s="68" t="inlineStr">
        <is>
          <t>Kiosk-LHI</t>
        </is>
      </c>
      <c r="F1239" s="68" t="inlineStr">
        <is>
          <t>独立甜品站装修</t>
        </is>
      </c>
      <c r="G1239" s="68" t="inlineStr">
        <is>
          <t>独立甜品站装修</t>
        </is>
      </c>
      <c r="H1239" s="68" t="inlineStr">
        <is>
          <t>独立甜品站-外立面</t>
        </is>
      </c>
      <c r="I1239" s="69" t="inlineStr">
        <is>
          <t>1000081638</t>
        </is>
      </c>
      <c r="J1239" s="69" t="inlineStr">
        <is>
          <t>窄边不锈钢单开门连门框及全部配件（主材，力保）</t>
        </is>
      </c>
      <c r="K1239" s="70" t="n"/>
      <c r="L1239" s="70" t="n"/>
      <c r="M1239" s="71" t="inlineStr">
        <is>
          <t>樘</t>
        </is>
      </c>
      <c r="N1239" s="72" t="n">
        <v>3398.32</v>
      </c>
      <c r="O1239" s="72">
        <f>ROUND(N1239*(1+$F$10),2)</f>
        <v/>
      </c>
      <c r="P1239" s="73">
        <f>ROUND(K1239*N1239,2)</f>
        <v/>
      </c>
      <c r="Q1239" s="74">
        <f>ROUND(L1239*N1239,2)</f>
        <v/>
      </c>
      <c r="R1239" s="75" t="n"/>
      <c r="S1239" s="76" t="n"/>
      <c r="T1239" s="77">
        <f>K1239-L1239</f>
        <v/>
      </c>
      <c r="U1239" s="77">
        <f>P1239-Q1239</f>
        <v/>
      </c>
      <c r="V1239" s="77">
        <f>ABS(U1239)</f>
        <v/>
      </c>
      <c r="W1239" s="78">
        <f>T1239/L1239</f>
        <v/>
      </c>
      <c r="X1239" s="79">
        <f>ABS(W1239)</f>
        <v/>
      </c>
    </row>
    <row r="1240" ht="11.4" customHeight="1">
      <c r="A1240" s="67" t="inlineStr">
        <is>
          <t>8059</t>
        </is>
      </c>
      <c r="B1240" s="67" t="inlineStr">
        <is>
          <t>1057</t>
        </is>
      </c>
      <c r="C1240" s="67" t="inlineStr">
        <is>
          <t>1611</t>
        </is>
      </c>
      <c r="D1240" s="68" t="inlineStr">
        <is>
          <t>21</t>
        </is>
      </c>
      <c r="E1240" s="68" t="inlineStr">
        <is>
          <t>Kiosk-LHI</t>
        </is>
      </c>
      <c r="F1240" s="68" t="inlineStr">
        <is>
          <t>独立甜品站装修</t>
        </is>
      </c>
      <c r="G1240" s="68" t="inlineStr">
        <is>
          <t>独立甜品站装修</t>
        </is>
      </c>
      <c r="H1240" s="68" t="inlineStr">
        <is>
          <t>独立甜品站-外立面</t>
        </is>
      </c>
      <c r="I1240" s="69" t="inlineStr">
        <is>
          <t>1000021798</t>
        </is>
      </c>
      <c r="J1240" s="69" t="inlineStr">
        <is>
          <t>(安装)铝合金双开门连门框</t>
        </is>
      </c>
      <c r="K1240" s="70" t="n"/>
      <c r="L1240" s="70" t="n"/>
      <c r="M1240" s="71" t="inlineStr">
        <is>
          <t>樘</t>
        </is>
      </c>
      <c r="N1240" s="72" t="n">
        <v>539.86</v>
      </c>
      <c r="O1240" s="72">
        <f>ROUND(N1240*(1+$F$10),2)</f>
        <v/>
      </c>
      <c r="P1240" s="73">
        <f>ROUND(K1240*N1240,2)</f>
        <v/>
      </c>
      <c r="Q1240" s="74">
        <f>ROUND(L1240*N1240,2)</f>
        <v/>
      </c>
      <c r="R1240" s="75" t="n"/>
      <c r="S1240" s="76" t="n"/>
      <c r="T1240" s="77">
        <f>K1240-L1240</f>
        <v/>
      </c>
      <c r="U1240" s="77">
        <f>P1240-Q1240</f>
        <v/>
      </c>
      <c r="V1240" s="77">
        <f>ABS(U1240)</f>
        <v/>
      </c>
      <c r="W1240" s="78">
        <f>T1240/L1240</f>
        <v/>
      </c>
      <c r="X1240" s="79">
        <f>ABS(W1240)</f>
        <v/>
      </c>
    </row>
    <row r="1241" ht="11.4" customHeight="1">
      <c r="A1241" s="67" t="inlineStr">
        <is>
          <t>8059</t>
        </is>
      </c>
      <c r="B1241" s="67" t="inlineStr">
        <is>
          <t>1057</t>
        </is>
      </c>
      <c r="C1241" s="67" t="inlineStr">
        <is>
          <t>1611</t>
        </is>
      </c>
      <c r="D1241" s="68" t="inlineStr">
        <is>
          <t>21</t>
        </is>
      </c>
      <c r="E1241" s="68" t="inlineStr">
        <is>
          <t>Kiosk-LHI</t>
        </is>
      </c>
      <c r="F1241" s="68" t="inlineStr">
        <is>
          <t>独立甜品站装修</t>
        </is>
      </c>
      <c r="G1241" s="68" t="inlineStr">
        <is>
          <t>独立甜品站装修</t>
        </is>
      </c>
      <c r="H1241" s="68" t="inlineStr">
        <is>
          <t>独立甜品站-外立面</t>
        </is>
      </c>
      <c r="I1241" s="69" t="inlineStr">
        <is>
          <t>1000021799</t>
        </is>
      </c>
      <c r="J1241" s="69" t="inlineStr">
        <is>
          <t>(安装)铝合金单开门连门框</t>
        </is>
      </c>
      <c r="K1241" s="70" t="n"/>
      <c r="L1241" s="70" t="n"/>
      <c r="M1241" s="71" t="inlineStr">
        <is>
          <t>樘</t>
        </is>
      </c>
      <c r="N1241" s="72" t="n">
        <v>311.29</v>
      </c>
      <c r="O1241" s="72">
        <f>ROUND(N1241*(1+$F$10),2)</f>
        <v/>
      </c>
      <c r="P1241" s="73">
        <f>ROUND(K1241*N1241,2)</f>
        <v/>
      </c>
      <c r="Q1241" s="74">
        <f>ROUND(L1241*N1241,2)</f>
        <v/>
      </c>
      <c r="R1241" s="75" t="n"/>
      <c r="S1241" s="76" t="n"/>
      <c r="T1241" s="77">
        <f>K1241-L1241</f>
        <v/>
      </c>
      <c r="U1241" s="77">
        <f>P1241-Q1241</f>
        <v/>
      </c>
      <c r="V1241" s="77">
        <f>ABS(U1241)</f>
        <v/>
      </c>
      <c r="W1241" s="78">
        <f>T1241/L1241</f>
        <v/>
      </c>
      <c r="X1241" s="79">
        <f>ABS(W1241)</f>
        <v/>
      </c>
    </row>
    <row r="1242" ht="11.4" customHeight="1">
      <c r="A1242" s="67" t="inlineStr">
        <is>
          <t>8059</t>
        </is>
      </c>
      <c r="B1242" s="67" t="inlineStr">
        <is>
          <t>1057</t>
        </is>
      </c>
      <c r="C1242" s="67" t="inlineStr">
        <is>
          <t>1611</t>
        </is>
      </c>
      <c r="D1242" s="68" t="inlineStr">
        <is>
          <t>21</t>
        </is>
      </c>
      <c r="E1242" s="68" t="inlineStr">
        <is>
          <t>Kiosk-LHI</t>
        </is>
      </c>
      <c r="F1242" s="68" t="inlineStr">
        <is>
          <t>独立甜品站装修</t>
        </is>
      </c>
      <c r="G1242" s="68" t="inlineStr">
        <is>
          <t>独立甜品站装修</t>
        </is>
      </c>
      <c r="H1242" s="68" t="inlineStr">
        <is>
          <t>独立甜品站-墙面</t>
        </is>
      </c>
      <c r="I1242" s="69" t="inlineStr">
        <is>
          <t>1000021636</t>
        </is>
      </c>
      <c r="J1242" s="69" t="inlineStr">
        <is>
          <t>150*75mm二三窗墙面砖（琛雄）</t>
        </is>
      </c>
      <c r="K1242" s="70" t="n"/>
      <c r="L1242" s="70" t="n"/>
      <c r="M1242" s="71" t="inlineStr">
        <is>
          <t>m2</t>
        </is>
      </c>
      <c r="N1242" s="72" t="n">
        <v>209.13</v>
      </c>
      <c r="O1242" s="72">
        <f>ROUND(N1242*(1+$F$10),2)</f>
        <v/>
      </c>
      <c r="P1242" s="73">
        <f>ROUND(K1242*N1242,2)</f>
        <v/>
      </c>
      <c r="Q1242" s="74">
        <f>ROUND(L1242*N1242,2)</f>
        <v/>
      </c>
      <c r="R1242" s="75" t="n"/>
      <c r="S1242" s="76" t="n"/>
      <c r="T1242" s="77">
        <f>K1242-L1242</f>
        <v/>
      </c>
      <c r="U1242" s="77">
        <f>P1242-Q1242</f>
        <v/>
      </c>
      <c r="V1242" s="77">
        <f>ABS(U1242)</f>
        <v/>
      </c>
      <c r="W1242" s="78">
        <f>T1242/L1242</f>
        <v/>
      </c>
      <c r="X1242" s="79">
        <f>ABS(W1242)</f>
        <v/>
      </c>
    </row>
    <row r="1243" ht="11.4" customHeight="1">
      <c r="A1243" s="67" t="inlineStr">
        <is>
          <t>8059</t>
        </is>
      </c>
      <c r="B1243" s="67" t="inlineStr">
        <is>
          <t>1057</t>
        </is>
      </c>
      <c r="C1243" s="67" t="inlineStr">
        <is>
          <t>1611</t>
        </is>
      </c>
      <c r="D1243" s="68" t="inlineStr">
        <is>
          <t>21</t>
        </is>
      </c>
      <c r="E1243" s="68" t="inlineStr">
        <is>
          <t>Kiosk-LHI</t>
        </is>
      </c>
      <c r="F1243" s="68" t="inlineStr">
        <is>
          <t>独立甜品站装修</t>
        </is>
      </c>
      <c r="G1243" s="68" t="inlineStr">
        <is>
          <t>独立甜品站装修</t>
        </is>
      </c>
      <c r="H1243" s="68" t="inlineStr">
        <is>
          <t>独立甜品站-墙面</t>
        </is>
      </c>
      <c r="I1243" s="69" t="inlineStr">
        <is>
          <t>1000021647</t>
        </is>
      </c>
      <c r="J1243" s="69" t="inlineStr">
        <is>
          <t>150*75mm二三窗墙面砖（共荣）</t>
        </is>
      </c>
      <c r="K1243" s="70" t="n"/>
      <c r="L1243" s="70" t="n"/>
      <c r="M1243" s="71" t="inlineStr">
        <is>
          <t>m2</t>
        </is>
      </c>
      <c r="N1243" s="72" t="n">
        <v>203.08</v>
      </c>
      <c r="O1243" s="72">
        <f>ROUND(N1243*(1+$F$10),2)</f>
        <v/>
      </c>
      <c r="P1243" s="73">
        <f>ROUND(K1243*N1243,2)</f>
        <v/>
      </c>
      <c r="Q1243" s="74">
        <f>ROUND(L1243*N1243,2)</f>
        <v/>
      </c>
      <c r="R1243" s="75" t="n"/>
      <c r="S1243" s="76" t="n"/>
      <c r="T1243" s="77">
        <f>K1243-L1243</f>
        <v/>
      </c>
      <c r="U1243" s="77">
        <f>P1243-Q1243</f>
        <v/>
      </c>
      <c r="V1243" s="77">
        <f>ABS(U1243)</f>
        <v/>
      </c>
      <c r="W1243" s="78">
        <f>T1243/L1243</f>
        <v/>
      </c>
      <c r="X1243" s="79">
        <f>ABS(W1243)</f>
        <v/>
      </c>
    </row>
    <row r="1244" ht="11.4" customHeight="1">
      <c r="A1244" s="67" t="inlineStr">
        <is>
          <t>8059</t>
        </is>
      </c>
      <c r="B1244" s="67" t="inlineStr">
        <is>
          <t>1057</t>
        </is>
      </c>
      <c r="C1244" s="67" t="inlineStr">
        <is>
          <t>1611</t>
        </is>
      </c>
      <c r="D1244" s="68" t="inlineStr">
        <is>
          <t>21</t>
        </is>
      </c>
      <c r="E1244" s="68" t="inlineStr">
        <is>
          <t>Kiosk-LHI</t>
        </is>
      </c>
      <c r="F1244" s="68" t="inlineStr">
        <is>
          <t>独立甜品站装修</t>
        </is>
      </c>
      <c r="G1244" s="68" t="inlineStr">
        <is>
          <t>独立甜品站装修</t>
        </is>
      </c>
      <c r="H1244" s="68" t="inlineStr">
        <is>
          <t>独立甜品站-墙面</t>
        </is>
      </c>
      <c r="I1244" s="69" t="inlineStr">
        <is>
          <t>1000021495</t>
        </is>
      </c>
      <c r="J1244" s="69" t="inlineStr">
        <is>
          <t>150*75mm二三窗墙面砖（冠军）</t>
        </is>
      </c>
      <c r="K1244" s="70" t="n"/>
      <c r="L1244" s="70" t="n"/>
      <c r="M1244" s="71" t="inlineStr">
        <is>
          <t>m2</t>
        </is>
      </c>
      <c r="N1244" s="72" t="n">
        <v>209.13</v>
      </c>
      <c r="O1244" s="72">
        <f>ROUND(N1244*(1+$F$10),2)</f>
        <v/>
      </c>
      <c r="P1244" s="73">
        <f>ROUND(K1244*N1244,2)</f>
        <v/>
      </c>
      <c r="Q1244" s="74">
        <f>ROUND(L1244*N1244,2)</f>
        <v/>
      </c>
      <c r="R1244" s="75" t="n"/>
      <c r="S1244" s="76" t="n"/>
      <c r="T1244" s="77">
        <f>K1244-L1244</f>
        <v/>
      </c>
      <c r="U1244" s="77">
        <f>P1244-Q1244</f>
        <v/>
      </c>
      <c r="V1244" s="77">
        <f>ABS(U1244)</f>
        <v/>
      </c>
      <c r="W1244" s="78">
        <f>T1244/L1244</f>
        <v/>
      </c>
      <c r="X1244" s="79">
        <f>ABS(W1244)</f>
        <v/>
      </c>
    </row>
    <row r="1245" ht="11.4" customHeight="1">
      <c r="A1245" s="67" t="inlineStr">
        <is>
          <t>8059</t>
        </is>
      </c>
      <c r="B1245" s="67" t="inlineStr">
        <is>
          <t>1057</t>
        </is>
      </c>
      <c r="C1245" s="67" t="inlineStr">
        <is>
          <t>1611</t>
        </is>
      </c>
      <c r="D1245" s="68" t="inlineStr">
        <is>
          <t>21</t>
        </is>
      </c>
      <c r="E1245" s="68" t="inlineStr">
        <is>
          <t>Kiosk-LHI</t>
        </is>
      </c>
      <c r="F1245" s="68" t="inlineStr">
        <is>
          <t>独立甜品站装修</t>
        </is>
      </c>
      <c r="G1245" s="68" t="inlineStr">
        <is>
          <t>独立甜品站装修</t>
        </is>
      </c>
      <c r="H1245" s="68" t="inlineStr">
        <is>
          <t>独立甜品站-外立面</t>
        </is>
      </c>
      <c r="I1245" s="69" t="inlineStr">
        <is>
          <t>1000021496</t>
        </is>
      </c>
      <c r="J1245" s="69" t="inlineStr">
        <is>
          <t>仿木外墙装饰条</t>
        </is>
      </c>
      <c r="K1245" s="70" t="n"/>
      <c r="L1245" s="70" t="n"/>
      <c r="M1245" s="71" t="inlineStr">
        <is>
          <t>m2</t>
        </is>
      </c>
      <c r="N1245" s="72" t="n">
        <v>660.97</v>
      </c>
      <c r="O1245" s="72">
        <f>ROUND(N1245*(1+$F$10),2)</f>
        <v/>
      </c>
      <c r="P1245" s="73">
        <f>ROUND(K1245*N1245,2)</f>
        <v/>
      </c>
      <c r="Q1245" s="74">
        <f>ROUND(L1245*N1245,2)</f>
        <v/>
      </c>
      <c r="R1245" s="75" t="n"/>
      <c r="S1245" s="76" t="n"/>
      <c r="T1245" s="77">
        <f>K1245-L1245</f>
        <v/>
      </c>
      <c r="U1245" s="77">
        <f>P1245-Q1245</f>
        <v/>
      </c>
      <c r="V1245" s="77">
        <f>ABS(U1245)</f>
        <v/>
      </c>
      <c r="W1245" s="78">
        <f>T1245/L1245</f>
        <v/>
      </c>
      <c r="X1245" s="79">
        <f>ABS(W1245)</f>
        <v/>
      </c>
    </row>
    <row r="1246" ht="11.4" customHeight="1">
      <c r="A1246" s="67" t="inlineStr">
        <is>
          <t>8059</t>
        </is>
      </c>
      <c r="B1246" s="67" t="inlineStr">
        <is>
          <t>1057</t>
        </is>
      </c>
      <c r="C1246" s="67" t="inlineStr">
        <is>
          <t>1611</t>
        </is>
      </c>
      <c r="D1246" s="68" t="inlineStr">
        <is>
          <t>21</t>
        </is>
      </c>
      <c r="E1246" s="68" t="inlineStr">
        <is>
          <t>Kiosk-LHI</t>
        </is>
      </c>
      <c r="F1246" s="68" t="inlineStr">
        <is>
          <t>独立甜品站装修</t>
        </is>
      </c>
      <c r="G1246" s="68" t="inlineStr">
        <is>
          <t>独立甜品站装修</t>
        </is>
      </c>
      <c r="H1246" s="68" t="inlineStr">
        <is>
          <t>独立甜品站-外立面</t>
        </is>
      </c>
      <c r="I1246" s="69" t="inlineStr">
        <is>
          <t>1000021638</t>
        </is>
      </c>
      <c r="J1246" s="69" t="inlineStr">
        <is>
          <t>外墙人造石面层</t>
        </is>
      </c>
      <c r="K1246" s="70" t="n"/>
      <c r="L1246" s="70" t="n"/>
      <c r="M1246" s="71" t="inlineStr">
        <is>
          <t>m2</t>
        </is>
      </c>
      <c r="N1246" s="72" t="n">
        <v>1134.73</v>
      </c>
      <c r="O1246" s="72">
        <f>ROUND(N1246*(1+$F$10),2)</f>
        <v/>
      </c>
      <c r="P1246" s="73">
        <f>ROUND(K1246*N1246,2)</f>
        <v/>
      </c>
      <c r="Q1246" s="74">
        <f>ROUND(L1246*N1246,2)</f>
        <v/>
      </c>
      <c r="R1246" s="75" t="n"/>
      <c r="S1246" s="76" t="n"/>
      <c r="T1246" s="77">
        <f>K1246-L1246</f>
        <v/>
      </c>
      <c r="U1246" s="77">
        <f>P1246-Q1246</f>
        <v/>
      </c>
      <c r="V1246" s="77">
        <f>ABS(U1246)</f>
        <v/>
      </c>
      <c r="W1246" s="78">
        <f>T1246/L1246</f>
        <v/>
      </c>
      <c r="X1246" s="79">
        <f>ABS(W1246)</f>
        <v/>
      </c>
    </row>
    <row r="1247" ht="11.4" customHeight="1">
      <c r="A1247" s="67" t="inlineStr">
        <is>
          <t>8059</t>
        </is>
      </c>
      <c r="B1247" s="67" t="inlineStr">
        <is>
          <t>1057</t>
        </is>
      </c>
      <c r="C1247" s="67" t="inlineStr">
        <is>
          <t>1611</t>
        </is>
      </c>
      <c r="D1247" s="68" t="inlineStr">
        <is>
          <t>21</t>
        </is>
      </c>
      <c r="E1247" s="68" t="inlineStr">
        <is>
          <t>Kiosk-LHI</t>
        </is>
      </c>
      <c r="F1247" s="68" t="inlineStr">
        <is>
          <t>独立甜品站装修</t>
        </is>
      </c>
      <c r="G1247" s="68" t="inlineStr">
        <is>
          <t>独立甜品站装修</t>
        </is>
      </c>
      <c r="H1247" s="68" t="inlineStr">
        <is>
          <t>独立甜品站-外立面</t>
        </is>
      </c>
      <c r="I1247" s="69" t="inlineStr">
        <is>
          <t>1000021492</t>
        </is>
      </c>
      <c r="J1247" s="69" t="inlineStr">
        <is>
          <t>外墙塑铝板（新高丽）</t>
        </is>
      </c>
      <c r="K1247" s="70" t="n"/>
      <c r="L1247" s="70" t="n"/>
      <c r="M1247" s="71" t="inlineStr">
        <is>
          <t>m2</t>
        </is>
      </c>
      <c r="N1247" s="72" t="n">
        <v>464.59</v>
      </c>
      <c r="O1247" s="72">
        <f>ROUND(N1247*(1+$F$10),2)</f>
        <v/>
      </c>
      <c r="P1247" s="73">
        <f>ROUND(K1247*N1247,2)</f>
        <v/>
      </c>
      <c r="Q1247" s="74">
        <f>ROUND(L1247*N1247,2)</f>
        <v/>
      </c>
      <c r="R1247" s="75" t="n"/>
      <c r="S1247" s="76" t="n"/>
      <c r="T1247" s="77">
        <f>K1247-L1247</f>
        <v/>
      </c>
      <c r="U1247" s="77">
        <f>P1247-Q1247</f>
        <v/>
      </c>
      <c r="V1247" s="77">
        <f>ABS(U1247)</f>
        <v/>
      </c>
      <c r="W1247" s="78">
        <f>T1247/L1247</f>
        <v/>
      </c>
      <c r="X1247" s="79">
        <f>ABS(W1247)</f>
        <v/>
      </c>
    </row>
    <row r="1248" ht="11.4" customHeight="1">
      <c r="A1248" s="67" t="inlineStr">
        <is>
          <t>8059</t>
        </is>
      </c>
      <c r="B1248" s="67" t="inlineStr">
        <is>
          <t>1057</t>
        </is>
      </c>
      <c r="C1248" s="67" t="inlineStr">
        <is>
          <t>1611</t>
        </is>
      </c>
      <c r="D1248" s="68" t="inlineStr">
        <is>
          <t>21</t>
        </is>
      </c>
      <c r="E1248" s="68" t="inlineStr">
        <is>
          <t>Kiosk-LHI</t>
        </is>
      </c>
      <c r="F1248" s="68" t="inlineStr">
        <is>
          <t>独立甜品站装修</t>
        </is>
      </c>
      <c r="G1248" s="68" t="inlineStr">
        <is>
          <t>独立甜品站装修</t>
        </is>
      </c>
      <c r="H1248" s="68" t="inlineStr">
        <is>
          <t>独立甜品站-外立面</t>
        </is>
      </c>
      <c r="I1248" s="69" t="inlineStr">
        <is>
          <t>1000040125</t>
        </is>
      </c>
      <c r="J1248" s="69" t="inlineStr">
        <is>
          <t>外墙塑铝板（桂可道）</t>
        </is>
      </c>
      <c r="K1248" s="70" t="n"/>
      <c r="L1248" s="70" t="n"/>
      <c r="M1248" s="71" t="inlineStr">
        <is>
          <t>m2</t>
        </is>
      </c>
      <c r="N1248" s="72" t="n">
        <v>460.58</v>
      </c>
      <c r="O1248" s="72">
        <f>ROUND(N1248*(1+$F$10),2)</f>
        <v/>
      </c>
      <c r="P1248" s="73">
        <f>ROUND(K1248*N1248,2)</f>
        <v/>
      </c>
      <c r="Q1248" s="74">
        <f>ROUND(L1248*N1248,2)</f>
        <v/>
      </c>
      <c r="R1248" s="75" t="n"/>
      <c r="S1248" s="76" t="n"/>
      <c r="T1248" s="77">
        <f>K1248-L1248</f>
        <v/>
      </c>
      <c r="U1248" s="77">
        <f>P1248-Q1248</f>
        <v/>
      </c>
      <c r="V1248" s="77">
        <f>ABS(U1248)</f>
        <v/>
      </c>
      <c r="W1248" s="78">
        <f>T1248/L1248</f>
        <v/>
      </c>
      <c r="X1248" s="79">
        <f>ABS(W1248)</f>
        <v/>
      </c>
    </row>
    <row r="1249" ht="11.4" customHeight="1">
      <c r="A1249" s="67" t="inlineStr">
        <is>
          <t>8059</t>
        </is>
      </c>
      <c r="B1249" s="67" t="inlineStr">
        <is>
          <t>1057</t>
        </is>
      </c>
      <c r="C1249" s="67" t="inlineStr">
        <is>
          <t>1611</t>
        </is>
      </c>
      <c r="D1249" s="68" t="inlineStr">
        <is>
          <t>21</t>
        </is>
      </c>
      <c r="E1249" s="68" t="inlineStr">
        <is>
          <t>Kiosk-LHI</t>
        </is>
      </c>
      <c r="F1249" s="68" t="inlineStr">
        <is>
          <t>独立甜品站装修</t>
        </is>
      </c>
      <c r="G1249" s="68" t="inlineStr">
        <is>
          <t>独立甜品站装修</t>
        </is>
      </c>
      <c r="H1249" s="68" t="inlineStr">
        <is>
          <t>独立甜品站-外立面</t>
        </is>
      </c>
      <c r="I1249" s="69" t="inlineStr">
        <is>
          <t>1000040126</t>
        </is>
      </c>
      <c r="J1249" s="69" t="inlineStr">
        <is>
          <t>外墙塑铝板（标榜）</t>
        </is>
      </c>
      <c r="K1249" s="70" t="n"/>
      <c r="L1249" s="70" t="n"/>
      <c r="M1249" s="71" t="inlineStr">
        <is>
          <t>m2</t>
        </is>
      </c>
      <c r="N1249" s="72" t="n">
        <v>464.64</v>
      </c>
      <c r="O1249" s="72">
        <f>ROUND(N1249*(1+$F$10),2)</f>
        <v/>
      </c>
      <c r="P1249" s="73">
        <f>ROUND(K1249*N1249,2)</f>
        <v/>
      </c>
      <c r="Q1249" s="74">
        <f>ROUND(L1249*N1249,2)</f>
        <v/>
      </c>
      <c r="R1249" s="75" t="n"/>
      <c r="S1249" s="76" t="n"/>
      <c r="T1249" s="77">
        <f>K1249-L1249</f>
        <v/>
      </c>
      <c r="U1249" s="77">
        <f>P1249-Q1249</f>
        <v/>
      </c>
      <c r="V1249" s="77">
        <f>ABS(U1249)</f>
        <v/>
      </c>
      <c r="W1249" s="78">
        <f>T1249/L1249</f>
        <v/>
      </c>
      <c r="X1249" s="79">
        <f>ABS(W1249)</f>
        <v/>
      </c>
    </row>
    <row r="1250" ht="11.4" customHeight="1">
      <c r="A1250" s="67" t="inlineStr">
        <is>
          <t>8059</t>
        </is>
      </c>
      <c r="B1250" s="67" t="inlineStr">
        <is>
          <t>1057</t>
        </is>
      </c>
      <c r="C1250" s="67" t="inlineStr">
        <is>
          <t>1611</t>
        </is>
      </c>
      <c r="D1250" s="68" t="inlineStr">
        <is>
          <t>21</t>
        </is>
      </c>
      <c r="E1250" s="68" t="inlineStr">
        <is>
          <t>Kiosk-LHI</t>
        </is>
      </c>
      <c r="F1250" s="68" t="inlineStr">
        <is>
          <t>独立甜品站装修</t>
        </is>
      </c>
      <c r="G1250" s="68" t="inlineStr">
        <is>
          <t>独立甜品站装修</t>
        </is>
      </c>
      <c r="H1250" s="68" t="inlineStr">
        <is>
          <t>独立甜品站-外立面</t>
        </is>
      </c>
      <c r="I1250" s="69" t="inlineStr">
        <is>
          <t>1000021786</t>
        </is>
      </c>
      <c r="J1250" s="69" t="inlineStr">
        <is>
          <t>外立面纯铝板</t>
        </is>
      </c>
      <c r="K1250" s="70" t="n"/>
      <c r="L1250" s="70" t="n"/>
      <c r="M1250" s="71" t="inlineStr">
        <is>
          <t>m2</t>
        </is>
      </c>
      <c r="N1250" s="72" t="n">
        <v>727.77</v>
      </c>
      <c r="O1250" s="72">
        <f>ROUND(N1250*(1+$F$10),2)</f>
        <v/>
      </c>
      <c r="P1250" s="73">
        <f>ROUND(K1250*N1250,2)</f>
        <v/>
      </c>
      <c r="Q1250" s="74">
        <f>ROUND(L1250*N1250,2)</f>
        <v/>
      </c>
      <c r="R1250" s="75" t="n"/>
      <c r="S1250" s="76" t="n"/>
      <c r="T1250" s="77">
        <f>K1250-L1250</f>
        <v/>
      </c>
      <c r="U1250" s="77">
        <f>P1250-Q1250</f>
        <v/>
      </c>
      <c r="V1250" s="77">
        <f>ABS(U1250)</f>
        <v/>
      </c>
      <c r="W1250" s="78">
        <f>T1250/L1250</f>
        <v/>
      </c>
      <c r="X1250" s="79">
        <f>ABS(W1250)</f>
        <v/>
      </c>
    </row>
    <row r="1251" ht="11.4" customHeight="1">
      <c r="A1251" s="67" t="inlineStr">
        <is>
          <t>8059</t>
        </is>
      </c>
      <c r="B1251" s="67" t="inlineStr">
        <is>
          <t>1057</t>
        </is>
      </c>
      <c r="C1251" s="67" t="inlineStr">
        <is>
          <t>1611</t>
        </is>
      </c>
      <c r="D1251" s="68" t="inlineStr">
        <is>
          <t>21</t>
        </is>
      </c>
      <c r="E1251" s="68" t="inlineStr">
        <is>
          <t>Kiosk-LHI</t>
        </is>
      </c>
      <c r="F1251" s="68" t="inlineStr">
        <is>
          <t>独立甜品站装修</t>
        </is>
      </c>
      <c r="G1251" s="68" t="inlineStr">
        <is>
          <t>独立甜品站装修</t>
        </is>
      </c>
      <c r="H1251" s="68" t="inlineStr">
        <is>
          <t>独立甜品站-外立面</t>
        </is>
      </c>
      <c r="I1251" s="69" t="inlineStr">
        <is>
          <t>1000022126</t>
        </is>
      </c>
      <c r="J1251" s="69" t="inlineStr">
        <is>
          <t>定制黄色烤漆铝板装饰带安装</t>
        </is>
      </c>
      <c r="K1251" s="70" t="n"/>
      <c r="L1251" s="70" t="n"/>
      <c r="M1251" s="71" t="inlineStr">
        <is>
          <t>m2</t>
        </is>
      </c>
      <c r="N1251" s="72" t="n">
        <v>298.96</v>
      </c>
      <c r="O1251" s="72">
        <f>ROUND(N1251*(1+$F$10),2)</f>
        <v/>
      </c>
      <c r="P1251" s="73">
        <f>ROUND(K1251*N1251,2)</f>
        <v/>
      </c>
      <c r="Q1251" s="74">
        <f>ROUND(L1251*N1251,2)</f>
        <v/>
      </c>
      <c r="R1251" s="75" t="n"/>
      <c r="S1251" s="76" t="n"/>
      <c r="T1251" s="77">
        <f>K1251-L1251</f>
        <v/>
      </c>
      <c r="U1251" s="77">
        <f>P1251-Q1251</f>
        <v/>
      </c>
      <c r="V1251" s="77">
        <f>ABS(U1251)</f>
        <v/>
      </c>
      <c r="W1251" s="78">
        <f>T1251/L1251</f>
        <v/>
      </c>
      <c r="X1251" s="79">
        <f>ABS(W1251)</f>
        <v/>
      </c>
    </row>
    <row r="1252" ht="11.4" customHeight="1">
      <c r="A1252" s="67" t="inlineStr">
        <is>
          <t>8059</t>
        </is>
      </c>
      <c r="B1252" s="67" t="inlineStr">
        <is>
          <t>1057</t>
        </is>
      </c>
      <c r="C1252" s="67" t="inlineStr">
        <is>
          <t>1611</t>
        </is>
      </c>
      <c r="D1252" s="68" t="inlineStr">
        <is>
          <t>21</t>
        </is>
      </c>
      <c r="E1252" s="68" t="inlineStr">
        <is>
          <t>Kiosk-LHI</t>
        </is>
      </c>
      <c r="F1252" s="68" t="inlineStr">
        <is>
          <t>独立甜品站装修</t>
        </is>
      </c>
      <c r="G1252" s="68" t="inlineStr">
        <is>
          <t>独立甜品站装修</t>
        </is>
      </c>
      <c r="H1252" s="68" t="inlineStr">
        <is>
          <t>独立甜品站-外立面</t>
        </is>
      </c>
      <c r="I1252" s="69" t="inlineStr">
        <is>
          <t>1000021498</t>
        </is>
      </c>
      <c r="J1252" s="69" t="inlineStr">
        <is>
          <t>外立面乳胶漆</t>
        </is>
      </c>
      <c r="K1252" s="70" t="n"/>
      <c r="L1252" s="70" t="n"/>
      <c r="M1252" s="71" t="inlineStr">
        <is>
          <t>m2</t>
        </is>
      </c>
      <c r="N1252" s="72" t="n">
        <v>135.83</v>
      </c>
      <c r="O1252" s="72">
        <f>ROUND(N1252*(1+$F$10),2)</f>
        <v/>
      </c>
      <c r="P1252" s="73">
        <f>ROUND(K1252*N1252,2)</f>
        <v/>
      </c>
      <c r="Q1252" s="74">
        <f>ROUND(L1252*N1252,2)</f>
        <v/>
      </c>
      <c r="R1252" s="75" t="n"/>
      <c r="S1252" s="76" t="n"/>
      <c r="T1252" s="77">
        <f>K1252-L1252</f>
        <v/>
      </c>
      <c r="U1252" s="77">
        <f>P1252-Q1252</f>
        <v/>
      </c>
      <c r="V1252" s="77">
        <f>ABS(U1252)</f>
        <v/>
      </c>
      <c r="W1252" s="78">
        <f>T1252/L1252</f>
        <v/>
      </c>
      <c r="X1252" s="79">
        <f>ABS(W1252)</f>
        <v/>
      </c>
    </row>
    <row r="1253" ht="11.4" customHeight="1">
      <c r="A1253" s="67" t="inlineStr">
        <is>
          <t>8059</t>
        </is>
      </c>
      <c r="B1253" s="67" t="inlineStr">
        <is>
          <t>1057</t>
        </is>
      </c>
      <c r="C1253" s="67" t="inlineStr">
        <is>
          <t>1611</t>
        </is>
      </c>
      <c r="D1253" s="68" t="inlineStr">
        <is>
          <t>21</t>
        </is>
      </c>
      <c r="E1253" s="68" t="inlineStr">
        <is>
          <t>Kiosk-LHI</t>
        </is>
      </c>
      <c r="F1253" s="68" t="inlineStr">
        <is>
          <t>独立甜品站装修</t>
        </is>
      </c>
      <c r="G1253" s="68" t="inlineStr">
        <is>
          <t>独立甜品站装修</t>
        </is>
      </c>
      <c r="H1253" s="68" t="inlineStr">
        <is>
          <t>独立甜品站-外立面</t>
        </is>
      </c>
      <c r="I1253" s="69" t="inlineStr">
        <is>
          <t>1000021457</t>
        </is>
      </c>
      <c r="J1253" s="69" t="inlineStr">
        <is>
          <t>国产同质砖踢脚（琛雄）</t>
        </is>
      </c>
      <c r="K1253" s="70" t="n"/>
      <c r="L1253" s="70" t="n"/>
      <c r="M1253" s="71" t="inlineStr">
        <is>
          <t>米</t>
        </is>
      </c>
      <c r="N1253" s="72" t="n">
        <v>41.36</v>
      </c>
      <c r="O1253" s="72">
        <f>ROUND(N1253*(1+$F$10),2)</f>
        <v/>
      </c>
      <c r="P1253" s="73">
        <f>ROUND(K1253*N1253,2)</f>
        <v/>
      </c>
      <c r="Q1253" s="74">
        <f>ROUND(L1253*N1253,2)</f>
        <v/>
      </c>
      <c r="R1253" s="75" t="n"/>
      <c r="S1253" s="76" t="n"/>
      <c r="T1253" s="77">
        <f>K1253-L1253</f>
        <v/>
      </c>
      <c r="U1253" s="77">
        <f>P1253-Q1253</f>
        <v/>
      </c>
      <c r="V1253" s="77">
        <f>ABS(U1253)</f>
        <v/>
      </c>
      <c r="W1253" s="78">
        <f>T1253/L1253</f>
        <v/>
      </c>
      <c r="X1253" s="79">
        <f>ABS(W1253)</f>
        <v/>
      </c>
    </row>
    <row r="1254" ht="11.4" customHeight="1">
      <c r="A1254" s="67" t="inlineStr">
        <is>
          <t>8059</t>
        </is>
      </c>
      <c r="B1254" s="67" t="inlineStr">
        <is>
          <t>1057</t>
        </is>
      </c>
      <c r="C1254" s="67" t="inlineStr">
        <is>
          <t>1611</t>
        </is>
      </c>
      <c r="D1254" s="68" t="inlineStr">
        <is>
          <t>21</t>
        </is>
      </c>
      <c r="E1254" s="68" t="inlineStr">
        <is>
          <t>Kiosk-LHI</t>
        </is>
      </c>
      <c r="F1254" s="68" t="inlineStr">
        <is>
          <t>独立甜品站装修</t>
        </is>
      </c>
      <c r="G1254" s="68" t="inlineStr">
        <is>
          <t>独立甜品站装修</t>
        </is>
      </c>
      <c r="H1254" s="68" t="inlineStr">
        <is>
          <t>独立甜品站-外立面</t>
        </is>
      </c>
      <c r="I1254" s="69" t="inlineStr">
        <is>
          <t>1000021644</t>
        </is>
      </c>
      <c r="J1254" s="69" t="inlineStr">
        <is>
          <t>国产同质砖踢脚（共荣）</t>
        </is>
      </c>
      <c r="K1254" s="70" t="n"/>
      <c r="L1254" s="70" t="n"/>
      <c r="M1254" s="71" t="inlineStr">
        <is>
          <t>米</t>
        </is>
      </c>
      <c r="N1254" s="72" t="n">
        <v>38.94</v>
      </c>
      <c r="O1254" s="72">
        <f>ROUND(N1254*(1+$F$10),2)</f>
        <v/>
      </c>
      <c r="P1254" s="73">
        <f>ROUND(K1254*N1254,2)</f>
        <v/>
      </c>
      <c r="Q1254" s="74">
        <f>ROUND(L1254*N1254,2)</f>
        <v/>
      </c>
      <c r="R1254" s="75" t="n"/>
      <c r="S1254" s="76" t="n"/>
      <c r="T1254" s="77">
        <f>K1254-L1254</f>
        <v/>
      </c>
      <c r="U1254" s="77">
        <f>P1254-Q1254</f>
        <v/>
      </c>
      <c r="V1254" s="77">
        <f>ABS(U1254)</f>
        <v/>
      </c>
      <c r="W1254" s="78">
        <f>T1254/L1254</f>
        <v/>
      </c>
      <c r="X1254" s="79">
        <f>ABS(W1254)</f>
        <v/>
      </c>
    </row>
    <row r="1255" ht="11.4" customHeight="1">
      <c r="A1255" s="67" t="inlineStr">
        <is>
          <t>8059</t>
        </is>
      </c>
      <c r="B1255" s="67" t="inlineStr">
        <is>
          <t>1057</t>
        </is>
      </c>
      <c r="C1255" s="67" t="inlineStr">
        <is>
          <t>1611</t>
        </is>
      </c>
      <c r="D1255" s="68" t="inlineStr">
        <is>
          <t>21</t>
        </is>
      </c>
      <c r="E1255" s="68" t="inlineStr">
        <is>
          <t>Kiosk-LHI</t>
        </is>
      </c>
      <c r="F1255" s="68" t="inlineStr">
        <is>
          <t>独立甜品站装修</t>
        </is>
      </c>
      <c r="G1255" s="68" t="inlineStr">
        <is>
          <t>独立甜品站装修</t>
        </is>
      </c>
      <c r="H1255" s="68" t="inlineStr">
        <is>
          <t>独立甜品站-外立面</t>
        </is>
      </c>
      <c r="I1255" s="69" t="inlineStr">
        <is>
          <t>1000021623</t>
        </is>
      </c>
      <c r="J1255" s="69" t="inlineStr">
        <is>
          <t>国产同质砖踢脚（冠军）</t>
        </is>
      </c>
      <c r="K1255" s="70" t="n"/>
      <c r="L1255" s="70" t="n"/>
      <c r="M1255" s="71" t="inlineStr">
        <is>
          <t>米</t>
        </is>
      </c>
      <c r="N1255" s="72" t="n">
        <v>42.57</v>
      </c>
      <c r="O1255" s="72">
        <f>ROUND(N1255*(1+$F$10),2)</f>
        <v/>
      </c>
      <c r="P1255" s="73">
        <f>ROUND(K1255*N1255,2)</f>
        <v/>
      </c>
      <c r="Q1255" s="74">
        <f>ROUND(L1255*N1255,2)</f>
        <v/>
      </c>
      <c r="R1255" s="75" t="n"/>
      <c r="S1255" s="76" t="n"/>
      <c r="T1255" s="77">
        <f>K1255-L1255</f>
        <v/>
      </c>
      <c r="U1255" s="77">
        <f>P1255-Q1255</f>
        <v/>
      </c>
      <c r="V1255" s="77">
        <f>ABS(U1255)</f>
        <v/>
      </c>
      <c r="W1255" s="78">
        <f>T1255/L1255</f>
        <v/>
      </c>
      <c r="X1255" s="79">
        <f>ABS(W1255)</f>
        <v/>
      </c>
    </row>
    <row r="1256" ht="11.4" customHeight="1">
      <c r="A1256" s="67" t="inlineStr">
        <is>
          <t>8059</t>
        </is>
      </c>
      <c r="B1256" s="67" t="inlineStr">
        <is>
          <t>1057</t>
        </is>
      </c>
      <c r="C1256" s="67" t="inlineStr">
        <is>
          <t>1611</t>
        </is>
      </c>
      <c r="D1256" s="68" t="inlineStr">
        <is>
          <t>21</t>
        </is>
      </c>
      <c r="E1256" s="68" t="inlineStr">
        <is>
          <t>Kiosk-LHI</t>
        </is>
      </c>
      <c r="F1256" s="68" t="inlineStr">
        <is>
          <t>独立甜品站装修</t>
        </is>
      </c>
      <c r="G1256" s="68" t="inlineStr">
        <is>
          <t>独立甜品站装修</t>
        </is>
      </c>
      <c r="H1256" s="68" t="inlineStr">
        <is>
          <t>独立甜品站-外立面</t>
        </is>
      </c>
      <c r="I1256" s="69" t="inlineStr">
        <is>
          <t>1000021796</t>
        </is>
      </c>
      <c r="J1256" s="69" t="inlineStr">
        <is>
          <t>石材砖踢脚</t>
        </is>
      </c>
      <c r="K1256" s="70" t="n"/>
      <c r="L1256" s="70" t="n"/>
      <c r="M1256" s="71" t="inlineStr">
        <is>
          <t>米</t>
        </is>
      </c>
      <c r="N1256" s="72" t="n">
        <v>55.41</v>
      </c>
      <c r="O1256" s="72">
        <f>ROUND(N1256*(1+$F$10),2)</f>
        <v/>
      </c>
      <c r="P1256" s="73">
        <f>ROUND(K1256*N1256,2)</f>
        <v/>
      </c>
      <c r="Q1256" s="74">
        <f>ROUND(L1256*N1256,2)</f>
        <v/>
      </c>
      <c r="R1256" s="75" t="n"/>
      <c r="S1256" s="76" t="n"/>
      <c r="T1256" s="77">
        <f>K1256-L1256</f>
        <v/>
      </c>
      <c r="U1256" s="77">
        <f>P1256-Q1256</f>
        <v/>
      </c>
      <c r="V1256" s="77">
        <f>ABS(U1256)</f>
        <v/>
      </c>
      <c r="W1256" s="78">
        <f>T1256/L1256</f>
        <v/>
      </c>
      <c r="X1256" s="79">
        <f>ABS(W1256)</f>
        <v/>
      </c>
    </row>
    <row r="1257" ht="11.4" customHeight="1">
      <c r="A1257" s="67" t="inlineStr">
        <is>
          <t>8059</t>
        </is>
      </c>
      <c r="B1257" s="67" t="inlineStr">
        <is>
          <t>1057</t>
        </is>
      </c>
      <c r="C1257" s="67" t="inlineStr">
        <is>
          <t>1611</t>
        </is>
      </c>
      <c r="D1257" s="68" t="inlineStr">
        <is>
          <t>21</t>
        </is>
      </c>
      <c r="E1257" s="68" t="inlineStr">
        <is>
          <t>Kiosk-LHI</t>
        </is>
      </c>
      <c r="F1257" s="68" t="inlineStr">
        <is>
          <t>独立甜品站装修</t>
        </is>
      </c>
      <c r="G1257" s="68" t="inlineStr">
        <is>
          <t>独立甜品站装修</t>
        </is>
      </c>
      <c r="H1257" s="68" t="inlineStr">
        <is>
          <t>独立甜品站-外立面</t>
        </is>
      </c>
      <c r="I1257" s="69" t="inlineStr">
        <is>
          <t>1000022115</t>
        </is>
      </c>
      <c r="J1257" s="69" t="inlineStr">
        <is>
          <t>不锈钢踢脚 H=200</t>
        </is>
      </c>
      <c r="K1257" s="70" t="n"/>
      <c r="L1257" s="70" t="n"/>
      <c r="M1257" s="71" t="inlineStr">
        <is>
          <t>米</t>
        </is>
      </c>
      <c r="N1257" s="72" t="n">
        <v>112.38</v>
      </c>
      <c r="O1257" s="72">
        <f>ROUND(N1257*(1+$F$10),2)</f>
        <v/>
      </c>
      <c r="P1257" s="73">
        <f>ROUND(K1257*N1257,2)</f>
        <v/>
      </c>
      <c r="Q1257" s="74">
        <f>ROUND(L1257*N1257,2)</f>
        <v/>
      </c>
      <c r="R1257" s="75" t="n"/>
      <c r="S1257" s="76" t="n"/>
      <c r="T1257" s="77">
        <f>K1257-L1257</f>
        <v/>
      </c>
      <c r="U1257" s="77">
        <f>P1257-Q1257</f>
        <v/>
      </c>
      <c r="V1257" s="77">
        <f>ABS(U1257)</f>
        <v/>
      </c>
      <c r="W1257" s="78">
        <f>T1257/L1257</f>
        <v/>
      </c>
      <c r="X1257" s="79">
        <f>ABS(W1257)</f>
        <v/>
      </c>
    </row>
    <row r="1258" ht="11.4" customHeight="1">
      <c r="A1258" s="67" t="inlineStr">
        <is>
          <t>8059</t>
        </is>
      </c>
      <c r="B1258" s="67" t="inlineStr">
        <is>
          <t>1057</t>
        </is>
      </c>
      <c r="C1258" s="67" t="inlineStr">
        <is>
          <t>1611</t>
        </is>
      </c>
      <c r="D1258" s="68" t="inlineStr">
        <is>
          <t>21</t>
        </is>
      </c>
      <c r="E1258" s="68" t="inlineStr">
        <is>
          <t>Kiosk-LHI</t>
        </is>
      </c>
      <c r="F1258" s="68" t="inlineStr">
        <is>
          <t>独立甜品站装修</t>
        </is>
      </c>
      <c r="G1258" s="68" t="inlineStr">
        <is>
          <t>独立甜品站装修</t>
        </is>
      </c>
      <c r="H1258" s="68" t="inlineStr">
        <is>
          <t>独立甜品站-外立面</t>
        </is>
      </c>
      <c r="I1258" s="69" t="inlineStr">
        <is>
          <t>1000022125</t>
        </is>
      </c>
      <c r="J1258" s="69" t="inlineStr">
        <is>
          <t>外围踏步处栏杆</t>
        </is>
      </c>
      <c r="K1258" s="70" t="n"/>
      <c r="L1258" s="70" t="n"/>
      <c r="M1258" s="71" t="inlineStr">
        <is>
          <t>米</t>
        </is>
      </c>
      <c r="N1258" s="72" t="n">
        <v>247.93</v>
      </c>
      <c r="O1258" s="72">
        <f>ROUND(N1258*(1+$F$10),2)</f>
        <v/>
      </c>
      <c r="P1258" s="73">
        <f>ROUND(K1258*N1258,2)</f>
        <v/>
      </c>
      <c r="Q1258" s="74">
        <f>ROUND(L1258*N1258,2)</f>
        <v/>
      </c>
      <c r="R1258" s="75" t="n"/>
      <c r="S1258" s="76" t="n"/>
      <c r="T1258" s="77">
        <f>K1258-L1258</f>
        <v/>
      </c>
      <c r="U1258" s="77">
        <f>P1258-Q1258</f>
        <v/>
      </c>
      <c r="V1258" s="77">
        <f>ABS(U1258)</f>
        <v/>
      </c>
      <c r="W1258" s="78">
        <f>T1258/L1258</f>
        <v/>
      </c>
      <c r="X1258" s="79">
        <f>ABS(W1258)</f>
        <v/>
      </c>
    </row>
    <row r="1259" ht="11.4" customHeight="1">
      <c r="A1259" s="67" t="inlineStr">
        <is>
          <t>8059</t>
        </is>
      </c>
      <c r="B1259" s="67" t="inlineStr">
        <is>
          <t>1057</t>
        </is>
      </c>
      <c r="C1259" s="67" t="inlineStr">
        <is>
          <t>1611</t>
        </is>
      </c>
      <c r="D1259" s="68" t="inlineStr">
        <is>
          <t>21</t>
        </is>
      </c>
      <c r="E1259" s="68" t="inlineStr">
        <is>
          <t>Kiosk-LHI</t>
        </is>
      </c>
      <c r="F1259" s="68" t="inlineStr">
        <is>
          <t>独立甜品站装修</t>
        </is>
      </c>
      <c r="G1259" s="68" t="inlineStr">
        <is>
          <t>独立甜品站装修</t>
        </is>
      </c>
      <c r="H1259" s="68" t="inlineStr">
        <is>
          <t>独立甜品站-外立面</t>
        </is>
      </c>
      <c r="I1259" s="69" t="inlineStr">
        <is>
          <t>1000021600</t>
        </is>
      </c>
      <c r="J1259" s="69" t="inlineStr">
        <is>
          <t>移动窗口</t>
        </is>
      </c>
      <c r="K1259" s="70" t="n"/>
      <c r="L1259" s="70" t="n"/>
      <c r="M1259" s="71" t="inlineStr">
        <is>
          <t>只</t>
        </is>
      </c>
      <c r="N1259" s="72" t="n">
        <v>2257.86</v>
      </c>
      <c r="O1259" s="72">
        <f>ROUND(N1259*(1+$F$10),2)</f>
        <v/>
      </c>
      <c r="P1259" s="73">
        <f>ROUND(K1259*N1259,2)</f>
        <v/>
      </c>
      <c r="Q1259" s="74">
        <f>ROUND(L1259*N1259,2)</f>
        <v/>
      </c>
      <c r="R1259" s="75" t="n"/>
      <c r="S1259" s="76" t="n"/>
      <c r="T1259" s="77">
        <f>K1259-L1259</f>
        <v/>
      </c>
      <c r="U1259" s="77">
        <f>P1259-Q1259</f>
        <v/>
      </c>
      <c r="V1259" s="77">
        <f>ABS(U1259)</f>
        <v/>
      </c>
      <c r="W1259" s="78">
        <f>T1259/L1259</f>
        <v/>
      </c>
      <c r="X1259" s="79">
        <f>ABS(W1259)</f>
        <v/>
      </c>
    </row>
    <row r="1260" ht="11.4" customHeight="1">
      <c r="A1260" s="67" t="inlineStr">
        <is>
          <t>8060</t>
        </is>
      </c>
      <c r="B1260" s="67" t="inlineStr">
        <is>
          <t>1058</t>
        </is>
      </c>
      <c r="C1260" s="67" t="inlineStr">
        <is>
          <t>1611</t>
        </is>
      </c>
      <c r="D1260" s="68" t="inlineStr">
        <is>
          <t>21</t>
        </is>
      </c>
      <c r="E1260" s="68" t="inlineStr">
        <is>
          <t>Kiosk-LHI</t>
        </is>
      </c>
      <c r="F1260" s="68" t="inlineStr">
        <is>
          <t>独立甜品站装修</t>
        </is>
      </c>
      <c r="G1260" s="68" t="inlineStr">
        <is>
          <t>独立甜品站装修</t>
        </is>
      </c>
      <c r="H1260" s="68" t="inlineStr">
        <is>
          <t>独立甜品站-柜台</t>
        </is>
      </c>
      <c r="I1260" s="69" t="inlineStr">
        <is>
          <t>1000022127</t>
        </is>
      </c>
      <c r="J1260" s="69" t="inlineStr">
        <is>
          <t>钢木结构柜台连面板及柜台立面（人造石）</t>
        </is>
      </c>
      <c r="K1260" s="70" t="n"/>
      <c r="L1260" s="70" t="n"/>
      <c r="M1260" s="71" t="inlineStr">
        <is>
          <t>米</t>
        </is>
      </c>
      <c r="N1260" s="72" t="n">
        <v>3386.65</v>
      </c>
      <c r="O1260" s="72">
        <f>ROUND(N1260*(1+$F$10),2)</f>
        <v/>
      </c>
      <c r="P1260" s="73">
        <f>ROUND(K1260*N1260,2)</f>
        <v/>
      </c>
      <c r="Q1260" s="74">
        <f>ROUND(L1260*N1260,2)</f>
        <v/>
      </c>
      <c r="R1260" s="75" t="n"/>
      <c r="S1260" s="76" t="n"/>
      <c r="T1260" s="77">
        <f>K1260-L1260</f>
        <v/>
      </c>
      <c r="U1260" s="77">
        <f>P1260-Q1260</f>
        <v/>
      </c>
      <c r="V1260" s="77">
        <f>ABS(U1260)</f>
        <v/>
      </c>
      <c r="W1260" s="78">
        <f>T1260/L1260</f>
        <v/>
      </c>
      <c r="X1260" s="79">
        <f>ABS(W1260)</f>
        <v/>
      </c>
    </row>
    <row r="1261" ht="11.4" customHeight="1">
      <c r="A1261" s="67" t="inlineStr">
        <is>
          <t>8060</t>
        </is>
      </c>
      <c r="B1261" s="67" t="inlineStr">
        <is>
          <t>1058</t>
        </is>
      </c>
      <c r="C1261" s="67" t="inlineStr">
        <is>
          <t>1611</t>
        </is>
      </c>
      <c r="D1261" s="68" t="inlineStr">
        <is>
          <t>21</t>
        </is>
      </c>
      <c r="E1261" s="68" t="inlineStr">
        <is>
          <t>Kiosk-LHI</t>
        </is>
      </c>
      <c r="F1261" s="68" t="inlineStr">
        <is>
          <t>独立甜品站装修</t>
        </is>
      </c>
      <c r="G1261" s="68" t="inlineStr">
        <is>
          <t>独立甜品站装修</t>
        </is>
      </c>
      <c r="H1261" s="68" t="inlineStr">
        <is>
          <t>独立甜品站-柜台</t>
        </is>
      </c>
      <c r="I1261" s="69" t="inlineStr">
        <is>
          <t>1000022128</t>
        </is>
      </c>
      <c r="J1261" s="69" t="inlineStr">
        <is>
          <t>柜台上12mm钢化玻璃</t>
        </is>
      </c>
      <c r="K1261" s="70" t="n"/>
      <c r="L1261" s="70" t="n"/>
      <c r="M1261" s="71" t="inlineStr">
        <is>
          <t>m2</t>
        </is>
      </c>
      <c r="N1261" s="72" t="n">
        <v>275.43</v>
      </c>
      <c r="O1261" s="72">
        <f>ROUND(N1261*(1+$F$10),2)</f>
        <v/>
      </c>
      <c r="P1261" s="73">
        <f>ROUND(K1261*N1261,2)</f>
        <v/>
      </c>
      <c r="Q1261" s="74">
        <f>ROUND(L1261*N1261,2)</f>
        <v/>
      </c>
      <c r="R1261" s="75" t="n"/>
      <c r="S1261" s="76" t="n"/>
      <c r="T1261" s="77">
        <f>K1261-L1261</f>
        <v/>
      </c>
      <c r="U1261" s="77">
        <f>P1261-Q1261</f>
        <v/>
      </c>
      <c r="V1261" s="77">
        <f>ABS(U1261)</f>
        <v/>
      </c>
      <c r="W1261" s="78">
        <f>T1261/L1261</f>
        <v/>
      </c>
      <c r="X1261" s="79">
        <f>ABS(W1261)</f>
        <v/>
      </c>
    </row>
    <row r="1262" ht="11.4" customHeight="1">
      <c r="A1262" s="67" t="inlineStr">
        <is>
          <t>8064</t>
        </is>
      </c>
      <c r="B1262" s="67" t="inlineStr">
        <is>
          <t>1063</t>
        </is>
      </c>
      <c r="C1262" s="67" t="inlineStr">
        <is>
          <t>1643</t>
        </is>
      </c>
      <c r="D1262" s="68" t="inlineStr">
        <is>
          <t>21</t>
        </is>
      </c>
      <c r="E1262" s="68" t="inlineStr">
        <is>
          <t>Kiosk-LHI</t>
        </is>
      </c>
      <c r="F1262" s="68" t="inlineStr">
        <is>
          <t>独立甜品站装修</t>
        </is>
      </c>
      <c r="G1262" s="68" t="inlineStr">
        <is>
          <t>独立甜品站装修</t>
        </is>
      </c>
      <c r="H1262" s="68" t="inlineStr">
        <is>
          <t>独立甜品站-墙体隔断</t>
        </is>
      </c>
      <c r="I1262" s="69" t="inlineStr">
        <is>
          <t>1000021832</t>
        </is>
      </c>
      <c r="J1262" s="69" t="inlineStr">
        <is>
          <t>240厚砌块墙</t>
        </is>
      </c>
      <c r="K1262" s="70" t="n"/>
      <c r="L1262" s="70" t="n"/>
      <c r="M1262" s="71" t="inlineStr">
        <is>
          <t>m2</t>
        </is>
      </c>
      <c r="N1262" s="72" t="n">
        <v>153.82</v>
      </c>
      <c r="O1262" s="72">
        <f>ROUND(N1262*(1+$F$10),2)</f>
        <v/>
      </c>
      <c r="P1262" s="73">
        <f>ROUND(K1262*N1262,2)</f>
        <v/>
      </c>
      <c r="Q1262" s="74">
        <f>ROUND(L1262*N1262,2)</f>
        <v/>
      </c>
      <c r="R1262" s="75" t="n"/>
      <c r="S1262" s="76" t="n"/>
      <c r="T1262" s="77">
        <f>K1262-L1262</f>
        <v/>
      </c>
      <c r="U1262" s="77">
        <f>P1262-Q1262</f>
        <v/>
      </c>
      <c r="V1262" s="77">
        <f>ABS(U1262)</f>
        <v/>
      </c>
      <c r="W1262" s="78">
        <f>T1262/L1262</f>
        <v/>
      </c>
      <c r="X1262" s="79">
        <f>ABS(W1262)</f>
        <v/>
      </c>
    </row>
    <row r="1263" ht="11.4" customHeight="1">
      <c r="A1263" s="67" t="inlineStr">
        <is>
          <t>8064</t>
        </is>
      </c>
      <c r="B1263" s="67" t="inlineStr">
        <is>
          <t>1063</t>
        </is>
      </c>
      <c r="C1263" s="67" t="inlineStr">
        <is>
          <t>1643</t>
        </is>
      </c>
      <c r="D1263" s="68" t="inlineStr">
        <is>
          <t>21</t>
        </is>
      </c>
      <c r="E1263" s="68" t="inlineStr">
        <is>
          <t>Kiosk-LHI</t>
        </is>
      </c>
      <c r="F1263" s="68" t="inlineStr">
        <is>
          <t>独立甜品站装修</t>
        </is>
      </c>
      <c r="G1263" s="68" t="inlineStr">
        <is>
          <t>独立甜品站装修</t>
        </is>
      </c>
      <c r="H1263" s="68" t="inlineStr">
        <is>
          <t>独立甜品站-墙体隔断</t>
        </is>
      </c>
      <c r="I1263" s="69" t="inlineStr">
        <is>
          <t>1000021833</t>
        </is>
      </c>
      <c r="J1263" s="69" t="inlineStr">
        <is>
          <t>150厚砌块墙</t>
        </is>
      </c>
      <c r="K1263" s="70" t="n"/>
      <c r="L1263" s="70" t="n"/>
      <c r="M1263" s="71" t="inlineStr">
        <is>
          <t>m2</t>
        </is>
      </c>
      <c r="N1263" s="72" t="n">
        <v>121.97</v>
      </c>
      <c r="O1263" s="72">
        <f>ROUND(N1263*(1+$F$10),2)</f>
        <v/>
      </c>
      <c r="P1263" s="73">
        <f>ROUND(K1263*N1263,2)</f>
        <v/>
      </c>
      <c r="Q1263" s="74">
        <f>ROUND(L1263*N1263,2)</f>
        <v/>
      </c>
      <c r="R1263" s="75" t="n"/>
      <c r="S1263" s="76" t="n"/>
      <c r="T1263" s="77">
        <f>K1263-L1263</f>
        <v/>
      </c>
      <c r="U1263" s="77">
        <f>P1263-Q1263</f>
        <v/>
      </c>
      <c r="V1263" s="77">
        <f>ABS(U1263)</f>
        <v/>
      </c>
      <c r="W1263" s="78">
        <f>T1263/L1263</f>
        <v/>
      </c>
      <c r="X1263" s="79">
        <f>ABS(W1263)</f>
        <v/>
      </c>
    </row>
    <row r="1264" ht="11.4" customHeight="1">
      <c r="A1264" s="67" t="inlineStr">
        <is>
          <t>8064</t>
        </is>
      </c>
      <c r="B1264" s="67" t="inlineStr">
        <is>
          <t>1063</t>
        </is>
      </c>
      <c r="C1264" s="67" t="inlineStr">
        <is>
          <t>1643</t>
        </is>
      </c>
      <c r="D1264" s="68" t="inlineStr">
        <is>
          <t>21</t>
        </is>
      </c>
      <c r="E1264" s="68" t="inlineStr">
        <is>
          <t>Kiosk-LHI</t>
        </is>
      </c>
      <c r="F1264" s="68" t="inlineStr">
        <is>
          <t>独立甜品站装修</t>
        </is>
      </c>
      <c r="G1264" s="68" t="inlineStr">
        <is>
          <t>独立甜品站装修</t>
        </is>
      </c>
      <c r="H1264" s="68" t="inlineStr">
        <is>
          <t>独立甜品站-墙体隔断</t>
        </is>
      </c>
      <c r="I1264" s="69" t="inlineStr">
        <is>
          <t>1000021836</t>
        </is>
      </c>
      <c r="J1264" s="69" t="inlineStr">
        <is>
          <t>50厚钢构墙体蒙网抹灰（双面）</t>
        </is>
      </c>
      <c r="K1264" s="70" t="n"/>
      <c r="L1264" s="70" t="n"/>
      <c r="M1264" s="71" t="inlineStr">
        <is>
          <t>m2</t>
        </is>
      </c>
      <c r="N1264" s="72" t="n">
        <v>246.52</v>
      </c>
      <c r="O1264" s="72">
        <f>ROUND(N1264*(1+$F$10),2)</f>
        <v/>
      </c>
      <c r="P1264" s="73">
        <f>ROUND(K1264*N1264,2)</f>
        <v/>
      </c>
      <c r="Q1264" s="74">
        <f>ROUND(L1264*N1264,2)</f>
        <v/>
      </c>
      <c r="R1264" s="75" t="n"/>
      <c r="S1264" s="76" t="n"/>
      <c r="T1264" s="77">
        <f>K1264-L1264</f>
        <v/>
      </c>
      <c r="U1264" s="77">
        <f>P1264-Q1264</f>
        <v/>
      </c>
      <c r="V1264" s="77">
        <f>ABS(U1264)</f>
        <v/>
      </c>
      <c r="W1264" s="78">
        <f>T1264/L1264</f>
        <v/>
      </c>
      <c r="X1264" s="79">
        <f>ABS(W1264)</f>
        <v/>
      </c>
    </row>
    <row r="1265" ht="11.4" customHeight="1">
      <c r="A1265" s="67" t="inlineStr">
        <is>
          <t>8064</t>
        </is>
      </c>
      <c r="B1265" s="67" t="inlineStr">
        <is>
          <t>1063</t>
        </is>
      </c>
      <c r="C1265" s="67" t="inlineStr">
        <is>
          <t>1643</t>
        </is>
      </c>
      <c r="D1265" s="68" t="inlineStr">
        <is>
          <t>21</t>
        </is>
      </c>
      <c r="E1265" s="68" t="inlineStr">
        <is>
          <t>Kiosk-LHI</t>
        </is>
      </c>
      <c r="F1265" s="68" t="inlineStr">
        <is>
          <t>独立甜品站装修</t>
        </is>
      </c>
      <c r="G1265" s="68" t="inlineStr">
        <is>
          <t>独立甜品站装修</t>
        </is>
      </c>
      <c r="H1265" s="68" t="inlineStr">
        <is>
          <t>独立甜品站-墙体隔断</t>
        </is>
      </c>
      <c r="I1265" s="69" t="inlineStr">
        <is>
          <t>1000021837</t>
        </is>
      </c>
      <c r="J1265" s="69" t="inlineStr">
        <is>
          <t>50厚钢构墙体蒙网抹灰（单面）</t>
        </is>
      </c>
      <c r="K1265" s="70" t="n"/>
      <c r="L1265" s="70" t="n"/>
      <c r="M1265" s="71" t="inlineStr">
        <is>
          <t>m2</t>
        </is>
      </c>
      <c r="N1265" s="72" t="n">
        <v>142.03</v>
      </c>
      <c r="O1265" s="72">
        <f>ROUND(N1265*(1+$F$10),2)</f>
        <v/>
      </c>
      <c r="P1265" s="73">
        <f>ROUND(K1265*N1265,2)</f>
        <v/>
      </c>
      <c r="Q1265" s="74">
        <f>ROUND(L1265*N1265,2)</f>
        <v/>
      </c>
      <c r="R1265" s="75" t="n"/>
      <c r="S1265" s="76" t="n"/>
      <c r="T1265" s="77">
        <f>K1265-L1265</f>
        <v/>
      </c>
      <c r="U1265" s="77">
        <f>P1265-Q1265</f>
        <v/>
      </c>
      <c r="V1265" s="77">
        <f>ABS(U1265)</f>
        <v/>
      </c>
      <c r="W1265" s="78">
        <f>T1265/L1265</f>
        <v/>
      </c>
      <c r="X1265" s="79">
        <f>ABS(W1265)</f>
        <v/>
      </c>
    </row>
    <row r="1266" ht="11.4" customHeight="1">
      <c r="A1266" s="67" t="inlineStr">
        <is>
          <t>8064</t>
        </is>
      </c>
      <c r="B1266" s="67" t="inlineStr">
        <is>
          <t>1063</t>
        </is>
      </c>
      <c r="C1266" s="67" t="inlineStr">
        <is>
          <t>1643</t>
        </is>
      </c>
      <c r="D1266" s="68" t="inlineStr">
        <is>
          <t>21</t>
        </is>
      </c>
      <c r="E1266" s="68" t="inlineStr">
        <is>
          <t>Kiosk-LHI</t>
        </is>
      </c>
      <c r="F1266" s="68" t="inlineStr">
        <is>
          <t>独立甜品站装修</t>
        </is>
      </c>
      <c r="G1266" s="68" t="inlineStr">
        <is>
          <t>独立甜品站装修</t>
        </is>
      </c>
      <c r="H1266" s="68" t="inlineStr">
        <is>
          <t>独立甜品站-墙体隔断</t>
        </is>
      </c>
      <c r="I1266" s="69" t="inlineStr">
        <is>
          <t>1000021840</t>
        </is>
      </c>
      <c r="J1266" s="69" t="inlineStr">
        <is>
          <t>墙面粉墙找平</t>
        </is>
      </c>
      <c r="K1266" s="70" t="n"/>
      <c r="L1266" s="70" t="n"/>
      <c r="M1266" s="71" t="inlineStr">
        <is>
          <t>m2</t>
        </is>
      </c>
      <c r="N1266" s="72" t="n">
        <v>36.37</v>
      </c>
      <c r="O1266" s="72">
        <f>ROUND(N1266*(1+$F$10),2)</f>
        <v/>
      </c>
      <c r="P1266" s="73">
        <f>ROUND(K1266*N1266,2)</f>
        <v/>
      </c>
      <c r="Q1266" s="74">
        <f>ROUND(L1266*N1266,2)</f>
        <v/>
      </c>
      <c r="R1266" s="75" t="n"/>
      <c r="S1266" s="76" t="n"/>
      <c r="T1266" s="77">
        <f>K1266-L1266</f>
        <v/>
      </c>
      <c r="U1266" s="77">
        <f>P1266-Q1266</f>
        <v/>
      </c>
      <c r="V1266" s="77">
        <f>ABS(U1266)</f>
        <v/>
      </c>
      <c r="W1266" s="78">
        <f>T1266/L1266</f>
        <v/>
      </c>
      <c r="X1266" s="79">
        <f>ABS(W1266)</f>
        <v/>
      </c>
    </row>
    <row r="1267" ht="11.4" customHeight="1">
      <c r="A1267" s="67" t="inlineStr">
        <is>
          <t>8064</t>
        </is>
      </c>
      <c r="B1267" s="67" t="inlineStr">
        <is>
          <t>1062</t>
        </is>
      </c>
      <c r="C1267" s="67" t="inlineStr">
        <is>
          <t>1611</t>
        </is>
      </c>
      <c r="D1267" s="68" t="inlineStr">
        <is>
          <t>21</t>
        </is>
      </c>
      <c r="E1267" s="68" t="inlineStr">
        <is>
          <t>Kiosk-LHI</t>
        </is>
      </c>
      <c r="F1267" s="68" t="inlineStr">
        <is>
          <t>独立甜品站装修</t>
        </is>
      </c>
      <c r="G1267" s="68" t="inlineStr">
        <is>
          <t>独立甜品站装修</t>
        </is>
      </c>
      <c r="H1267" s="68" t="inlineStr">
        <is>
          <t>独立甜品站-墙体隔断</t>
        </is>
      </c>
      <c r="I1267" s="69" t="inlineStr">
        <is>
          <t>1000021601</t>
        </is>
      </c>
      <c r="J1267" s="69" t="inlineStr">
        <is>
          <t>防潮隔断板连门（连桥供应）</t>
        </is>
      </c>
      <c r="K1267" s="70" t="n"/>
      <c r="L1267" s="70" t="n"/>
      <c r="M1267" s="71" t="inlineStr">
        <is>
          <t>m2</t>
        </is>
      </c>
      <c r="N1267" s="72" t="n">
        <v>617.2</v>
      </c>
      <c r="O1267" s="72">
        <f>ROUND(N1267*(1+$F$10),2)</f>
        <v/>
      </c>
      <c r="P1267" s="73">
        <f>ROUND(K1267*N1267,2)</f>
        <v/>
      </c>
      <c r="Q1267" s="74">
        <f>ROUND(L1267*N1267,2)</f>
        <v/>
      </c>
      <c r="R1267" s="75" t="n"/>
      <c r="S1267" s="76" t="n"/>
      <c r="T1267" s="77">
        <f>K1267-L1267</f>
        <v/>
      </c>
      <c r="U1267" s="77">
        <f>P1267-Q1267</f>
        <v/>
      </c>
      <c r="V1267" s="77">
        <f>ABS(U1267)</f>
        <v/>
      </c>
      <c r="W1267" s="78">
        <f>T1267/L1267</f>
        <v/>
      </c>
      <c r="X1267" s="79">
        <f>ABS(W1267)</f>
        <v/>
      </c>
    </row>
    <row r="1268" ht="11.4" customHeight="1">
      <c r="A1268" s="67" t="inlineStr">
        <is>
          <t>8064</t>
        </is>
      </c>
      <c r="B1268" s="67" t="inlineStr">
        <is>
          <t>1062</t>
        </is>
      </c>
      <c r="C1268" s="67" t="inlineStr">
        <is>
          <t>1611</t>
        </is>
      </c>
      <c r="D1268" s="68" t="inlineStr">
        <is>
          <t>21</t>
        </is>
      </c>
      <c r="E1268" s="68" t="inlineStr">
        <is>
          <t>Kiosk-LHI</t>
        </is>
      </c>
      <c r="F1268" s="68" t="inlineStr">
        <is>
          <t>独立甜品站装修</t>
        </is>
      </c>
      <c r="G1268" s="68" t="inlineStr">
        <is>
          <t>独立甜品站装修</t>
        </is>
      </c>
      <c r="H1268" s="68" t="inlineStr">
        <is>
          <t>独立甜品站-墙体隔断</t>
        </is>
      </c>
      <c r="I1268" s="69" t="inlineStr">
        <is>
          <t>1000021602</t>
        </is>
      </c>
      <c r="J1268" s="69" t="inlineStr">
        <is>
          <t>防潮隔断五金件（连桥供应）</t>
        </is>
      </c>
      <c r="K1268" s="70" t="n"/>
      <c r="L1268" s="70" t="n"/>
      <c r="M1268" s="71" t="inlineStr">
        <is>
          <t>套</t>
        </is>
      </c>
      <c r="N1268" s="72" t="n">
        <v>432.3</v>
      </c>
      <c r="O1268" s="72">
        <f>ROUND(N1268*(1+$F$10),2)</f>
        <v/>
      </c>
      <c r="P1268" s="73">
        <f>ROUND(K1268*N1268,2)</f>
        <v/>
      </c>
      <c r="Q1268" s="74">
        <f>ROUND(L1268*N1268,2)</f>
        <v/>
      </c>
      <c r="R1268" s="75" t="n"/>
      <c r="S1268" s="76" t="n"/>
      <c r="T1268" s="77">
        <f>K1268-L1268</f>
        <v/>
      </c>
      <c r="U1268" s="77">
        <f>P1268-Q1268</f>
        <v/>
      </c>
      <c r="V1268" s="77">
        <f>ABS(U1268)</f>
        <v/>
      </c>
      <c r="W1268" s="78">
        <f>T1268/L1268</f>
        <v/>
      </c>
      <c r="X1268" s="79">
        <f>ABS(W1268)</f>
        <v/>
      </c>
    </row>
    <row r="1269" ht="11.4" customHeight="1">
      <c r="A1269" s="67" t="inlineStr">
        <is>
          <t>8064</t>
        </is>
      </c>
      <c r="B1269" s="67" t="inlineStr">
        <is>
          <t>1062</t>
        </is>
      </c>
      <c r="C1269" s="67" t="inlineStr">
        <is>
          <t>1611</t>
        </is>
      </c>
      <c r="D1269" s="68" t="inlineStr">
        <is>
          <t>21</t>
        </is>
      </c>
      <c r="E1269" s="68" t="inlineStr">
        <is>
          <t>Kiosk-LHI</t>
        </is>
      </c>
      <c r="F1269" s="68" t="inlineStr">
        <is>
          <t>独立甜品站装修</t>
        </is>
      </c>
      <c r="G1269" s="68" t="inlineStr">
        <is>
          <t>独立甜品站装修</t>
        </is>
      </c>
      <c r="H1269" s="68" t="inlineStr">
        <is>
          <t>独立甜品站-墙体隔断</t>
        </is>
      </c>
      <c r="I1269" s="69" t="inlineStr">
        <is>
          <t>1000021857</t>
        </is>
      </c>
      <c r="J1269" s="69" t="inlineStr">
        <is>
          <t>1300mm高矮墙（不含防火板）</t>
        </is>
      </c>
      <c r="K1269" s="70" t="n"/>
      <c r="L1269" s="70" t="n"/>
      <c r="M1269" s="71" t="inlineStr">
        <is>
          <t>米</t>
        </is>
      </c>
      <c r="N1269" s="72" t="n">
        <v>552.08</v>
      </c>
      <c r="O1269" s="72">
        <f>ROUND(N1269*(1+$F$10),2)</f>
        <v/>
      </c>
      <c r="P1269" s="73">
        <f>ROUND(K1269*N1269,2)</f>
        <v/>
      </c>
      <c r="Q1269" s="74">
        <f>ROUND(L1269*N1269,2)</f>
        <v/>
      </c>
      <c r="R1269" s="75" t="n"/>
      <c r="S1269" s="76" t="n"/>
      <c r="T1269" s="77">
        <f>K1269-L1269</f>
        <v/>
      </c>
      <c r="U1269" s="77">
        <f>P1269-Q1269</f>
        <v/>
      </c>
      <c r="V1269" s="77">
        <f>ABS(U1269)</f>
        <v/>
      </c>
      <c r="W1269" s="78">
        <f>T1269/L1269</f>
        <v/>
      </c>
      <c r="X1269" s="79">
        <f>ABS(W1269)</f>
        <v/>
      </c>
    </row>
    <row r="1270" ht="11.4" customHeight="1">
      <c r="A1270" s="67" t="inlineStr">
        <is>
          <t>8064</t>
        </is>
      </c>
      <c r="B1270" s="67" t="inlineStr">
        <is>
          <t>1062</t>
        </is>
      </c>
      <c r="C1270" s="67" t="inlineStr">
        <is>
          <t>1611</t>
        </is>
      </c>
      <c r="D1270" s="68" t="inlineStr">
        <is>
          <t>21</t>
        </is>
      </c>
      <c r="E1270" s="68" t="inlineStr">
        <is>
          <t>Kiosk-LHI</t>
        </is>
      </c>
      <c r="F1270" s="68" t="inlineStr">
        <is>
          <t>独立甜品站装修</t>
        </is>
      </c>
      <c r="G1270" s="68" t="inlineStr">
        <is>
          <t>独立甜品站装修</t>
        </is>
      </c>
      <c r="H1270" s="68" t="inlineStr">
        <is>
          <t>独立甜品站-墙体隔断</t>
        </is>
      </c>
      <c r="I1270" s="69" t="inlineStr">
        <is>
          <t>1000022129</t>
        </is>
      </c>
      <c r="J1270" s="69" t="inlineStr">
        <is>
          <t>12mm厚钢化磨砂玻璃</t>
        </is>
      </c>
      <c r="K1270" s="70" t="n"/>
      <c r="L1270" s="70" t="n"/>
      <c r="M1270" s="71" t="inlineStr">
        <is>
          <t>m2</t>
        </is>
      </c>
      <c r="N1270" s="72" t="n">
        <v>338.6</v>
      </c>
      <c r="O1270" s="72">
        <f>ROUND(N1270*(1+$F$10),2)</f>
        <v/>
      </c>
      <c r="P1270" s="73">
        <f>ROUND(K1270*N1270,2)</f>
        <v/>
      </c>
      <c r="Q1270" s="74">
        <f>ROUND(L1270*N1270,2)</f>
        <v/>
      </c>
      <c r="R1270" s="75" t="n"/>
      <c r="S1270" s="76" t="n"/>
      <c r="T1270" s="77">
        <f>K1270-L1270</f>
        <v/>
      </c>
      <c r="U1270" s="77">
        <f>P1270-Q1270</f>
        <v/>
      </c>
      <c r="V1270" s="77">
        <f>ABS(U1270)</f>
        <v/>
      </c>
      <c r="W1270" s="78">
        <f>T1270/L1270</f>
        <v/>
      </c>
      <c r="X1270" s="79">
        <f>ABS(W1270)</f>
        <v/>
      </c>
    </row>
    <row r="1271" ht="11.4" customHeight="1">
      <c r="A1271" s="67" t="inlineStr">
        <is>
          <t>8064</t>
        </is>
      </c>
      <c r="B1271" s="67" t="inlineStr">
        <is>
          <t>1062</t>
        </is>
      </c>
      <c r="C1271" s="67" t="inlineStr">
        <is>
          <t>1611</t>
        </is>
      </c>
      <c r="D1271" s="68" t="inlineStr">
        <is>
          <t>21</t>
        </is>
      </c>
      <c r="E1271" s="68" t="inlineStr">
        <is>
          <t>Kiosk-LHI</t>
        </is>
      </c>
      <c r="F1271" s="68" t="inlineStr">
        <is>
          <t>独立甜品站装修</t>
        </is>
      </c>
      <c r="G1271" s="68" t="inlineStr">
        <is>
          <t>独立甜品站装修</t>
        </is>
      </c>
      <c r="H1271" s="68" t="inlineStr">
        <is>
          <t>独立甜品站-门</t>
        </is>
      </c>
      <c r="I1271" s="69" t="inlineStr">
        <is>
          <t>1000022130</t>
        </is>
      </c>
      <c r="J1271" s="69" t="inlineStr">
        <is>
          <t>850mmX40mm厚 隔断成品门及全部配件</t>
        </is>
      </c>
      <c r="K1271" s="70" t="n"/>
      <c r="L1271" s="70" t="n"/>
      <c r="M1271" s="71" t="inlineStr">
        <is>
          <t>樘</t>
        </is>
      </c>
      <c r="N1271" s="72" t="n">
        <v>755.15</v>
      </c>
      <c r="O1271" s="72">
        <f>ROUND(N1271*(1+$F$10),2)</f>
        <v/>
      </c>
      <c r="P1271" s="73">
        <f>ROUND(K1271*N1271,2)</f>
        <v/>
      </c>
      <c r="Q1271" s="74">
        <f>ROUND(L1271*N1271,2)</f>
        <v/>
      </c>
      <c r="R1271" s="75" t="n"/>
      <c r="S1271" s="76" t="n"/>
      <c r="T1271" s="77">
        <f>K1271-L1271</f>
        <v/>
      </c>
      <c r="U1271" s="77">
        <f>P1271-Q1271</f>
        <v/>
      </c>
      <c r="V1271" s="77">
        <f>ABS(U1271)</f>
        <v/>
      </c>
      <c r="W1271" s="78">
        <f>T1271/L1271</f>
        <v/>
      </c>
      <c r="X1271" s="79">
        <f>ABS(W1271)</f>
        <v/>
      </c>
    </row>
    <row r="1272" ht="11.4" customHeight="1">
      <c r="A1272" s="67" t="inlineStr">
        <is>
          <t>8064</t>
        </is>
      </c>
      <c r="B1272" s="67" t="inlineStr">
        <is>
          <t>1062</t>
        </is>
      </c>
      <c r="C1272" s="67" t="inlineStr">
        <is>
          <t>1611</t>
        </is>
      </c>
      <c r="D1272" s="68" t="inlineStr">
        <is>
          <t>21</t>
        </is>
      </c>
      <c r="E1272" s="68" t="inlineStr">
        <is>
          <t>Kiosk-LHI</t>
        </is>
      </c>
      <c r="F1272" s="68" t="inlineStr">
        <is>
          <t>独立甜品站装修</t>
        </is>
      </c>
      <c r="G1272" s="68" t="inlineStr">
        <is>
          <t>独立甜品站装修</t>
        </is>
      </c>
      <c r="H1272" s="68" t="inlineStr">
        <is>
          <t>独立甜品站-门</t>
        </is>
      </c>
      <c r="I1272" s="69" t="inlineStr">
        <is>
          <t>1000022139</t>
        </is>
      </c>
      <c r="J1272" s="69" t="inlineStr">
        <is>
          <t>防盗门</t>
        </is>
      </c>
      <c r="K1272" s="70" t="n"/>
      <c r="L1272" s="70" t="n"/>
      <c r="M1272" s="71" t="inlineStr">
        <is>
          <t>樘</t>
        </is>
      </c>
      <c r="N1272" s="72" t="n">
        <v>1795.75</v>
      </c>
      <c r="O1272" s="72">
        <f>ROUND(N1272*(1+$F$10),2)</f>
        <v/>
      </c>
      <c r="P1272" s="73">
        <f>ROUND(K1272*N1272,2)</f>
        <v/>
      </c>
      <c r="Q1272" s="74">
        <f>ROUND(L1272*N1272,2)</f>
        <v/>
      </c>
      <c r="R1272" s="75" t="n"/>
      <c r="S1272" s="76" t="n"/>
      <c r="T1272" s="77">
        <f>K1272-L1272</f>
        <v/>
      </c>
      <c r="U1272" s="77">
        <f>P1272-Q1272</f>
        <v/>
      </c>
      <c r="V1272" s="77">
        <f>ABS(U1272)</f>
        <v/>
      </c>
      <c r="W1272" s="78">
        <f>T1272/L1272</f>
        <v/>
      </c>
      <c r="X1272" s="79">
        <f>ABS(W1272)</f>
        <v/>
      </c>
    </row>
    <row r="1273" ht="11.4" customHeight="1">
      <c r="A1273" s="67" t="inlineStr">
        <is>
          <t>8064</t>
        </is>
      </c>
      <c r="B1273" s="67" t="inlineStr">
        <is>
          <t>1062</t>
        </is>
      </c>
      <c r="C1273" s="67" t="inlineStr">
        <is>
          <t>1611</t>
        </is>
      </c>
      <c r="D1273" s="68" t="inlineStr">
        <is>
          <t>21</t>
        </is>
      </c>
      <c r="E1273" s="68" t="inlineStr">
        <is>
          <t>Kiosk-LHI</t>
        </is>
      </c>
      <c r="F1273" s="68" t="inlineStr">
        <is>
          <t>独立甜品站装修</t>
        </is>
      </c>
      <c r="G1273" s="68" t="inlineStr">
        <is>
          <t>独立甜品站装修</t>
        </is>
      </c>
      <c r="H1273" s="68" t="inlineStr">
        <is>
          <t>独立甜品站-门</t>
        </is>
      </c>
      <c r="I1273" s="69" t="inlineStr">
        <is>
          <t>1000021520</t>
        </is>
      </c>
      <c r="J1273" s="69" t="inlineStr">
        <is>
          <t>40mm厚成品门（含门套，连桥供应）</t>
        </is>
      </c>
      <c r="K1273" s="70" t="n"/>
      <c r="L1273" s="70" t="n"/>
      <c r="M1273" s="71" t="inlineStr">
        <is>
          <t>樘</t>
        </is>
      </c>
      <c r="N1273" s="72" t="n">
        <v>2585.55</v>
      </c>
      <c r="O1273" s="72">
        <f>ROUND(N1273*(1+$F$10),2)</f>
        <v/>
      </c>
      <c r="P1273" s="73">
        <f>ROUND(K1273*N1273,2)</f>
        <v/>
      </c>
      <c r="Q1273" s="74">
        <f>ROUND(L1273*N1273,2)</f>
        <v/>
      </c>
      <c r="R1273" s="75" t="n"/>
      <c r="S1273" s="76" t="n"/>
      <c r="T1273" s="77">
        <f>K1273-L1273</f>
        <v/>
      </c>
      <c r="U1273" s="77">
        <f>P1273-Q1273</f>
        <v/>
      </c>
      <c r="V1273" s="77">
        <f>ABS(U1273)</f>
        <v/>
      </c>
      <c r="W1273" s="78">
        <f>T1273/L1273</f>
        <v/>
      </c>
      <c r="X1273" s="79">
        <f>ABS(W1273)</f>
        <v/>
      </c>
    </row>
    <row r="1274" ht="11.4" customHeight="1">
      <c r="A1274" s="67" t="inlineStr">
        <is>
          <t>8064</t>
        </is>
      </c>
      <c r="B1274" s="67" t="inlineStr">
        <is>
          <t>1062</t>
        </is>
      </c>
      <c r="C1274" s="67" t="inlineStr">
        <is>
          <t>1611</t>
        </is>
      </c>
      <c r="D1274" s="68" t="inlineStr">
        <is>
          <t>21</t>
        </is>
      </c>
      <c r="E1274" s="68" t="inlineStr">
        <is>
          <t>Kiosk-LHI</t>
        </is>
      </c>
      <c r="F1274" s="68" t="inlineStr">
        <is>
          <t>独立甜品站装修</t>
        </is>
      </c>
      <c r="G1274" s="68" t="inlineStr">
        <is>
          <t>独立甜品站装修</t>
        </is>
      </c>
      <c r="H1274" s="68" t="inlineStr">
        <is>
          <t>独立甜品站-门</t>
        </is>
      </c>
      <c r="I1274" s="69" t="inlineStr">
        <is>
          <t>1000021658</t>
        </is>
      </c>
      <c r="J1274" s="69" t="inlineStr">
        <is>
          <t>40mm厚成品门（含门套，远达供应）</t>
        </is>
      </c>
      <c r="K1274" s="70" t="n"/>
      <c r="L1274" s="70" t="n"/>
      <c r="M1274" s="71" t="inlineStr">
        <is>
          <t>樘</t>
        </is>
      </c>
      <c r="N1274" s="72" t="n">
        <v>2585.55</v>
      </c>
      <c r="O1274" s="72">
        <f>ROUND(N1274*(1+$F$10),2)</f>
        <v/>
      </c>
      <c r="P1274" s="73">
        <f>ROUND(K1274*N1274,2)</f>
        <v/>
      </c>
      <c r="Q1274" s="74">
        <f>ROUND(L1274*N1274,2)</f>
        <v/>
      </c>
      <c r="R1274" s="75" t="n"/>
      <c r="S1274" s="76" t="n"/>
      <c r="T1274" s="77">
        <f>K1274-L1274</f>
        <v/>
      </c>
      <c r="U1274" s="77">
        <f>P1274-Q1274</f>
        <v/>
      </c>
      <c r="V1274" s="77">
        <f>ABS(U1274)</f>
        <v/>
      </c>
      <c r="W1274" s="78">
        <f>T1274/L1274</f>
        <v/>
      </c>
      <c r="X1274" s="79">
        <f>ABS(W1274)</f>
        <v/>
      </c>
    </row>
    <row r="1275" ht="11.4" customHeight="1">
      <c r="A1275" s="67" t="inlineStr">
        <is>
          <t>8064</t>
        </is>
      </c>
      <c r="B1275" s="67" t="inlineStr">
        <is>
          <t>1062</t>
        </is>
      </c>
      <c r="C1275" s="67" t="inlineStr">
        <is>
          <t>1611</t>
        </is>
      </c>
      <c r="D1275" s="68" t="inlineStr">
        <is>
          <t>21</t>
        </is>
      </c>
      <c r="E1275" s="68" t="inlineStr">
        <is>
          <t>Kiosk-LHI</t>
        </is>
      </c>
      <c r="F1275" s="68" t="inlineStr">
        <is>
          <t>独立甜品站装修</t>
        </is>
      </c>
      <c r="G1275" s="68" t="inlineStr">
        <is>
          <t>独立甜品站装修</t>
        </is>
      </c>
      <c r="H1275" s="68" t="inlineStr">
        <is>
          <t>独立甜品站-门</t>
        </is>
      </c>
      <c r="I1275" s="69" t="inlineStr">
        <is>
          <t>1000053617</t>
        </is>
      </c>
      <c r="J1275" s="69" t="inlineStr">
        <is>
          <t>40mm厚成品门（含门套，航凯供应）</t>
        </is>
      </c>
      <c r="K1275" s="70" t="n"/>
      <c r="L1275" s="70" t="n"/>
      <c r="M1275" s="71" t="inlineStr">
        <is>
          <t>樘</t>
        </is>
      </c>
      <c r="N1275" s="72" t="n">
        <v>2941.14</v>
      </c>
      <c r="O1275" s="72">
        <f>ROUND(N1275*(1+$F$10),2)</f>
        <v/>
      </c>
      <c r="P1275" s="73">
        <f>ROUND(K1275*N1275,2)</f>
        <v/>
      </c>
      <c r="Q1275" s="74">
        <f>ROUND(L1275*N1275,2)</f>
        <v/>
      </c>
      <c r="R1275" s="75" t="n"/>
      <c r="S1275" s="76" t="n"/>
      <c r="T1275" s="77">
        <f>K1275-L1275</f>
        <v/>
      </c>
      <c r="U1275" s="77">
        <f>P1275-Q1275</f>
        <v/>
      </c>
      <c r="V1275" s="77">
        <f>ABS(U1275)</f>
        <v/>
      </c>
      <c r="W1275" s="78">
        <f>T1275/L1275</f>
        <v/>
      </c>
      <c r="X1275" s="79">
        <f>ABS(W1275)</f>
        <v/>
      </c>
    </row>
    <row r="1276" ht="11.4" customHeight="1">
      <c r="A1276" s="67" t="inlineStr">
        <is>
          <t>8064</t>
        </is>
      </c>
      <c r="B1276" s="67" t="inlineStr">
        <is>
          <t>1062</t>
        </is>
      </c>
      <c r="C1276" s="67" t="inlineStr">
        <is>
          <t>1611</t>
        </is>
      </c>
      <c r="D1276" s="68" t="inlineStr">
        <is>
          <t>21</t>
        </is>
      </c>
      <c r="E1276" s="68" t="inlineStr">
        <is>
          <t>Kiosk-LHI</t>
        </is>
      </c>
      <c r="F1276" s="68" t="inlineStr">
        <is>
          <t>独立甜品站装修</t>
        </is>
      </c>
      <c r="G1276" s="68" t="inlineStr">
        <is>
          <t>独立甜品站装修</t>
        </is>
      </c>
      <c r="H1276" s="68" t="inlineStr">
        <is>
          <t>独立甜品站-门</t>
        </is>
      </c>
      <c r="I1276" s="69" t="inlineStr">
        <is>
          <t>1000025194</t>
        </is>
      </c>
      <c r="J1276" s="69" t="inlineStr">
        <is>
          <t>甜品站玻璃单开门（含五金配件）</t>
        </is>
      </c>
      <c r="K1276" s="70" t="n"/>
      <c r="L1276" s="70" t="n"/>
      <c r="M1276" s="71" t="inlineStr">
        <is>
          <t>樘</t>
        </is>
      </c>
      <c r="N1276" s="72" t="n">
        <v>1496.64</v>
      </c>
      <c r="O1276" s="72">
        <f>ROUND(N1276*(1+$F$10),2)</f>
        <v/>
      </c>
      <c r="P1276" s="73">
        <f>ROUND(K1276*N1276,2)</f>
        <v/>
      </c>
      <c r="Q1276" s="74">
        <f>ROUND(L1276*N1276,2)</f>
        <v/>
      </c>
      <c r="R1276" s="75" t="n"/>
      <c r="S1276" s="76" t="n"/>
      <c r="T1276" s="77">
        <f>K1276-L1276</f>
        <v/>
      </c>
      <c r="U1276" s="77">
        <f>P1276-Q1276</f>
        <v/>
      </c>
      <c r="V1276" s="77">
        <f>ABS(U1276)</f>
        <v/>
      </c>
      <c r="W1276" s="78">
        <f>T1276/L1276</f>
        <v/>
      </c>
      <c r="X1276" s="79">
        <f>ABS(W1276)</f>
        <v/>
      </c>
    </row>
    <row r="1277" ht="11.4" customHeight="1">
      <c r="A1277" s="67" t="inlineStr">
        <is>
          <t>8064</t>
        </is>
      </c>
      <c r="B1277" s="67" t="inlineStr">
        <is>
          <t>1062</t>
        </is>
      </c>
      <c r="C1277" s="67" t="inlineStr">
        <is>
          <t>1611</t>
        </is>
      </c>
      <c r="D1277" s="68" t="inlineStr">
        <is>
          <t>21</t>
        </is>
      </c>
      <c r="E1277" s="68" t="inlineStr">
        <is>
          <t>Kiosk-LHI</t>
        </is>
      </c>
      <c r="F1277" s="68" t="inlineStr">
        <is>
          <t>独立甜品站装修</t>
        </is>
      </c>
      <c r="G1277" s="68" t="inlineStr">
        <is>
          <t>独立甜品站装修</t>
        </is>
      </c>
      <c r="H1277" s="68" t="inlineStr">
        <is>
          <t>独立甜品站-其他</t>
        </is>
      </c>
      <c r="I1277" s="69" t="inlineStr">
        <is>
          <t>1000022114</t>
        </is>
      </c>
      <c r="J1277" s="69" t="inlineStr">
        <is>
          <t>不锈钢踢脚 H=100</t>
        </is>
      </c>
      <c r="K1277" s="70" t="n"/>
      <c r="L1277" s="70" t="n"/>
      <c r="M1277" s="71" t="inlineStr">
        <is>
          <t>米</t>
        </is>
      </c>
      <c r="N1277" s="72" t="n">
        <v>75.86</v>
      </c>
      <c r="O1277" s="72">
        <f>ROUND(N1277*(1+$F$10),2)</f>
        <v/>
      </c>
      <c r="P1277" s="73">
        <f>ROUND(K1277*N1277,2)</f>
        <v/>
      </c>
      <c r="Q1277" s="74">
        <f>ROUND(L1277*N1277,2)</f>
        <v/>
      </c>
      <c r="R1277" s="75" t="n"/>
      <c r="S1277" s="76" t="n"/>
      <c r="T1277" s="77">
        <f>K1277-L1277</f>
        <v/>
      </c>
      <c r="U1277" s="77">
        <f>P1277-Q1277</f>
        <v/>
      </c>
      <c r="V1277" s="77">
        <f>ABS(U1277)</f>
        <v/>
      </c>
      <c r="W1277" s="78">
        <f>T1277/L1277</f>
        <v/>
      </c>
      <c r="X1277" s="79">
        <f>ABS(W1277)</f>
        <v/>
      </c>
    </row>
    <row r="1278" ht="11.4" customHeight="1">
      <c r="A1278" s="67" t="inlineStr">
        <is>
          <t>8064</t>
        </is>
      </c>
      <c r="B1278" s="67" t="inlineStr">
        <is>
          <t>1062</t>
        </is>
      </c>
      <c r="C1278" s="67" t="inlineStr">
        <is>
          <t>1611</t>
        </is>
      </c>
      <c r="D1278" s="68" t="inlineStr">
        <is>
          <t>21</t>
        </is>
      </c>
      <c r="E1278" s="68" t="inlineStr">
        <is>
          <t>Kiosk-LHI</t>
        </is>
      </c>
      <c r="F1278" s="68" t="inlineStr">
        <is>
          <t>独立甜品站装修</t>
        </is>
      </c>
      <c r="G1278" s="68" t="inlineStr">
        <is>
          <t>独立甜品站装修</t>
        </is>
      </c>
      <c r="H1278" s="68" t="inlineStr">
        <is>
          <t>独立甜品站-其他</t>
        </is>
      </c>
      <c r="I1278" s="69" t="inlineStr">
        <is>
          <t>1000022131</t>
        </is>
      </c>
      <c r="J1278" s="69" t="inlineStr">
        <is>
          <t>地面抬高</t>
        </is>
      </c>
      <c r="K1278" s="70" t="n"/>
      <c r="L1278" s="70" t="n"/>
      <c r="M1278" s="71" t="inlineStr">
        <is>
          <t>m2</t>
        </is>
      </c>
      <c r="N1278" s="72" t="n">
        <v>88.25</v>
      </c>
      <c r="O1278" s="72">
        <f>ROUND(N1278*(1+$F$10),2)</f>
        <v/>
      </c>
      <c r="P1278" s="73">
        <f>ROUND(K1278*N1278,2)</f>
        <v/>
      </c>
      <c r="Q1278" s="74">
        <f>ROUND(L1278*N1278,2)</f>
        <v/>
      </c>
      <c r="R1278" s="75" t="n"/>
      <c r="S1278" s="76" t="n"/>
      <c r="T1278" s="77">
        <f>K1278-L1278</f>
        <v/>
      </c>
      <c r="U1278" s="77">
        <f>P1278-Q1278</f>
        <v/>
      </c>
      <c r="V1278" s="77">
        <f>ABS(U1278)</f>
        <v/>
      </c>
      <c r="W1278" s="78">
        <f>T1278/L1278</f>
        <v/>
      </c>
      <c r="X1278" s="79">
        <f>ABS(W1278)</f>
        <v/>
      </c>
    </row>
    <row r="1279" ht="11.4" customHeight="1">
      <c r="A1279" s="67" t="inlineStr">
        <is>
          <t>8068</t>
        </is>
      </c>
      <c r="B1279" s="67" t="inlineStr">
        <is>
          <t>1066</t>
        </is>
      </c>
      <c r="C1279" s="67" t="inlineStr">
        <is>
          <t>1612</t>
        </is>
      </c>
      <c r="D1279" s="68" t="inlineStr">
        <is>
          <t>21</t>
        </is>
      </c>
      <c r="E1279" s="68" t="inlineStr">
        <is>
          <t>Kiosk-LHI</t>
        </is>
      </c>
      <c r="F1279" s="68" t="inlineStr">
        <is>
          <t>独立甜品站装修</t>
        </is>
      </c>
      <c r="G1279" s="68" t="inlineStr">
        <is>
          <t>独立甜品站装修</t>
        </is>
      </c>
      <c r="H1279" s="68" t="inlineStr">
        <is>
          <t>独立甜品站-电气</t>
        </is>
      </c>
      <c r="I1279" s="69" t="inlineStr">
        <is>
          <t>1000022140</t>
        </is>
      </c>
      <c r="J1279" s="69" t="inlineStr">
        <is>
          <t>红线电缆</t>
        </is>
      </c>
      <c r="K1279" s="70" t="n"/>
      <c r="L1279" s="70" t="n"/>
      <c r="M1279" s="71" t="inlineStr">
        <is>
          <t>米</t>
        </is>
      </c>
      <c r="N1279" s="72" t="n">
        <v>152.9</v>
      </c>
      <c r="O1279" s="72">
        <f>ROUND(N1279*(1+$F$10),2)</f>
        <v/>
      </c>
      <c r="P1279" s="73">
        <f>ROUND(K1279*N1279,2)</f>
        <v/>
      </c>
      <c r="Q1279" s="74">
        <f>ROUND(L1279*N1279,2)</f>
        <v/>
      </c>
      <c r="R1279" s="75" t="n"/>
      <c r="S1279" s="76" t="n"/>
      <c r="T1279" s="77">
        <f>K1279-L1279</f>
        <v/>
      </c>
      <c r="U1279" s="77">
        <f>P1279-Q1279</f>
        <v/>
      </c>
      <c r="V1279" s="77">
        <f>ABS(U1279)</f>
        <v/>
      </c>
      <c r="W1279" s="78">
        <f>T1279/L1279</f>
        <v/>
      </c>
      <c r="X1279" s="79">
        <f>ABS(W1279)</f>
        <v/>
      </c>
    </row>
    <row r="1280" ht="11.4" customHeight="1">
      <c r="A1280" s="67" t="inlineStr">
        <is>
          <t>8068</t>
        </is>
      </c>
      <c r="B1280" s="67" t="inlineStr">
        <is>
          <t>1066</t>
        </is>
      </c>
      <c r="C1280" s="67" t="inlineStr">
        <is>
          <t>1612</t>
        </is>
      </c>
      <c r="D1280" s="68" t="inlineStr">
        <is>
          <t>21</t>
        </is>
      </c>
      <c r="E1280" s="68" t="inlineStr">
        <is>
          <t>Kiosk-LHI</t>
        </is>
      </c>
      <c r="F1280" s="68" t="inlineStr">
        <is>
          <t>独立甜品站装修</t>
        </is>
      </c>
      <c r="G1280" s="68" t="inlineStr">
        <is>
          <t>独立甜品站装修</t>
        </is>
      </c>
      <c r="H1280" s="68" t="inlineStr">
        <is>
          <t>独立甜品站-电气</t>
        </is>
      </c>
      <c r="I1280" s="69" t="inlineStr">
        <is>
          <t>1000022117</t>
        </is>
      </c>
      <c r="J1280" s="69" t="inlineStr">
        <is>
          <t>内部电源安装（含插头插座开关）</t>
        </is>
      </c>
      <c r="K1280" s="70" t="n"/>
      <c r="L1280" s="70" t="n"/>
      <c r="M1280" s="71" t="inlineStr">
        <is>
          <t>项</t>
        </is>
      </c>
      <c r="N1280" s="72" t="n">
        <v>1637.1</v>
      </c>
      <c r="O1280" s="72">
        <f>ROUND(N1280*(1+$F$10),2)</f>
        <v/>
      </c>
      <c r="P1280" s="73">
        <f>ROUND(K1280*N1280,2)</f>
        <v/>
      </c>
      <c r="Q1280" s="74">
        <f>ROUND(L1280*N1280,2)</f>
        <v/>
      </c>
      <c r="R1280" s="75" t="n"/>
      <c r="S1280" s="76" t="n"/>
      <c r="T1280" s="77">
        <f>K1280-L1280</f>
        <v/>
      </c>
      <c r="U1280" s="77">
        <f>P1280-Q1280</f>
        <v/>
      </c>
      <c r="V1280" s="77">
        <f>ABS(U1280)</f>
        <v/>
      </c>
      <c r="W1280" s="78">
        <f>T1280/L1280</f>
        <v/>
      </c>
      <c r="X1280" s="79">
        <f>ABS(W1280)</f>
        <v/>
      </c>
    </row>
    <row r="1281" ht="11.4" customHeight="1">
      <c r="A1281" s="67" t="inlineStr">
        <is>
          <t>8068</t>
        </is>
      </c>
      <c r="B1281" s="67" t="inlineStr">
        <is>
          <t>1066</t>
        </is>
      </c>
      <c r="C1281" s="67" t="inlineStr">
        <is>
          <t>1612</t>
        </is>
      </c>
      <c r="D1281" s="68" t="inlineStr">
        <is>
          <t>21</t>
        </is>
      </c>
      <c r="E1281" s="68" t="inlineStr">
        <is>
          <t>Kiosk-LHI</t>
        </is>
      </c>
      <c r="F1281" s="68" t="inlineStr">
        <is>
          <t>独立甜品站装修</t>
        </is>
      </c>
      <c r="G1281" s="68" t="inlineStr">
        <is>
          <t>独立甜品站装修</t>
        </is>
      </c>
      <c r="H1281" s="68" t="inlineStr">
        <is>
          <t>独立甜品站-电气</t>
        </is>
      </c>
      <c r="I1281" s="69" t="inlineStr">
        <is>
          <t>1000022133</t>
        </is>
      </c>
      <c r="J1281" s="69" t="inlineStr">
        <is>
          <t>配合弱电安装</t>
        </is>
      </c>
      <c r="K1281" s="70" t="n"/>
      <c r="L1281" s="70" t="n"/>
      <c r="M1281" s="71" t="inlineStr">
        <is>
          <t>项</t>
        </is>
      </c>
      <c r="N1281" s="72" t="n">
        <v>699.36</v>
      </c>
      <c r="O1281" s="72">
        <f>ROUND(N1281*(1+$F$10),2)</f>
        <v/>
      </c>
      <c r="P1281" s="73">
        <f>ROUND(K1281*N1281,2)</f>
        <v/>
      </c>
      <c r="Q1281" s="74">
        <f>ROUND(L1281*N1281,2)</f>
        <v/>
      </c>
      <c r="R1281" s="75" t="n"/>
      <c r="S1281" s="76" t="n"/>
      <c r="T1281" s="77">
        <f>K1281-L1281</f>
        <v/>
      </c>
      <c r="U1281" s="77">
        <f>P1281-Q1281</f>
        <v/>
      </c>
      <c r="V1281" s="77">
        <f>ABS(U1281)</f>
        <v/>
      </c>
      <c r="W1281" s="78">
        <f>T1281/L1281</f>
        <v/>
      </c>
      <c r="X1281" s="79">
        <f>ABS(W1281)</f>
        <v/>
      </c>
    </row>
    <row r="1282" ht="11.4" customHeight="1">
      <c r="A1282" s="67" t="inlineStr">
        <is>
          <t>8068</t>
        </is>
      </c>
      <c r="B1282" s="67" t="inlineStr">
        <is>
          <t>1066</t>
        </is>
      </c>
      <c r="C1282" s="67" t="inlineStr">
        <is>
          <t>1612</t>
        </is>
      </c>
      <c r="D1282" s="68" t="inlineStr">
        <is>
          <t>21</t>
        </is>
      </c>
      <c r="E1282" s="68" t="inlineStr">
        <is>
          <t>Kiosk-LHI</t>
        </is>
      </c>
      <c r="F1282" s="68" t="inlineStr">
        <is>
          <t>独立甜品站装修</t>
        </is>
      </c>
      <c r="G1282" s="68" t="inlineStr">
        <is>
          <t>独立甜品站装修</t>
        </is>
      </c>
      <c r="H1282" s="68" t="inlineStr">
        <is>
          <t>独立甜品站-电气</t>
        </is>
      </c>
      <c r="I1282" s="69" t="inlineStr">
        <is>
          <t>1000022141</t>
        </is>
      </c>
      <c r="J1282" s="69" t="inlineStr">
        <is>
          <t>照明回路</t>
        </is>
      </c>
      <c r="K1282" s="70" t="n"/>
      <c r="L1282" s="70" t="n"/>
      <c r="M1282" s="71" t="inlineStr">
        <is>
          <t>组</t>
        </is>
      </c>
      <c r="N1282" s="72" t="n">
        <v>519.63</v>
      </c>
      <c r="O1282" s="72">
        <f>ROUND(N1282*(1+$F$10),2)</f>
        <v/>
      </c>
      <c r="P1282" s="73">
        <f>ROUND(K1282*N1282,2)</f>
        <v/>
      </c>
      <c r="Q1282" s="74">
        <f>ROUND(L1282*N1282,2)</f>
        <v/>
      </c>
      <c r="R1282" s="75" t="n"/>
      <c r="S1282" s="76" t="n"/>
      <c r="T1282" s="77">
        <f>K1282-L1282</f>
        <v/>
      </c>
      <c r="U1282" s="77">
        <f>P1282-Q1282</f>
        <v/>
      </c>
      <c r="V1282" s="77">
        <f>ABS(U1282)</f>
        <v/>
      </c>
      <c r="W1282" s="78">
        <f>T1282/L1282</f>
        <v/>
      </c>
      <c r="X1282" s="79">
        <f>ABS(W1282)</f>
        <v/>
      </c>
    </row>
    <row r="1283" ht="11.4" customHeight="1">
      <c r="A1283" s="67" t="inlineStr">
        <is>
          <t>8068</t>
        </is>
      </c>
      <c r="B1283" s="67" t="inlineStr">
        <is>
          <t>1066</t>
        </is>
      </c>
      <c r="C1283" s="67" t="inlineStr">
        <is>
          <t>1612</t>
        </is>
      </c>
      <c r="D1283" s="68" t="inlineStr">
        <is>
          <t>21</t>
        </is>
      </c>
      <c r="E1283" s="68" t="inlineStr">
        <is>
          <t>Kiosk-LHI</t>
        </is>
      </c>
      <c r="F1283" s="68" t="inlineStr">
        <is>
          <t>独立甜品站装修</t>
        </is>
      </c>
      <c r="G1283" s="68" t="inlineStr">
        <is>
          <t>独立甜品站装修</t>
        </is>
      </c>
      <c r="H1283" s="68" t="inlineStr">
        <is>
          <t>独立甜品站-电气</t>
        </is>
      </c>
      <c r="I1283" s="69" t="inlineStr">
        <is>
          <t>1000085744</t>
        </is>
      </c>
      <c r="J1283" s="69" t="inlineStr">
        <is>
          <t>室内灯具安装</t>
        </is>
      </c>
      <c r="K1283" s="70" t="n"/>
      <c r="L1283" s="70" t="n"/>
      <c r="M1283" s="71" t="inlineStr">
        <is>
          <t>个</t>
        </is>
      </c>
      <c r="N1283" s="72" t="n">
        <v>136.25</v>
      </c>
      <c r="O1283" s="72">
        <f>ROUND(N1283*(1+$F$10),2)</f>
        <v/>
      </c>
      <c r="P1283" s="73">
        <f>ROUND(K1283*N1283,2)</f>
        <v/>
      </c>
      <c r="Q1283" s="74">
        <f>ROUND(L1283*N1283,2)</f>
        <v/>
      </c>
      <c r="R1283" s="75" t="n"/>
      <c r="S1283" s="76" t="n"/>
      <c r="T1283" s="77">
        <f>K1283-L1283</f>
        <v/>
      </c>
      <c r="U1283" s="77">
        <f>P1283-Q1283</f>
        <v/>
      </c>
      <c r="V1283" s="77">
        <f>ABS(U1283)</f>
        <v/>
      </c>
      <c r="W1283" s="78">
        <f>T1283/L1283</f>
        <v/>
      </c>
      <c r="X1283" s="79">
        <f>ABS(W1283)</f>
        <v/>
      </c>
    </row>
    <row r="1284" ht="11.4" customHeight="1">
      <c r="A1284" s="67" t="inlineStr">
        <is>
          <t>8068</t>
        </is>
      </c>
      <c r="B1284" s="67" t="inlineStr">
        <is>
          <t>1066</t>
        </is>
      </c>
      <c r="C1284" s="67" t="inlineStr">
        <is>
          <t>1612</t>
        </is>
      </c>
      <c r="D1284" s="68" t="inlineStr">
        <is>
          <t>21</t>
        </is>
      </c>
      <c r="E1284" s="68" t="inlineStr">
        <is>
          <t>Kiosk-LHI</t>
        </is>
      </c>
      <c r="F1284" s="68" t="inlineStr">
        <is>
          <t>独立甜品站装修</t>
        </is>
      </c>
      <c r="G1284" s="68" t="inlineStr">
        <is>
          <t>独立甜品站装修</t>
        </is>
      </c>
      <c r="H1284" s="68" t="inlineStr">
        <is>
          <t>独立甜品站-电气</t>
        </is>
      </c>
      <c r="I1284" s="69" t="inlineStr">
        <is>
          <t>1000022188</t>
        </is>
      </c>
      <c r="J1284" s="69" t="inlineStr">
        <is>
          <t>安装方形LED灯筒灯灯具  L1</t>
        </is>
      </c>
      <c r="K1284" s="70" t="n"/>
      <c r="L1284" s="70" t="n"/>
      <c r="M1284" s="71" t="inlineStr">
        <is>
          <t>个</t>
        </is>
      </c>
      <c r="N1284" s="72" t="n"/>
      <c r="O1284" s="72">
        <f>ROUND(N1284*(1+$F$10),2)</f>
        <v/>
      </c>
      <c r="P1284" s="73">
        <f>ROUND(K1284*N1284,2)</f>
        <v/>
      </c>
      <c r="Q1284" s="74">
        <f>ROUND(L1284*N1284,2)</f>
        <v/>
      </c>
      <c r="R1284" s="75" t="n"/>
      <c r="S1284" s="76" t="n"/>
      <c r="T1284" s="77">
        <f>K1284-L1284</f>
        <v/>
      </c>
      <c r="U1284" s="77">
        <f>P1284-Q1284</f>
        <v/>
      </c>
      <c r="V1284" s="77">
        <f>ABS(U1284)</f>
        <v/>
      </c>
      <c r="W1284" s="78">
        <f>T1284/L1284</f>
        <v/>
      </c>
      <c r="X1284" s="79">
        <f>ABS(W1284)</f>
        <v/>
      </c>
    </row>
    <row r="1285" ht="11.4" customHeight="1">
      <c r="A1285" s="67" t="inlineStr">
        <is>
          <t>8068</t>
        </is>
      </c>
      <c r="B1285" s="67" t="inlineStr">
        <is>
          <t>1066</t>
        </is>
      </c>
      <c r="C1285" s="67" t="inlineStr">
        <is>
          <t>1612</t>
        </is>
      </c>
      <c r="D1285" s="68" t="inlineStr">
        <is>
          <t>21</t>
        </is>
      </c>
      <c r="E1285" s="68" t="inlineStr">
        <is>
          <t>Kiosk-LHI</t>
        </is>
      </c>
      <c r="F1285" s="68" t="inlineStr">
        <is>
          <t>独立甜品站装修</t>
        </is>
      </c>
      <c r="G1285" s="68" t="inlineStr">
        <is>
          <t>独立甜品站装修</t>
        </is>
      </c>
      <c r="H1285" s="68" t="inlineStr">
        <is>
          <t>独立甜品站-电气</t>
        </is>
      </c>
      <c r="I1285" s="69" t="inlineStr">
        <is>
          <t>1000022189</t>
        </is>
      </c>
      <c r="J1285" s="69" t="inlineStr">
        <is>
          <t>安装双头方形LED灯筒灯灯具  L2</t>
        </is>
      </c>
      <c r="K1285" s="70" t="n"/>
      <c r="L1285" s="70" t="n"/>
      <c r="M1285" s="71" t="inlineStr">
        <is>
          <t>个</t>
        </is>
      </c>
      <c r="N1285" s="72" t="n"/>
      <c r="O1285" s="72">
        <f>ROUND(N1285*(1+$F$10),2)</f>
        <v/>
      </c>
      <c r="P1285" s="73">
        <f>ROUND(K1285*N1285,2)</f>
        <v/>
      </c>
      <c r="Q1285" s="74">
        <f>ROUND(L1285*N1285,2)</f>
        <v/>
      </c>
      <c r="R1285" s="75" t="n"/>
      <c r="S1285" s="76" t="n"/>
      <c r="T1285" s="77">
        <f>K1285-L1285</f>
        <v/>
      </c>
      <c r="U1285" s="77">
        <f>P1285-Q1285</f>
        <v/>
      </c>
      <c r="V1285" s="77">
        <f>ABS(U1285)</f>
        <v/>
      </c>
      <c r="W1285" s="78">
        <f>T1285/L1285</f>
        <v/>
      </c>
      <c r="X1285" s="79">
        <f>ABS(W1285)</f>
        <v/>
      </c>
    </row>
    <row r="1286" ht="11.4" customHeight="1">
      <c r="A1286" s="67" t="inlineStr">
        <is>
          <t>8068</t>
        </is>
      </c>
      <c r="B1286" s="67" t="inlineStr">
        <is>
          <t>1066</t>
        </is>
      </c>
      <c r="C1286" s="67" t="inlineStr">
        <is>
          <t>1612</t>
        </is>
      </c>
      <c r="D1286" s="68" t="inlineStr">
        <is>
          <t>21</t>
        </is>
      </c>
      <c r="E1286" s="68" t="inlineStr">
        <is>
          <t>Kiosk-LHI</t>
        </is>
      </c>
      <c r="F1286" s="68" t="inlineStr">
        <is>
          <t>独立甜品站装修</t>
        </is>
      </c>
      <c r="G1286" s="68" t="inlineStr">
        <is>
          <t>独立甜品站装修</t>
        </is>
      </c>
      <c r="H1286" s="68" t="inlineStr">
        <is>
          <t>独立甜品站-电气</t>
        </is>
      </c>
      <c r="I1286" s="69" t="inlineStr">
        <is>
          <t>1000022190</t>
        </is>
      </c>
      <c r="J1286" s="69" t="inlineStr">
        <is>
          <t>安装方形嵌入式LED射灯28W  L3</t>
        </is>
      </c>
      <c r="K1286" s="70" t="n"/>
      <c r="L1286" s="70" t="n"/>
      <c r="M1286" s="71" t="inlineStr">
        <is>
          <t>个</t>
        </is>
      </c>
      <c r="N1286" s="72" t="n"/>
      <c r="O1286" s="72">
        <f>ROUND(N1286*(1+$F$10),2)</f>
        <v/>
      </c>
      <c r="P1286" s="73">
        <f>ROUND(K1286*N1286,2)</f>
        <v/>
      </c>
      <c r="Q1286" s="74">
        <f>ROUND(L1286*N1286,2)</f>
        <v/>
      </c>
      <c r="R1286" s="75" t="n"/>
      <c r="S1286" s="76" t="n"/>
      <c r="T1286" s="77">
        <f>K1286-L1286</f>
        <v/>
      </c>
      <c r="U1286" s="77">
        <f>P1286-Q1286</f>
        <v/>
      </c>
      <c r="V1286" s="77">
        <f>ABS(U1286)</f>
        <v/>
      </c>
      <c r="W1286" s="78">
        <f>T1286/L1286</f>
        <v/>
      </c>
      <c r="X1286" s="79">
        <f>ABS(W1286)</f>
        <v/>
      </c>
    </row>
    <row r="1287" ht="11.4" customHeight="1">
      <c r="A1287" s="67" t="inlineStr">
        <is>
          <t>8068</t>
        </is>
      </c>
      <c r="B1287" s="67" t="inlineStr">
        <is>
          <t>1066</t>
        </is>
      </c>
      <c r="C1287" s="67" t="inlineStr">
        <is>
          <t>1612</t>
        </is>
      </c>
      <c r="D1287" s="68" t="inlineStr">
        <is>
          <t>21</t>
        </is>
      </c>
      <c r="E1287" s="68" t="inlineStr">
        <is>
          <t>Kiosk-LHI</t>
        </is>
      </c>
      <c r="F1287" s="68" t="inlineStr">
        <is>
          <t>独立甜品站装修</t>
        </is>
      </c>
      <c r="G1287" s="68" t="inlineStr">
        <is>
          <t>独立甜品站装修</t>
        </is>
      </c>
      <c r="H1287" s="68" t="inlineStr">
        <is>
          <t>独立甜品站-电气</t>
        </is>
      </c>
      <c r="I1287" s="69" t="inlineStr">
        <is>
          <t>1000022191</t>
        </is>
      </c>
      <c r="J1287" s="69" t="inlineStr">
        <is>
          <t>安装深照型圆形LED灯筒灯灯具  L4</t>
        </is>
      </c>
      <c r="K1287" s="70" t="n"/>
      <c r="L1287" s="70" t="n"/>
      <c r="M1287" s="71" t="inlineStr">
        <is>
          <t>个</t>
        </is>
      </c>
      <c r="N1287" s="72" t="n"/>
      <c r="O1287" s="72">
        <f>ROUND(N1287*(1+$F$10),2)</f>
        <v/>
      </c>
      <c r="P1287" s="73">
        <f>ROUND(K1287*N1287,2)</f>
        <v/>
      </c>
      <c r="Q1287" s="74">
        <f>ROUND(L1287*N1287,2)</f>
        <v/>
      </c>
      <c r="R1287" s="75" t="n"/>
      <c r="S1287" s="76" t="n"/>
      <c r="T1287" s="77">
        <f>K1287-L1287</f>
        <v/>
      </c>
      <c r="U1287" s="77">
        <f>P1287-Q1287</f>
        <v/>
      </c>
      <c r="V1287" s="77">
        <f>ABS(U1287)</f>
        <v/>
      </c>
      <c r="W1287" s="78">
        <f>T1287/L1287</f>
        <v/>
      </c>
      <c r="X1287" s="79">
        <f>ABS(W1287)</f>
        <v/>
      </c>
    </row>
    <row r="1288" ht="11.4" customHeight="1">
      <c r="A1288" s="67" t="inlineStr">
        <is>
          <t>8068</t>
        </is>
      </c>
      <c r="B1288" s="67" t="inlineStr">
        <is>
          <t>1066</t>
        </is>
      </c>
      <c r="C1288" s="67" t="inlineStr">
        <is>
          <t>1612</t>
        </is>
      </c>
      <c r="D1288" s="68" t="inlineStr">
        <is>
          <t>21</t>
        </is>
      </c>
      <c r="E1288" s="68" t="inlineStr">
        <is>
          <t>Kiosk-LHI</t>
        </is>
      </c>
      <c r="F1288" s="68" t="inlineStr">
        <is>
          <t>独立甜品站装修</t>
        </is>
      </c>
      <c r="G1288" s="68" t="inlineStr">
        <is>
          <t>独立甜品站装修</t>
        </is>
      </c>
      <c r="H1288" s="68" t="inlineStr">
        <is>
          <t>独立甜品站-电气</t>
        </is>
      </c>
      <c r="I1288" s="69" t="inlineStr">
        <is>
          <t>1000022193</t>
        </is>
      </c>
      <c r="J1288" s="69" t="inlineStr">
        <is>
          <t>安装圆形嵌入式 LED 筒灯  L5</t>
        </is>
      </c>
      <c r="K1288" s="70" t="n"/>
      <c r="L1288" s="70" t="n"/>
      <c r="M1288" s="71" t="inlineStr">
        <is>
          <t>个</t>
        </is>
      </c>
      <c r="N1288" s="72" t="n"/>
      <c r="O1288" s="72">
        <f>ROUND(N1288*(1+$F$10),2)</f>
        <v/>
      </c>
      <c r="P1288" s="73">
        <f>ROUND(K1288*N1288,2)</f>
        <v/>
      </c>
      <c r="Q1288" s="74">
        <f>ROUND(L1288*N1288,2)</f>
        <v/>
      </c>
      <c r="R1288" s="75" t="n"/>
      <c r="S1288" s="76" t="n"/>
      <c r="T1288" s="77">
        <f>K1288-L1288</f>
        <v/>
      </c>
      <c r="U1288" s="77">
        <f>P1288-Q1288</f>
        <v/>
      </c>
      <c r="V1288" s="77">
        <f>ABS(U1288)</f>
        <v/>
      </c>
      <c r="W1288" s="78">
        <f>T1288/L1288</f>
        <v/>
      </c>
      <c r="X1288" s="79">
        <f>ABS(W1288)</f>
        <v/>
      </c>
    </row>
    <row r="1289" ht="11.4" customHeight="1">
      <c r="A1289" s="67" t="inlineStr">
        <is>
          <t>8068</t>
        </is>
      </c>
      <c r="B1289" s="67" t="inlineStr">
        <is>
          <t>1066</t>
        </is>
      </c>
      <c r="C1289" s="67" t="inlineStr">
        <is>
          <t>1612</t>
        </is>
      </c>
      <c r="D1289" s="68" t="inlineStr">
        <is>
          <t>21</t>
        </is>
      </c>
      <c r="E1289" s="68" t="inlineStr">
        <is>
          <t>Kiosk-LHI</t>
        </is>
      </c>
      <c r="F1289" s="68" t="inlineStr">
        <is>
          <t>独立甜品站装修</t>
        </is>
      </c>
      <c r="G1289" s="68" t="inlineStr">
        <is>
          <t>独立甜品站装修</t>
        </is>
      </c>
      <c r="H1289" s="68" t="inlineStr">
        <is>
          <t>独立甜品站-电气</t>
        </is>
      </c>
      <c r="I1289" s="69" t="inlineStr">
        <is>
          <t>1000022194</t>
        </is>
      </c>
      <c r="J1289" s="69" t="inlineStr">
        <is>
          <t>安装方形嵌入式 LED 筒灯  L5</t>
        </is>
      </c>
      <c r="K1289" s="70" t="n"/>
      <c r="L1289" s="70" t="n"/>
      <c r="M1289" s="71" t="inlineStr">
        <is>
          <t>个</t>
        </is>
      </c>
      <c r="N1289" s="72" t="n"/>
      <c r="O1289" s="72">
        <f>ROUND(N1289*(1+$F$10),2)</f>
        <v/>
      </c>
      <c r="P1289" s="73">
        <f>ROUND(K1289*N1289,2)</f>
        <v/>
      </c>
      <c r="Q1289" s="74">
        <f>ROUND(L1289*N1289,2)</f>
        <v/>
      </c>
      <c r="R1289" s="75" t="n"/>
      <c r="S1289" s="76" t="n"/>
      <c r="T1289" s="77">
        <f>K1289-L1289</f>
        <v/>
      </c>
      <c r="U1289" s="77">
        <f>P1289-Q1289</f>
        <v/>
      </c>
      <c r="V1289" s="77">
        <f>ABS(U1289)</f>
        <v/>
      </c>
      <c r="W1289" s="78">
        <f>T1289/L1289</f>
        <v/>
      </c>
      <c r="X1289" s="79">
        <f>ABS(W1289)</f>
        <v/>
      </c>
    </row>
    <row r="1290" ht="11.4" customHeight="1">
      <c r="A1290" s="67" t="inlineStr">
        <is>
          <t>8068</t>
        </is>
      </c>
      <c r="B1290" s="67" t="inlineStr">
        <is>
          <t>1066</t>
        </is>
      </c>
      <c r="C1290" s="67" t="inlineStr">
        <is>
          <t>1612</t>
        </is>
      </c>
      <c r="D1290" s="68" t="inlineStr">
        <is>
          <t>21</t>
        </is>
      </c>
      <c r="E1290" s="68" t="inlineStr">
        <is>
          <t>Kiosk-LHI</t>
        </is>
      </c>
      <c r="F1290" s="68" t="inlineStr">
        <is>
          <t>独立甜品站装修</t>
        </is>
      </c>
      <c r="G1290" s="68" t="inlineStr">
        <is>
          <t>独立甜品站装修</t>
        </is>
      </c>
      <c r="H1290" s="68" t="inlineStr">
        <is>
          <t>独立甜品站-电气</t>
        </is>
      </c>
      <c r="I1290" s="69" t="inlineStr">
        <is>
          <t>1000022192</t>
        </is>
      </c>
      <c r="J1290" s="69" t="inlineStr">
        <is>
          <t>安装圆形嵌入式 LED 防尘防水筒灯  L6</t>
        </is>
      </c>
      <c r="K1290" s="70" t="n"/>
      <c r="L1290" s="70" t="n"/>
      <c r="M1290" s="71" t="inlineStr">
        <is>
          <t>个</t>
        </is>
      </c>
      <c r="N1290" s="72" t="n"/>
      <c r="O1290" s="72">
        <f>ROUND(N1290*(1+$F$10),2)</f>
        <v/>
      </c>
      <c r="P1290" s="73">
        <f>ROUND(K1290*N1290,2)</f>
        <v/>
      </c>
      <c r="Q1290" s="74">
        <f>ROUND(L1290*N1290,2)</f>
        <v/>
      </c>
      <c r="R1290" s="75" t="n"/>
      <c r="S1290" s="76" t="n"/>
      <c r="T1290" s="77">
        <f>K1290-L1290</f>
        <v/>
      </c>
      <c r="U1290" s="77">
        <f>P1290-Q1290</f>
        <v/>
      </c>
      <c r="V1290" s="77">
        <f>ABS(U1290)</f>
        <v/>
      </c>
      <c r="W1290" s="78">
        <f>T1290/L1290</f>
        <v/>
      </c>
      <c r="X1290" s="79">
        <f>ABS(W1290)</f>
        <v/>
      </c>
    </row>
    <row r="1291" ht="11.4" customHeight="1">
      <c r="A1291" s="67" t="inlineStr">
        <is>
          <t>8068</t>
        </is>
      </c>
      <c r="B1291" s="67" t="inlineStr">
        <is>
          <t>1066</t>
        </is>
      </c>
      <c r="C1291" s="67" t="inlineStr">
        <is>
          <t>1612</t>
        </is>
      </c>
      <c r="D1291" s="68" t="inlineStr">
        <is>
          <t>21</t>
        </is>
      </c>
      <c r="E1291" s="68" t="inlineStr">
        <is>
          <t>Kiosk-LHI</t>
        </is>
      </c>
      <c r="F1291" s="68" t="inlineStr">
        <is>
          <t>独立甜品站装修</t>
        </is>
      </c>
      <c r="G1291" s="68" t="inlineStr">
        <is>
          <t>独立甜品站装修</t>
        </is>
      </c>
      <c r="H1291" s="68" t="inlineStr">
        <is>
          <t>独立甜品站-电气</t>
        </is>
      </c>
      <c r="I1291" s="69" t="inlineStr">
        <is>
          <t>1000022195</t>
        </is>
      </c>
      <c r="J1291" s="69" t="inlineStr">
        <is>
          <t>安装600*600mm嵌入式LED灯盘  L7（0-Base）</t>
        </is>
      </c>
      <c r="K1291" s="70" t="n"/>
      <c r="L1291" s="70" t="n"/>
      <c r="M1291" s="71" t="inlineStr">
        <is>
          <t>个</t>
        </is>
      </c>
      <c r="N1291" s="72" t="n"/>
      <c r="O1291" s="72">
        <f>ROUND(N1291*(1+$F$10),2)</f>
        <v/>
      </c>
      <c r="P1291" s="73">
        <f>ROUND(K1291*N1291,2)</f>
        <v/>
      </c>
      <c r="Q1291" s="74">
        <f>ROUND(L1291*N1291,2)</f>
        <v/>
      </c>
      <c r="R1291" s="75" t="n"/>
      <c r="S1291" s="76" t="n"/>
      <c r="T1291" s="77">
        <f>K1291-L1291</f>
        <v/>
      </c>
      <c r="U1291" s="77">
        <f>P1291-Q1291</f>
        <v/>
      </c>
      <c r="V1291" s="77">
        <f>ABS(U1291)</f>
        <v/>
      </c>
      <c r="W1291" s="78">
        <f>T1291/L1291</f>
        <v/>
      </c>
      <c r="X1291" s="79">
        <f>ABS(W1291)</f>
        <v/>
      </c>
    </row>
    <row r="1292" ht="11.4" customHeight="1">
      <c r="A1292" s="67" t="inlineStr">
        <is>
          <t>8068</t>
        </is>
      </c>
      <c r="B1292" s="67" t="inlineStr">
        <is>
          <t>1066</t>
        </is>
      </c>
      <c r="C1292" s="67" t="inlineStr">
        <is>
          <t>1612</t>
        </is>
      </c>
      <c r="D1292" s="68" t="inlineStr">
        <is>
          <t>21</t>
        </is>
      </c>
      <c r="E1292" s="68" t="inlineStr">
        <is>
          <t>Kiosk-LHI</t>
        </is>
      </c>
      <c r="F1292" s="68" t="inlineStr">
        <is>
          <t>独立甜品站装修</t>
        </is>
      </c>
      <c r="G1292" s="68" t="inlineStr">
        <is>
          <t>独立甜品站装修</t>
        </is>
      </c>
      <c r="H1292" s="68" t="inlineStr">
        <is>
          <t>独立甜品站-电气</t>
        </is>
      </c>
      <c r="I1292" s="69" t="inlineStr">
        <is>
          <t>1000022196</t>
        </is>
      </c>
      <c r="J1292" s="69" t="inlineStr">
        <is>
          <t>安装600*600mm嵌入式LED灯盘  L7（Minimal等）</t>
        </is>
      </c>
      <c r="K1292" s="70" t="n"/>
      <c r="L1292" s="70" t="n"/>
      <c r="M1292" s="71" t="inlineStr">
        <is>
          <t>个</t>
        </is>
      </c>
      <c r="N1292" s="72" t="n"/>
      <c r="O1292" s="72">
        <f>ROUND(N1292*(1+$F$10),2)</f>
        <v/>
      </c>
      <c r="P1292" s="73">
        <f>ROUND(K1292*N1292,2)</f>
        <v/>
      </c>
      <c r="Q1292" s="74">
        <f>ROUND(L1292*N1292,2)</f>
        <v/>
      </c>
      <c r="R1292" s="75" t="n"/>
      <c r="S1292" s="76" t="n"/>
      <c r="T1292" s="77">
        <f>K1292-L1292</f>
        <v/>
      </c>
      <c r="U1292" s="77">
        <f>P1292-Q1292</f>
        <v/>
      </c>
      <c r="V1292" s="77">
        <f>ABS(U1292)</f>
        <v/>
      </c>
      <c r="W1292" s="78">
        <f>T1292/L1292</f>
        <v/>
      </c>
      <c r="X1292" s="79">
        <f>ABS(W1292)</f>
        <v/>
      </c>
    </row>
    <row r="1293" ht="11.4" customHeight="1">
      <c r="A1293" s="67" t="inlineStr">
        <is>
          <t>8068</t>
        </is>
      </c>
      <c r="B1293" s="67" t="inlineStr">
        <is>
          <t>1066</t>
        </is>
      </c>
      <c r="C1293" s="67" t="inlineStr">
        <is>
          <t>1612</t>
        </is>
      </c>
      <c r="D1293" s="68" t="inlineStr">
        <is>
          <t>21</t>
        </is>
      </c>
      <c r="E1293" s="68" t="inlineStr">
        <is>
          <t>Kiosk-LHI</t>
        </is>
      </c>
      <c r="F1293" s="68" t="inlineStr">
        <is>
          <t>独立甜品站装修</t>
        </is>
      </c>
      <c r="G1293" s="68" t="inlineStr">
        <is>
          <t>独立甜品站装修</t>
        </is>
      </c>
      <c r="H1293" s="68" t="inlineStr">
        <is>
          <t>独立甜品站-电气</t>
        </is>
      </c>
      <c r="I1293" s="69" t="inlineStr">
        <is>
          <t>1000022198</t>
        </is>
      </c>
      <c r="J1293" s="69" t="inlineStr">
        <is>
          <t>安装圆形嵌入式LED防水型射灯 L9</t>
        </is>
      </c>
      <c r="K1293" s="70" t="n"/>
      <c r="L1293" s="70" t="n"/>
      <c r="M1293" s="71" t="inlineStr">
        <is>
          <t>个</t>
        </is>
      </c>
      <c r="N1293" s="72" t="n"/>
      <c r="O1293" s="72">
        <f>ROUND(N1293*(1+$F$10),2)</f>
        <v/>
      </c>
      <c r="P1293" s="73">
        <f>ROUND(K1293*N1293,2)</f>
        <v/>
      </c>
      <c r="Q1293" s="74">
        <f>ROUND(L1293*N1293,2)</f>
        <v/>
      </c>
      <c r="R1293" s="75" t="n"/>
      <c r="S1293" s="76" t="n"/>
      <c r="T1293" s="77">
        <f>K1293-L1293</f>
        <v/>
      </c>
      <c r="U1293" s="77">
        <f>P1293-Q1293</f>
        <v/>
      </c>
      <c r="V1293" s="77">
        <f>ABS(U1293)</f>
        <v/>
      </c>
      <c r="W1293" s="78">
        <f>T1293/L1293</f>
        <v/>
      </c>
      <c r="X1293" s="79">
        <f>ABS(W1293)</f>
        <v/>
      </c>
    </row>
    <row r="1294" ht="11.4" customHeight="1">
      <c r="A1294" s="67" t="inlineStr">
        <is>
          <t>8068</t>
        </is>
      </c>
      <c r="B1294" s="67" t="inlineStr">
        <is>
          <t>1066</t>
        </is>
      </c>
      <c r="C1294" s="67" t="inlineStr">
        <is>
          <t>1612</t>
        </is>
      </c>
      <c r="D1294" s="68" t="inlineStr">
        <is>
          <t>21</t>
        </is>
      </c>
      <c r="E1294" s="68" t="inlineStr">
        <is>
          <t>Kiosk-LHI</t>
        </is>
      </c>
      <c r="F1294" s="68" t="inlineStr">
        <is>
          <t>独立甜品站装修</t>
        </is>
      </c>
      <c r="G1294" s="68" t="inlineStr">
        <is>
          <t>独立甜品站装修</t>
        </is>
      </c>
      <c r="H1294" s="68" t="inlineStr">
        <is>
          <t>独立甜品站-电气</t>
        </is>
      </c>
      <c r="I1294" s="69" t="inlineStr">
        <is>
          <t>1000022184</t>
        </is>
      </c>
      <c r="J1294" s="69" t="inlineStr">
        <is>
          <t>安装 应急灯</t>
        </is>
      </c>
      <c r="K1294" s="70" t="n"/>
      <c r="L1294" s="70" t="n"/>
      <c r="M1294" s="71" t="inlineStr">
        <is>
          <t>个</t>
        </is>
      </c>
      <c r="N1294" s="72" t="n"/>
      <c r="O1294" s="72">
        <f>ROUND(N1294*(1+$F$10),2)</f>
        <v/>
      </c>
      <c r="P1294" s="73">
        <f>ROUND(K1294*N1294,2)</f>
        <v/>
      </c>
      <c r="Q1294" s="74">
        <f>ROUND(L1294*N1294,2)</f>
        <v/>
      </c>
      <c r="R1294" s="75" t="n"/>
      <c r="S1294" s="76" t="n"/>
      <c r="T1294" s="77">
        <f>K1294-L1294</f>
        <v/>
      </c>
      <c r="U1294" s="77">
        <f>P1294-Q1294</f>
        <v/>
      </c>
      <c r="V1294" s="77">
        <f>ABS(U1294)</f>
        <v/>
      </c>
      <c r="W1294" s="78">
        <f>T1294/L1294</f>
        <v/>
      </c>
      <c r="X1294" s="79">
        <f>ABS(W1294)</f>
        <v/>
      </c>
    </row>
    <row r="1295" ht="11.4" customHeight="1">
      <c r="A1295" s="67" t="inlineStr">
        <is>
          <t>8068</t>
        </is>
      </c>
      <c r="B1295" s="67" t="inlineStr">
        <is>
          <t>1066</t>
        </is>
      </c>
      <c r="C1295" s="67" t="inlineStr">
        <is>
          <t>1612</t>
        </is>
      </c>
      <c r="D1295" s="68" t="inlineStr">
        <is>
          <t>21</t>
        </is>
      </c>
      <c r="E1295" s="68" t="inlineStr">
        <is>
          <t>Kiosk-LHI</t>
        </is>
      </c>
      <c r="F1295" s="68" t="inlineStr">
        <is>
          <t>独立甜品站装修</t>
        </is>
      </c>
      <c r="G1295" s="68" t="inlineStr">
        <is>
          <t>独立甜品站装修</t>
        </is>
      </c>
      <c r="H1295" s="68" t="inlineStr">
        <is>
          <t>独立甜品站-电气</t>
        </is>
      </c>
      <c r="I1295" s="69" t="inlineStr">
        <is>
          <t>1000022183</t>
        </is>
      </c>
      <c r="J1295" s="69" t="inlineStr">
        <is>
          <t>安装 安全出口灯</t>
        </is>
      </c>
      <c r="K1295" s="70" t="n"/>
      <c r="L1295" s="70" t="n"/>
      <c r="M1295" s="71" t="inlineStr">
        <is>
          <t>个</t>
        </is>
      </c>
      <c r="N1295" s="72" t="n"/>
      <c r="O1295" s="72">
        <f>ROUND(N1295*(1+$F$10),2)</f>
        <v/>
      </c>
      <c r="P1295" s="73">
        <f>ROUND(K1295*N1295,2)</f>
        <v/>
      </c>
      <c r="Q1295" s="74">
        <f>ROUND(L1295*N1295,2)</f>
        <v/>
      </c>
      <c r="R1295" s="75" t="n"/>
      <c r="S1295" s="76" t="n"/>
      <c r="T1295" s="77">
        <f>K1295-L1295</f>
        <v/>
      </c>
      <c r="U1295" s="77">
        <f>P1295-Q1295</f>
        <v/>
      </c>
      <c r="V1295" s="77">
        <f>ABS(U1295)</f>
        <v/>
      </c>
      <c r="W1295" s="78">
        <f>T1295/L1295</f>
        <v/>
      </c>
      <c r="X1295" s="79">
        <f>ABS(W1295)</f>
        <v/>
      </c>
    </row>
    <row r="1296" ht="11.4" customHeight="1">
      <c r="A1296" s="67" t="inlineStr">
        <is>
          <t>8068</t>
        </is>
      </c>
      <c r="B1296" s="67" t="inlineStr">
        <is>
          <t>1066</t>
        </is>
      </c>
      <c r="C1296" s="67" t="inlineStr">
        <is>
          <t>1612</t>
        </is>
      </c>
      <c r="D1296" s="68" t="inlineStr">
        <is>
          <t>21</t>
        </is>
      </c>
      <c r="E1296" s="68" t="inlineStr">
        <is>
          <t>Kiosk-LHI</t>
        </is>
      </c>
      <c r="F1296" s="68" t="inlineStr">
        <is>
          <t>独立甜品站装修</t>
        </is>
      </c>
      <c r="G1296" s="68" t="inlineStr">
        <is>
          <t>独立甜品站装修</t>
        </is>
      </c>
      <c r="H1296" s="68" t="inlineStr">
        <is>
          <t>独立甜品站-电气</t>
        </is>
      </c>
      <c r="I1296" s="69" t="inlineStr">
        <is>
          <t>1000022199</t>
        </is>
      </c>
      <c r="J1296" s="69" t="inlineStr">
        <is>
          <t>安装 灭蝇灯 (不含灭蝇灯主材)</t>
        </is>
      </c>
      <c r="K1296" s="70" t="n"/>
      <c r="L1296" s="70" t="n"/>
      <c r="M1296" s="71" t="inlineStr">
        <is>
          <t>个</t>
        </is>
      </c>
      <c r="N1296" s="72" t="n">
        <v>136.25</v>
      </c>
      <c r="O1296" s="72">
        <f>ROUND(N1296*(1+$F$10),2)</f>
        <v/>
      </c>
      <c r="P1296" s="73">
        <f>ROUND(K1296*N1296,2)</f>
        <v/>
      </c>
      <c r="Q1296" s="74">
        <f>ROUND(L1296*N1296,2)</f>
        <v/>
      </c>
      <c r="R1296" s="75" t="n"/>
      <c r="S1296" s="76" t="n"/>
      <c r="T1296" s="77">
        <f>K1296-L1296</f>
        <v/>
      </c>
      <c r="U1296" s="77">
        <f>P1296-Q1296</f>
        <v/>
      </c>
      <c r="V1296" s="77">
        <f>ABS(U1296)</f>
        <v/>
      </c>
      <c r="W1296" s="78">
        <f>T1296/L1296</f>
        <v/>
      </c>
      <c r="X1296" s="79">
        <f>ABS(W1296)</f>
        <v/>
      </c>
    </row>
    <row r="1297" ht="11.4" customHeight="1">
      <c r="A1297" s="67" t="inlineStr">
        <is>
          <t>8068</t>
        </is>
      </c>
      <c r="B1297" s="67" t="inlineStr">
        <is>
          <t>1066</t>
        </is>
      </c>
      <c r="C1297" s="67" t="inlineStr">
        <is>
          <t>1612</t>
        </is>
      </c>
      <c r="D1297" s="68" t="inlineStr">
        <is>
          <t>21</t>
        </is>
      </c>
      <c r="E1297" s="68" t="inlineStr">
        <is>
          <t>Kiosk-LHI</t>
        </is>
      </c>
      <c r="F1297" s="68" t="inlineStr">
        <is>
          <t>独立甜品站装修</t>
        </is>
      </c>
      <c r="G1297" s="68" t="inlineStr">
        <is>
          <t>独立甜品站装修</t>
        </is>
      </c>
      <c r="H1297" s="68" t="inlineStr">
        <is>
          <t>独立甜品站-电气</t>
        </is>
      </c>
      <c r="I1297" s="69" t="inlineStr">
        <is>
          <t>1000021867</t>
        </is>
      </c>
      <c r="J1297" s="69" t="inlineStr">
        <is>
          <t>接线盒---- 烘手器 (不含烘手器主材)</t>
        </is>
      </c>
      <c r="K1297" s="70" t="n"/>
      <c r="L1297" s="70" t="n"/>
      <c r="M1297" s="71" t="inlineStr">
        <is>
          <t>个</t>
        </is>
      </c>
      <c r="N1297" s="72" t="n">
        <v>453.75</v>
      </c>
      <c r="O1297" s="72">
        <f>ROUND(N1297*(1+$F$10),2)</f>
        <v/>
      </c>
      <c r="P1297" s="73">
        <f>ROUND(K1297*N1297,2)</f>
        <v/>
      </c>
      <c r="Q1297" s="74">
        <f>ROUND(L1297*N1297,2)</f>
        <v/>
      </c>
      <c r="R1297" s="75" t="n"/>
      <c r="S1297" s="76" t="n"/>
      <c r="T1297" s="77">
        <f>K1297-L1297</f>
        <v/>
      </c>
      <c r="U1297" s="77">
        <f>P1297-Q1297</f>
        <v/>
      </c>
      <c r="V1297" s="77">
        <f>ABS(U1297)</f>
        <v/>
      </c>
      <c r="W1297" s="78">
        <f>T1297/L1297</f>
        <v/>
      </c>
      <c r="X1297" s="79">
        <f>ABS(W1297)</f>
        <v/>
      </c>
    </row>
    <row r="1298" ht="11.4" customHeight="1">
      <c r="A1298" s="67" t="inlineStr">
        <is>
          <t>8068</t>
        </is>
      </c>
      <c r="B1298" s="67" t="inlineStr">
        <is>
          <t>1066</t>
        </is>
      </c>
      <c r="C1298" s="67" t="inlineStr">
        <is>
          <t>1612</t>
        </is>
      </c>
      <c r="D1298" s="68" t="inlineStr">
        <is>
          <t>21</t>
        </is>
      </c>
      <c r="E1298" s="68" t="inlineStr">
        <is>
          <t>Kiosk-LHI</t>
        </is>
      </c>
      <c r="F1298" s="68" t="inlineStr">
        <is>
          <t>独立甜品站装修</t>
        </is>
      </c>
      <c r="G1298" s="68" t="inlineStr">
        <is>
          <t>独立甜品站装修</t>
        </is>
      </c>
      <c r="H1298" s="68" t="inlineStr">
        <is>
          <t>独立甜品站-电气</t>
        </is>
      </c>
      <c r="I1298" s="69" t="inlineStr">
        <is>
          <t>1000021868</t>
        </is>
      </c>
      <c r="J1298" s="69" t="inlineStr">
        <is>
          <t>接线盒---- 热水器</t>
        </is>
      </c>
      <c r="K1298" s="70" t="n"/>
      <c r="L1298" s="70" t="n"/>
      <c r="M1298" s="71" t="inlineStr">
        <is>
          <t>个</t>
        </is>
      </c>
      <c r="N1298" s="72" t="n">
        <v>1088.45</v>
      </c>
      <c r="O1298" s="72">
        <f>ROUND(N1298*(1+$F$10),2)</f>
        <v/>
      </c>
      <c r="P1298" s="73">
        <f>ROUND(K1298*N1298,2)</f>
        <v/>
      </c>
      <c r="Q1298" s="74">
        <f>ROUND(L1298*N1298,2)</f>
        <v/>
      </c>
      <c r="R1298" s="75" t="n"/>
      <c r="S1298" s="76" t="n"/>
      <c r="T1298" s="77">
        <f>K1298-L1298</f>
        <v/>
      </c>
      <c r="U1298" s="77">
        <f>P1298-Q1298</f>
        <v/>
      </c>
      <c r="V1298" s="77">
        <f>ABS(U1298)</f>
        <v/>
      </c>
      <c r="W1298" s="78">
        <f>T1298/L1298</f>
        <v/>
      </c>
      <c r="X1298" s="79">
        <f>ABS(W1298)</f>
        <v/>
      </c>
    </row>
    <row r="1299" ht="11.4" customHeight="1">
      <c r="A1299" s="67" t="inlineStr">
        <is>
          <t>8068</t>
        </is>
      </c>
      <c r="B1299" s="67" t="inlineStr">
        <is>
          <t>1066</t>
        </is>
      </c>
      <c r="C1299" s="67" t="inlineStr">
        <is>
          <t>1612</t>
        </is>
      </c>
      <c r="D1299" s="68" t="inlineStr">
        <is>
          <t>21</t>
        </is>
      </c>
      <c r="E1299" s="68" t="inlineStr">
        <is>
          <t>Kiosk-LHI</t>
        </is>
      </c>
      <c r="F1299" s="68" t="inlineStr">
        <is>
          <t>独立甜品站装修</t>
        </is>
      </c>
      <c r="G1299" s="68" t="inlineStr">
        <is>
          <t>独立甜品站装修</t>
        </is>
      </c>
      <c r="H1299" s="68" t="inlineStr">
        <is>
          <t>独立甜品站-电气</t>
        </is>
      </c>
      <c r="I1299" s="69" t="inlineStr">
        <is>
          <t>1000021905</t>
        </is>
      </c>
      <c r="J1299" s="69" t="inlineStr">
        <is>
          <t>小型排风扇电源</t>
        </is>
      </c>
      <c r="K1299" s="70" t="n"/>
      <c r="L1299" s="70" t="n"/>
      <c r="M1299" s="71" t="inlineStr">
        <is>
          <t>个</t>
        </is>
      </c>
      <c r="N1299" s="72" t="n">
        <v>698.6</v>
      </c>
      <c r="O1299" s="72">
        <f>ROUND(N1299*(1+$F$10),2)</f>
        <v/>
      </c>
      <c r="P1299" s="73">
        <f>ROUND(K1299*N1299,2)</f>
        <v/>
      </c>
      <c r="Q1299" s="74">
        <f>ROUND(L1299*N1299,2)</f>
        <v/>
      </c>
      <c r="R1299" s="75" t="n"/>
      <c r="S1299" s="76" t="n"/>
      <c r="T1299" s="77">
        <f>K1299-L1299</f>
        <v/>
      </c>
      <c r="U1299" s="77">
        <f>P1299-Q1299</f>
        <v/>
      </c>
      <c r="V1299" s="77">
        <f>ABS(U1299)</f>
        <v/>
      </c>
      <c r="W1299" s="78">
        <f>T1299/L1299</f>
        <v/>
      </c>
      <c r="X1299" s="79">
        <f>ABS(W1299)</f>
        <v/>
      </c>
    </row>
    <row r="1300" ht="11.4" customHeight="1">
      <c r="A1300" s="67" t="inlineStr">
        <is>
          <t>8068</t>
        </is>
      </c>
      <c r="B1300" s="67" t="inlineStr">
        <is>
          <t>1066</t>
        </is>
      </c>
      <c r="C1300" s="67" t="inlineStr">
        <is>
          <t>1612</t>
        </is>
      </c>
      <c r="D1300" s="68" t="inlineStr">
        <is>
          <t>21</t>
        </is>
      </c>
      <c r="E1300" s="68" t="inlineStr">
        <is>
          <t>Kiosk-LHI</t>
        </is>
      </c>
      <c r="F1300" s="68" t="inlineStr">
        <is>
          <t>独立甜品站装修</t>
        </is>
      </c>
      <c r="G1300" s="68" t="inlineStr">
        <is>
          <t>独立甜品站装修</t>
        </is>
      </c>
      <c r="H1300" s="68" t="inlineStr">
        <is>
          <t>独立甜品站-电气</t>
        </is>
      </c>
      <c r="I1300" s="69" t="inlineStr">
        <is>
          <t>1000021907</t>
        </is>
      </c>
      <c r="J1300" s="69" t="inlineStr">
        <is>
          <t>风幕机电源</t>
        </is>
      </c>
      <c r="K1300" s="70" t="n"/>
      <c r="L1300" s="70" t="n"/>
      <c r="M1300" s="71" t="inlineStr">
        <is>
          <t>个</t>
        </is>
      </c>
      <c r="N1300" s="72" t="n">
        <v>563.75</v>
      </c>
      <c r="O1300" s="72">
        <f>ROUND(N1300*(1+$F$10),2)</f>
        <v/>
      </c>
      <c r="P1300" s="73">
        <f>ROUND(K1300*N1300,2)</f>
        <v/>
      </c>
      <c r="Q1300" s="74">
        <f>ROUND(L1300*N1300,2)</f>
        <v/>
      </c>
      <c r="R1300" s="75" t="n"/>
      <c r="S1300" s="76" t="n"/>
      <c r="T1300" s="77">
        <f>K1300-L1300</f>
        <v/>
      </c>
      <c r="U1300" s="77">
        <f>P1300-Q1300</f>
        <v/>
      </c>
      <c r="V1300" s="77">
        <f>ABS(U1300)</f>
        <v/>
      </c>
      <c r="W1300" s="78">
        <f>T1300/L1300</f>
        <v/>
      </c>
      <c r="X1300" s="79">
        <f>ABS(W1300)</f>
        <v/>
      </c>
    </row>
    <row r="1301" ht="11.4" customHeight="1">
      <c r="A1301" s="67" t="inlineStr">
        <is>
          <t>8068</t>
        </is>
      </c>
      <c r="B1301" s="67" t="inlineStr">
        <is>
          <t>1066</t>
        </is>
      </c>
      <c r="C1301" s="67" t="inlineStr">
        <is>
          <t>1612</t>
        </is>
      </c>
      <c r="D1301" s="68" t="inlineStr">
        <is>
          <t>21</t>
        </is>
      </c>
      <c r="E1301" s="68" t="inlineStr">
        <is>
          <t>Kiosk-LHI</t>
        </is>
      </c>
      <c r="F1301" s="68" t="inlineStr">
        <is>
          <t>独立甜品站装修</t>
        </is>
      </c>
      <c r="G1301" s="68" t="inlineStr">
        <is>
          <t>独立甜品站装修</t>
        </is>
      </c>
      <c r="H1301" s="68" t="inlineStr">
        <is>
          <t>独立甜品站-电气</t>
        </is>
      </c>
      <c r="I1301" s="69" t="inlineStr">
        <is>
          <t>1000021920</t>
        </is>
      </c>
      <c r="J1301" s="69" t="inlineStr">
        <is>
          <t>卷帘门电源</t>
        </is>
      </c>
      <c r="K1301" s="70" t="n"/>
      <c r="L1301" s="70" t="n"/>
      <c r="M1301" s="71" t="inlineStr">
        <is>
          <t>个</t>
        </is>
      </c>
      <c r="N1301" s="72" t="n">
        <v>563.75</v>
      </c>
      <c r="O1301" s="72">
        <f>ROUND(N1301*(1+$F$10),2)</f>
        <v/>
      </c>
      <c r="P1301" s="73">
        <f>ROUND(K1301*N1301,2)</f>
        <v/>
      </c>
      <c r="Q1301" s="74">
        <f>ROUND(L1301*N1301,2)</f>
        <v/>
      </c>
      <c r="R1301" s="75" t="n"/>
      <c r="S1301" s="76" t="n"/>
      <c r="T1301" s="77">
        <f>K1301-L1301</f>
        <v/>
      </c>
      <c r="U1301" s="77">
        <f>P1301-Q1301</f>
        <v/>
      </c>
      <c r="V1301" s="77">
        <f>ABS(U1301)</f>
        <v/>
      </c>
      <c r="W1301" s="78">
        <f>T1301/L1301</f>
        <v/>
      </c>
      <c r="X1301" s="79">
        <f>ABS(W1301)</f>
        <v/>
      </c>
    </row>
    <row r="1302" ht="11.4" customHeight="1">
      <c r="A1302" s="67" t="inlineStr">
        <is>
          <t>8068</t>
        </is>
      </c>
      <c r="B1302" s="67" t="inlineStr">
        <is>
          <t>1066</t>
        </is>
      </c>
      <c r="C1302" s="67" t="inlineStr">
        <is>
          <t>1612</t>
        </is>
      </c>
      <c r="D1302" s="68" t="inlineStr">
        <is>
          <t>21</t>
        </is>
      </c>
      <c r="E1302" s="68" t="inlineStr">
        <is>
          <t>Kiosk-LHI</t>
        </is>
      </c>
      <c r="F1302" s="68" t="inlineStr">
        <is>
          <t>独立甜品站装修</t>
        </is>
      </c>
      <c r="G1302" s="68" t="inlineStr">
        <is>
          <t>独立甜品站装修</t>
        </is>
      </c>
      <c r="H1302" s="68" t="inlineStr">
        <is>
          <t>独立甜品站-电气</t>
        </is>
      </c>
      <c r="I1302" s="69" t="inlineStr">
        <is>
          <t>1000021894</t>
        </is>
      </c>
      <c r="J1302" s="69" t="inlineStr">
        <is>
          <t>2-5匹空调机电源线（配电柜-室外机）</t>
        </is>
      </c>
      <c r="K1302" s="70" t="n"/>
      <c r="L1302" s="70" t="n"/>
      <c r="M1302" s="71" t="inlineStr">
        <is>
          <t>米</t>
        </is>
      </c>
      <c r="N1302" s="72" t="n">
        <v>33.42</v>
      </c>
      <c r="O1302" s="72">
        <f>ROUND(N1302*(1+$F$10),2)</f>
        <v/>
      </c>
      <c r="P1302" s="73">
        <f>ROUND(K1302*N1302,2)</f>
        <v/>
      </c>
      <c r="Q1302" s="74">
        <f>ROUND(L1302*N1302,2)</f>
        <v/>
      </c>
      <c r="R1302" s="75" t="n"/>
      <c r="S1302" s="76" t="n"/>
      <c r="T1302" s="77">
        <f>K1302-L1302</f>
        <v/>
      </c>
      <c r="U1302" s="77">
        <f>P1302-Q1302</f>
        <v/>
      </c>
      <c r="V1302" s="77">
        <f>ABS(U1302)</f>
        <v/>
      </c>
      <c r="W1302" s="78">
        <f>T1302/L1302</f>
        <v/>
      </c>
      <c r="X1302" s="79">
        <f>ABS(W1302)</f>
        <v/>
      </c>
    </row>
    <row r="1303" ht="11.4" customHeight="1">
      <c r="A1303" s="67" t="inlineStr">
        <is>
          <t>8068</t>
        </is>
      </c>
      <c r="B1303" s="67" t="inlineStr">
        <is>
          <t>1066</t>
        </is>
      </c>
      <c r="C1303" s="67" t="inlineStr">
        <is>
          <t>1612</t>
        </is>
      </c>
      <c r="D1303" s="68" t="inlineStr">
        <is>
          <t>21</t>
        </is>
      </c>
      <c r="E1303" s="68" t="inlineStr">
        <is>
          <t>Kiosk-LHI</t>
        </is>
      </c>
      <c r="F1303" s="68" t="inlineStr">
        <is>
          <t>独立甜品站装修</t>
        </is>
      </c>
      <c r="G1303" s="68" t="inlineStr">
        <is>
          <t>独立甜品站装修</t>
        </is>
      </c>
      <c r="H1303" s="68" t="inlineStr">
        <is>
          <t>独立甜品站-电气</t>
        </is>
      </c>
      <c r="I1303" s="69" t="inlineStr">
        <is>
          <t>1000021897</t>
        </is>
      </c>
      <c r="J1303" s="69" t="inlineStr">
        <is>
          <t>2-5匹空调机电源线（配电柜-室内机主）</t>
        </is>
      </c>
      <c r="K1303" s="70" t="n"/>
      <c r="L1303" s="70" t="n"/>
      <c r="M1303" s="71" t="inlineStr">
        <is>
          <t>米</t>
        </is>
      </c>
      <c r="N1303" s="72" t="n">
        <v>32.72</v>
      </c>
      <c r="O1303" s="72">
        <f>ROUND(N1303*(1+$F$10),2)</f>
        <v/>
      </c>
      <c r="P1303" s="73">
        <f>ROUND(K1303*N1303,2)</f>
        <v/>
      </c>
      <c r="Q1303" s="74">
        <f>ROUND(L1303*N1303,2)</f>
        <v/>
      </c>
      <c r="R1303" s="75" t="n"/>
      <c r="S1303" s="76" t="n"/>
      <c r="T1303" s="77">
        <f>K1303-L1303</f>
        <v/>
      </c>
      <c r="U1303" s="77">
        <f>P1303-Q1303</f>
        <v/>
      </c>
      <c r="V1303" s="77">
        <f>ABS(U1303)</f>
        <v/>
      </c>
      <c r="W1303" s="78">
        <f>T1303/L1303</f>
        <v/>
      </c>
      <c r="X1303" s="79">
        <f>ABS(W1303)</f>
        <v/>
      </c>
    </row>
    <row r="1304" ht="11.4" customHeight="1">
      <c r="A1304" s="67" t="inlineStr">
        <is>
          <t>8068</t>
        </is>
      </c>
      <c r="B1304" s="67" t="inlineStr">
        <is>
          <t>1066</t>
        </is>
      </c>
      <c r="C1304" s="67" t="inlineStr">
        <is>
          <t>1612</t>
        </is>
      </c>
      <c r="D1304" s="68" t="inlineStr">
        <is>
          <t>21</t>
        </is>
      </c>
      <c r="E1304" s="68" t="inlineStr">
        <is>
          <t>Kiosk-LHI</t>
        </is>
      </c>
      <c r="F1304" s="68" t="inlineStr">
        <is>
          <t>独立甜品站装修</t>
        </is>
      </c>
      <c r="G1304" s="68" t="inlineStr">
        <is>
          <t>独立甜品站装修</t>
        </is>
      </c>
      <c r="H1304" s="68" t="inlineStr">
        <is>
          <t>独立甜品站-电气</t>
        </is>
      </c>
      <c r="I1304" s="69" t="inlineStr">
        <is>
          <t>1000021901</t>
        </is>
      </c>
      <c r="J1304" s="69" t="inlineStr">
        <is>
          <t>2-5匹空调机控制线（室内外机连线）</t>
        </is>
      </c>
      <c r="K1304" s="70" t="n"/>
      <c r="L1304" s="70" t="n"/>
      <c r="M1304" s="71" t="inlineStr">
        <is>
          <t>米</t>
        </is>
      </c>
      <c r="N1304" s="72" t="n">
        <v>28.14</v>
      </c>
      <c r="O1304" s="72">
        <f>ROUND(N1304*(1+$F$10),2)</f>
        <v/>
      </c>
      <c r="P1304" s="73">
        <f>ROUND(K1304*N1304,2)</f>
        <v/>
      </c>
      <c r="Q1304" s="74">
        <f>ROUND(L1304*N1304,2)</f>
        <v/>
      </c>
      <c r="R1304" s="75" t="n"/>
      <c r="S1304" s="76" t="n"/>
      <c r="T1304" s="77">
        <f>K1304-L1304</f>
        <v/>
      </c>
      <c r="U1304" s="77">
        <f>P1304-Q1304</f>
        <v/>
      </c>
      <c r="V1304" s="77">
        <f>ABS(U1304)</f>
        <v/>
      </c>
      <c r="W1304" s="78">
        <f>T1304/L1304</f>
        <v/>
      </c>
      <c r="X1304" s="79">
        <f>ABS(W1304)</f>
        <v/>
      </c>
    </row>
    <row r="1305" ht="11.4" customHeight="1">
      <c r="A1305" s="67" t="inlineStr">
        <is>
          <t>8068</t>
        </is>
      </c>
      <c r="B1305" s="67" t="inlineStr">
        <is>
          <t>1066</t>
        </is>
      </c>
      <c r="C1305" s="67" t="inlineStr">
        <is>
          <t>1612</t>
        </is>
      </c>
      <c r="D1305" s="68" t="inlineStr">
        <is>
          <t>21</t>
        </is>
      </c>
      <c r="E1305" s="68" t="inlineStr">
        <is>
          <t>Kiosk-LHI</t>
        </is>
      </c>
      <c r="F1305" s="68" t="inlineStr">
        <is>
          <t>独立甜品站装修</t>
        </is>
      </c>
      <c r="G1305" s="68" t="inlineStr">
        <is>
          <t>独立甜品站装修</t>
        </is>
      </c>
      <c r="H1305" s="68" t="inlineStr">
        <is>
          <t>独立甜品站-电气</t>
        </is>
      </c>
      <c r="I1305" s="69" t="inlineStr">
        <is>
          <t>1000021902</t>
        </is>
      </c>
      <c r="J1305" s="69" t="inlineStr">
        <is>
          <t>空调机控制线（室内机-控制面板）</t>
        </is>
      </c>
      <c r="K1305" s="70" t="n"/>
      <c r="L1305" s="70" t="n"/>
      <c r="M1305" s="71" t="inlineStr">
        <is>
          <t>米</t>
        </is>
      </c>
      <c r="N1305" s="72" t="n">
        <v>28.15</v>
      </c>
      <c r="O1305" s="72">
        <f>ROUND(N1305*(1+$F$10),2)</f>
        <v/>
      </c>
      <c r="P1305" s="73">
        <f>ROUND(K1305*N1305,2)</f>
        <v/>
      </c>
      <c r="Q1305" s="74">
        <f>ROUND(L1305*N1305,2)</f>
        <v/>
      </c>
      <c r="R1305" s="75" t="n"/>
      <c r="S1305" s="76" t="n"/>
      <c r="T1305" s="77">
        <f>K1305-L1305</f>
        <v/>
      </c>
      <c r="U1305" s="77">
        <f>P1305-Q1305</f>
        <v/>
      </c>
      <c r="V1305" s="77">
        <f>ABS(U1305)</f>
        <v/>
      </c>
      <c r="W1305" s="78">
        <f>T1305/L1305</f>
        <v/>
      </c>
      <c r="X1305" s="79">
        <f>ABS(W1305)</f>
        <v/>
      </c>
    </row>
    <row r="1306" ht="11.4" customHeight="1">
      <c r="A1306" s="67" t="inlineStr">
        <is>
          <t>8068</t>
        </is>
      </c>
      <c r="B1306" s="67" t="inlineStr">
        <is>
          <t>1066</t>
        </is>
      </c>
      <c r="C1306" s="67" t="inlineStr">
        <is>
          <t>1612</t>
        </is>
      </c>
      <c r="D1306" s="68" t="inlineStr">
        <is>
          <t>21</t>
        </is>
      </c>
      <c r="E1306" s="68" t="inlineStr">
        <is>
          <t>Kiosk-LHI</t>
        </is>
      </c>
      <c r="F1306" s="68" t="inlineStr">
        <is>
          <t>独立甜品站装修</t>
        </is>
      </c>
      <c r="G1306" s="68" t="inlineStr">
        <is>
          <t>独立甜品站装修</t>
        </is>
      </c>
      <c r="H1306" s="68" t="inlineStr">
        <is>
          <t>独立甜品站-电气</t>
        </is>
      </c>
      <c r="I1306" s="69" t="inlineStr">
        <is>
          <t>1000021913</t>
        </is>
      </c>
      <c r="J1306" s="69" t="inlineStr">
        <is>
          <t>2-5匹冷冻水系统风机盘管电源</t>
        </is>
      </c>
      <c r="K1306" s="70" t="n"/>
      <c r="L1306" s="70" t="n"/>
      <c r="M1306" s="71" t="inlineStr">
        <is>
          <t>米</t>
        </is>
      </c>
      <c r="N1306" s="72" t="n">
        <v>37.65</v>
      </c>
      <c r="O1306" s="72">
        <f>ROUND(N1306*(1+$F$10),2)</f>
        <v/>
      </c>
      <c r="P1306" s="73">
        <f>ROUND(K1306*N1306,2)</f>
        <v/>
      </c>
      <c r="Q1306" s="74">
        <f>ROUND(L1306*N1306,2)</f>
        <v/>
      </c>
      <c r="R1306" s="75" t="n"/>
      <c r="S1306" s="76" t="n"/>
      <c r="T1306" s="77">
        <f>K1306-L1306</f>
        <v/>
      </c>
      <c r="U1306" s="77">
        <f>P1306-Q1306</f>
        <v/>
      </c>
      <c r="V1306" s="77">
        <f>ABS(U1306)</f>
        <v/>
      </c>
      <c r="W1306" s="78">
        <f>T1306/L1306</f>
        <v/>
      </c>
      <c r="X1306" s="79">
        <f>ABS(W1306)</f>
        <v/>
      </c>
    </row>
    <row r="1307" ht="11.4" customHeight="1">
      <c r="A1307" s="67" t="inlineStr">
        <is>
          <t>8068</t>
        </is>
      </c>
      <c r="B1307" s="67" t="inlineStr">
        <is>
          <t>1066</t>
        </is>
      </c>
      <c r="C1307" s="67" t="inlineStr">
        <is>
          <t>1612</t>
        </is>
      </c>
      <c r="D1307" s="68" t="inlineStr">
        <is>
          <t>21</t>
        </is>
      </c>
      <c r="E1307" s="68" t="inlineStr">
        <is>
          <t>Kiosk-LHI</t>
        </is>
      </c>
      <c r="F1307" s="68" t="inlineStr">
        <is>
          <t>独立甜品站装修</t>
        </is>
      </c>
      <c r="G1307" s="68" t="inlineStr">
        <is>
          <t>独立甜品站装修</t>
        </is>
      </c>
      <c r="H1307" s="68" t="inlineStr">
        <is>
          <t>独立甜品站-电气</t>
        </is>
      </c>
      <c r="I1307" s="69" t="inlineStr">
        <is>
          <t>1000022119</t>
        </is>
      </c>
      <c r="J1307" s="69" t="inlineStr">
        <is>
          <t>排污泵及附属设施 （含设备）</t>
        </is>
      </c>
      <c r="K1307" s="70" t="n"/>
      <c r="L1307" s="70" t="n"/>
      <c r="M1307" s="71" t="inlineStr">
        <is>
          <t>项</t>
        </is>
      </c>
      <c r="N1307" s="72" t="n">
        <v>2615.56</v>
      </c>
      <c r="O1307" s="72">
        <f>ROUND(N1307*(1+$F$10),2)</f>
        <v/>
      </c>
      <c r="P1307" s="73">
        <f>ROUND(K1307*N1307,2)</f>
        <v/>
      </c>
      <c r="Q1307" s="74">
        <f>ROUND(L1307*N1307,2)</f>
        <v/>
      </c>
      <c r="R1307" s="75" t="n"/>
      <c r="S1307" s="76" t="n"/>
      <c r="T1307" s="77">
        <f>K1307-L1307</f>
        <v/>
      </c>
      <c r="U1307" s="77">
        <f>P1307-Q1307</f>
        <v/>
      </c>
      <c r="V1307" s="77">
        <f>ABS(U1307)</f>
        <v/>
      </c>
      <c r="W1307" s="78">
        <f>T1307/L1307</f>
        <v/>
      </c>
      <c r="X1307" s="79">
        <f>ABS(W1307)</f>
        <v/>
      </c>
    </row>
    <row r="1308" ht="11.4" customHeight="1">
      <c r="A1308" s="67" t="inlineStr">
        <is>
          <t>8070</t>
        </is>
      </c>
      <c r="B1308" s="67" t="inlineStr">
        <is>
          <t>1068</t>
        </is>
      </c>
      <c r="C1308" s="67" t="inlineStr">
        <is>
          <t>1646</t>
        </is>
      </c>
      <c r="D1308" s="68" t="inlineStr">
        <is>
          <t>21</t>
        </is>
      </c>
      <c r="E1308" s="68" t="inlineStr">
        <is>
          <t>Kiosk-LHI</t>
        </is>
      </c>
      <c r="F1308" s="68" t="inlineStr">
        <is>
          <t>独立甜品站装修</t>
        </is>
      </c>
      <c r="G1308" s="68" t="inlineStr">
        <is>
          <t>独立甜品站装修</t>
        </is>
      </c>
      <c r="H1308" s="68" t="inlineStr">
        <is>
          <t>独立甜品站-灯具主材</t>
        </is>
      </c>
      <c r="I1308" s="69" t="inlineStr">
        <is>
          <t>1000021526</t>
        </is>
      </c>
      <c r="J1308" s="69" t="inlineStr">
        <is>
          <t>PHILIPS方形LED灯筒灯灯具  L1</t>
        </is>
      </c>
      <c r="K1308" s="70" t="n"/>
      <c r="L1308" s="70" t="n"/>
      <c r="M1308" s="71" t="inlineStr">
        <is>
          <t>个</t>
        </is>
      </c>
      <c r="N1308" s="72" t="n">
        <v>131.25</v>
      </c>
      <c r="O1308" s="72">
        <f>ROUND(N1308*(1+$F$10),2)</f>
        <v/>
      </c>
      <c r="P1308" s="73">
        <f>ROUND(K1308*N1308,2)</f>
        <v/>
      </c>
      <c r="Q1308" s="74">
        <f>ROUND(L1308*N1308,2)</f>
        <v/>
      </c>
      <c r="R1308" s="75" t="n"/>
      <c r="S1308" s="76" t="n"/>
      <c r="T1308" s="77">
        <f>K1308-L1308</f>
        <v/>
      </c>
      <c r="U1308" s="77">
        <f>P1308-Q1308</f>
        <v/>
      </c>
      <c r="V1308" s="77">
        <f>ABS(U1308)</f>
        <v/>
      </c>
      <c r="W1308" s="78">
        <f>T1308/L1308</f>
        <v/>
      </c>
      <c r="X1308" s="79">
        <f>ABS(W1308)</f>
        <v/>
      </c>
    </row>
    <row r="1309" ht="11.4" customHeight="1">
      <c r="A1309" s="67" t="inlineStr">
        <is>
          <t>8070</t>
        </is>
      </c>
      <c r="B1309" s="67" t="inlineStr">
        <is>
          <t>1068</t>
        </is>
      </c>
      <c r="C1309" s="67" t="inlineStr">
        <is>
          <t>1646</t>
        </is>
      </c>
      <c r="D1309" s="68" t="inlineStr">
        <is>
          <t>21</t>
        </is>
      </c>
      <c r="E1309" s="68" t="inlineStr">
        <is>
          <t>Kiosk-LHI</t>
        </is>
      </c>
      <c r="F1309" s="68" t="inlineStr">
        <is>
          <t>独立甜品站装修</t>
        </is>
      </c>
      <c r="G1309" s="68" t="inlineStr">
        <is>
          <t>独立甜品站装修</t>
        </is>
      </c>
      <c r="H1309" s="68" t="inlineStr">
        <is>
          <t>独立甜品站-灯具主材</t>
        </is>
      </c>
      <c r="I1309" s="69" t="inlineStr">
        <is>
          <t>1000021527</t>
        </is>
      </c>
      <c r="J1309" s="69" t="inlineStr">
        <is>
          <t>PHILIPS双头方形LED灯筒灯灯具  L2</t>
        </is>
      </c>
      <c r="K1309" s="70" t="n"/>
      <c r="L1309" s="70" t="n"/>
      <c r="M1309" s="71" t="inlineStr">
        <is>
          <t>个</t>
        </is>
      </c>
      <c r="N1309" s="72" t="n">
        <v>222.6</v>
      </c>
      <c r="O1309" s="72">
        <f>ROUND(N1309*(1+$F$10),2)</f>
        <v/>
      </c>
      <c r="P1309" s="73">
        <f>ROUND(K1309*N1309,2)</f>
        <v/>
      </c>
      <c r="Q1309" s="74">
        <f>ROUND(L1309*N1309,2)</f>
        <v/>
      </c>
      <c r="R1309" s="75" t="n"/>
      <c r="S1309" s="76" t="n"/>
      <c r="T1309" s="77">
        <f>K1309-L1309</f>
        <v/>
      </c>
      <c r="U1309" s="77">
        <f>P1309-Q1309</f>
        <v/>
      </c>
      <c r="V1309" s="77">
        <f>ABS(U1309)</f>
        <v/>
      </c>
      <c r="W1309" s="78">
        <f>T1309/L1309</f>
        <v/>
      </c>
      <c r="X1309" s="79">
        <f>ABS(W1309)</f>
        <v/>
      </c>
    </row>
    <row r="1310" ht="11.4" customHeight="1">
      <c r="A1310" s="67" t="inlineStr">
        <is>
          <t>8070</t>
        </is>
      </c>
      <c r="B1310" s="67" t="inlineStr">
        <is>
          <t>1068</t>
        </is>
      </c>
      <c r="C1310" s="67" t="inlineStr">
        <is>
          <t>1646</t>
        </is>
      </c>
      <c r="D1310" s="68" t="inlineStr">
        <is>
          <t>21</t>
        </is>
      </c>
      <c r="E1310" s="68" t="inlineStr">
        <is>
          <t>Kiosk-LHI</t>
        </is>
      </c>
      <c r="F1310" s="68" t="inlineStr">
        <is>
          <t>独立甜品站装修</t>
        </is>
      </c>
      <c r="G1310" s="68" t="inlineStr">
        <is>
          <t>独立甜品站装修</t>
        </is>
      </c>
      <c r="H1310" s="68" t="inlineStr">
        <is>
          <t>独立甜品站-灯具主材</t>
        </is>
      </c>
      <c r="I1310" s="69" t="inlineStr">
        <is>
          <t>1000021528</t>
        </is>
      </c>
      <c r="J1310" s="69" t="inlineStr">
        <is>
          <t>PHILIPS方形嵌入式LED射灯28W  L3</t>
        </is>
      </c>
      <c r="K1310" s="70" t="n"/>
      <c r="L1310" s="70" t="n"/>
      <c r="M1310" s="71" t="inlineStr">
        <is>
          <t>个</t>
        </is>
      </c>
      <c r="N1310" s="72" t="n">
        <v>176.4</v>
      </c>
      <c r="O1310" s="72">
        <f>ROUND(N1310*(1+$F$10),2)</f>
        <v/>
      </c>
      <c r="P1310" s="73">
        <f>ROUND(K1310*N1310,2)</f>
        <v/>
      </c>
      <c r="Q1310" s="74">
        <f>ROUND(L1310*N1310,2)</f>
        <v/>
      </c>
      <c r="R1310" s="75" t="n"/>
      <c r="S1310" s="76" t="n"/>
      <c r="T1310" s="77">
        <f>K1310-L1310</f>
        <v/>
      </c>
      <c r="U1310" s="77">
        <f>P1310-Q1310</f>
        <v/>
      </c>
      <c r="V1310" s="77">
        <f>ABS(U1310)</f>
        <v/>
      </c>
      <c r="W1310" s="78">
        <f>T1310/L1310</f>
        <v/>
      </c>
      <c r="X1310" s="79">
        <f>ABS(W1310)</f>
        <v/>
      </c>
    </row>
    <row r="1311" ht="11.4" customHeight="1">
      <c r="A1311" s="67" t="inlineStr">
        <is>
          <t>8070</t>
        </is>
      </c>
      <c r="B1311" s="67" t="inlineStr">
        <is>
          <t>1068</t>
        </is>
      </c>
      <c r="C1311" s="67" t="inlineStr">
        <is>
          <t>1646</t>
        </is>
      </c>
      <c r="D1311" s="68" t="inlineStr">
        <is>
          <t>21</t>
        </is>
      </c>
      <c r="E1311" s="68" t="inlineStr">
        <is>
          <t>Kiosk-LHI</t>
        </is>
      </c>
      <c r="F1311" s="68" t="inlineStr">
        <is>
          <t>独立甜品站装修</t>
        </is>
      </c>
      <c r="G1311" s="68" t="inlineStr">
        <is>
          <t>独立甜品站装修</t>
        </is>
      </c>
      <c r="H1311" s="68" t="inlineStr">
        <is>
          <t>独立甜品站-灯具主材</t>
        </is>
      </c>
      <c r="I1311" s="69" t="inlineStr">
        <is>
          <t>1000021529</t>
        </is>
      </c>
      <c r="J1311" s="69" t="inlineStr">
        <is>
          <t>PHILIPS深照型圆形LED灯筒灯灯具  L4</t>
        </is>
      </c>
      <c r="K1311" s="70" t="n"/>
      <c r="L1311" s="70" t="n"/>
      <c r="M1311" s="71" t="inlineStr">
        <is>
          <t>个</t>
        </is>
      </c>
      <c r="N1311" s="72" t="n">
        <v>134.4</v>
      </c>
      <c r="O1311" s="72">
        <f>ROUND(N1311*(1+$F$10),2)</f>
        <v/>
      </c>
      <c r="P1311" s="73">
        <f>ROUND(K1311*N1311,2)</f>
        <v/>
      </c>
      <c r="Q1311" s="74">
        <f>ROUND(L1311*N1311,2)</f>
        <v/>
      </c>
      <c r="R1311" s="75" t="n"/>
      <c r="S1311" s="76" t="n"/>
      <c r="T1311" s="77">
        <f>K1311-L1311</f>
        <v/>
      </c>
      <c r="U1311" s="77">
        <f>P1311-Q1311</f>
        <v/>
      </c>
      <c r="V1311" s="77">
        <f>ABS(U1311)</f>
        <v/>
      </c>
      <c r="W1311" s="78">
        <f>T1311/L1311</f>
        <v/>
      </c>
      <c r="X1311" s="79">
        <f>ABS(W1311)</f>
        <v/>
      </c>
    </row>
    <row r="1312" ht="11.4" customHeight="1">
      <c r="A1312" s="67" t="inlineStr">
        <is>
          <t>8070</t>
        </is>
      </c>
      <c r="B1312" s="67" t="inlineStr">
        <is>
          <t>1068</t>
        </is>
      </c>
      <c r="C1312" s="67" t="inlineStr">
        <is>
          <t>1646</t>
        </is>
      </c>
      <c r="D1312" s="68" t="inlineStr">
        <is>
          <t>21</t>
        </is>
      </c>
      <c r="E1312" s="68" t="inlineStr">
        <is>
          <t>Kiosk-LHI</t>
        </is>
      </c>
      <c r="F1312" s="68" t="inlineStr">
        <is>
          <t>独立甜品站装修</t>
        </is>
      </c>
      <c r="G1312" s="68" t="inlineStr">
        <is>
          <t>独立甜品站装修</t>
        </is>
      </c>
      <c r="H1312" s="68" t="inlineStr">
        <is>
          <t>独立甜品站-灯具主材</t>
        </is>
      </c>
      <c r="I1312" s="69" t="inlineStr">
        <is>
          <t>1000021531</t>
        </is>
      </c>
      <c r="J1312" s="69" t="inlineStr">
        <is>
          <t>PHILIPS圆形嵌入式 LED 筒灯  L5</t>
        </is>
      </c>
      <c r="K1312" s="70" t="n"/>
      <c r="L1312" s="70" t="n"/>
      <c r="M1312" s="71" t="inlineStr">
        <is>
          <t>个</t>
        </is>
      </c>
      <c r="N1312" s="72" t="n">
        <v>152.56</v>
      </c>
      <c r="O1312" s="72">
        <f>ROUND(N1312*(1+$F$10),2)</f>
        <v/>
      </c>
      <c r="P1312" s="73">
        <f>ROUND(K1312*N1312,2)</f>
        <v/>
      </c>
      <c r="Q1312" s="74">
        <f>ROUND(L1312*N1312,2)</f>
        <v/>
      </c>
      <c r="R1312" s="75" t="n"/>
      <c r="S1312" s="76" t="n"/>
      <c r="T1312" s="77">
        <f>K1312-L1312</f>
        <v/>
      </c>
      <c r="U1312" s="77">
        <f>P1312-Q1312</f>
        <v/>
      </c>
      <c r="V1312" s="77">
        <f>ABS(U1312)</f>
        <v/>
      </c>
      <c r="W1312" s="78">
        <f>T1312/L1312</f>
        <v/>
      </c>
      <c r="X1312" s="79">
        <f>ABS(W1312)</f>
        <v/>
      </c>
    </row>
    <row r="1313" ht="11.4" customHeight="1">
      <c r="A1313" s="67" t="inlineStr">
        <is>
          <t>8070</t>
        </is>
      </c>
      <c r="B1313" s="67" t="inlineStr">
        <is>
          <t>1068</t>
        </is>
      </c>
      <c r="C1313" s="67" t="inlineStr">
        <is>
          <t>1646</t>
        </is>
      </c>
      <c r="D1313" s="68" t="inlineStr">
        <is>
          <t>21</t>
        </is>
      </c>
      <c r="E1313" s="68" t="inlineStr">
        <is>
          <t>Kiosk-LHI</t>
        </is>
      </c>
      <c r="F1313" s="68" t="inlineStr">
        <is>
          <t>独立甜品站装修</t>
        </is>
      </c>
      <c r="G1313" s="68" t="inlineStr">
        <is>
          <t>独立甜品站装修</t>
        </is>
      </c>
      <c r="H1313" s="68" t="inlineStr">
        <is>
          <t>独立甜品站-灯具主材</t>
        </is>
      </c>
      <c r="I1313" s="69" t="inlineStr">
        <is>
          <t>1000021532</t>
        </is>
      </c>
      <c r="J1313" s="69" t="inlineStr">
        <is>
          <t>PHILIPS方形嵌入式 LED 筒灯  L5</t>
        </is>
      </c>
      <c r="K1313" s="70" t="n"/>
      <c r="L1313" s="70" t="n"/>
      <c r="M1313" s="71" t="inlineStr">
        <is>
          <t>个</t>
        </is>
      </c>
      <c r="N1313" s="72" t="n">
        <v>222.6</v>
      </c>
      <c r="O1313" s="72">
        <f>ROUND(N1313*(1+$F$10),2)</f>
        <v/>
      </c>
      <c r="P1313" s="73">
        <f>ROUND(K1313*N1313,2)</f>
        <v/>
      </c>
      <c r="Q1313" s="74">
        <f>ROUND(L1313*N1313,2)</f>
        <v/>
      </c>
      <c r="R1313" s="75" t="n"/>
      <c r="S1313" s="76" t="n"/>
      <c r="T1313" s="77">
        <f>K1313-L1313</f>
        <v/>
      </c>
      <c r="U1313" s="77">
        <f>P1313-Q1313</f>
        <v/>
      </c>
      <c r="V1313" s="77">
        <f>ABS(U1313)</f>
        <v/>
      </c>
      <c r="W1313" s="78">
        <f>T1313/L1313</f>
        <v/>
      </c>
      <c r="X1313" s="79">
        <f>ABS(W1313)</f>
        <v/>
      </c>
    </row>
    <row r="1314" ht="11.4" customHeight="1">
      <c r="A1314" s="67" t="inlineStr">
        <is>
          <t>8070</t>
        </is>
      </c>
      <c r="B1314" s="67" t="inlineStr">
        <is>
          <t>1068</t>
        </is>
      </c>
      <c r="C1314" s="67" t="inlineStr">
        <is>
          <t>1646</t>
        </is>
      </c>
      <c r="D1314" s="68" t="inlineStr">
        <is>
          <t>21</t>
        </is>
      </c>
      <c r="E1314" s="68" t="inlineStr">
        <is>
          <t>Kiosk-LHI</t>
        </is>
      </c>
      <c r="F1314" s="68" t="inlineStr">
        <is>
          <t>独立甜品站装修</t>
        </is>
      </c>
      <c r="G1314" s="68" t="inlineStr">
        <is>
          <t>独立甜品站装修</t>
        </is>
      </c>
      <c r="H1314" s="68" t="inlineStr">
        <is>
          <t>独立甜品站-灯具主材</t>
        </is>
      </c>
      <c r="I1314" s="69" t="inlineStr">
        <is>
          <t>1000021530</t>
        </is>
      </c>
      <c r="J1314" s="69" t="inlineStr">
        <is>
          <t>PHILIPS圆形嵌入式 LED 防尘防水筒灯  L6</t>
        </is>
      </c>
      <c r="K1314" s="70" t="n"/>
      <c r="L1314" s="70" t="n"/>
      <c r="M1314" s="71" t="inlineStr">
        <is>
          <t>个</t>
        </is>
      </c>
      <c r="N1314" s="72" t="n">
        <v>86.09999999999999</v>
      </c>
      <c r="O1314" s="72">
        <f>ROUND(N1314*(1+$F$10),2)</f>
        <v/>
      </c>
      <c r="P1314" s="73">
        <f>ROUND(K1314*N1314,2)</f>
        <v/>
      </c>
      <c r="Q1314" s="74">
        <f>ROUND(L1314*N1314,2)</f>
        <v/>
      </c>
      <c r="R1314" s="75" t="n"/>
      <c r="S1314" s="76" t="n"/>
      <c r="T1314" s="77">
        <f>K1314-L1314</f>
        <v/>
      </c>
      <c r="U1314" s="77">
        <f>P1314-Q1314</f>
        <v/>
      </c>
      <c r="V1314" s="77">
        <f>ABS(U1314)</f>
        <v/>
      </c>
      <c r="W1314" s="78">
        <f>T1314/L1314</f>
        <v/>
      </c>
      <c r="X1314" s="79">
        <f>ABS(W1314)</f>
        <v/>
      </c>
    </row>
    <row r="1315" ht="11.4" customHeight="1">
      <c r="A1315" s="67" t="inlineStr">
        <is>
          <t>8070</t>
        </is>
      </c>
      <c r="B1315" s="67" t="inlineStr">
        <is>
          <t>1069</t>
        </is>
      </c>
      <c r="C1315" s="67" t="inlineStr">
        <is>
          <t>1646</t>
        </is>
      </c>
      <c r="D1315" s="68" t="inlineStr">
        <is>
          <t>21</t>
        </is>
      </c>
      <c r="E1315" s="68" t="inlineStr">
        <is>
          <t>Kiosk-LHI</t>
        </is>
      </c>
      <c r="F1315" s="68" t="inlineStr">
        <is>
          <t>独立甜品站装修</t>
        </is>
      </c>
      <c r="G1315" s="68" t="inlineStr">
        <is>
          <t>独立甜品站装修</t>
        </is>
      </c>
      <c r="H1315" s="68" t="inlineStr">
        <is>
          <t>独立甜品站-灯具主材</t>
        </is>
      </c>
      <c r="I1315" s="69" t="inlineStr">
        <is>
          <t>1000021533</t>
        </is>
      </c>
      <c r="J1315" s="69" t="inlineStr">
        <is>
          <t>PHILIPS600*600mm嵌入式LED灯盘  L7（0-Base）</t>
        </is>
      </c>
      <c r="K1315" s="70" t="n"/>
      <c r="L1315" s="70" t="n"/>
      <c r="M1315" s="71" t="inlineStr">
        <is>
          <t>个</t>
        </is>
      </c>
      <c r="N1315" s="72" t="n">
        <v>190.05</v>
      </c>
      <c r="O1315" s="72">
        <f>ROUND(N1315*(1+$F$10),2)</f>
        <v/>
      </c>
      <c r="P1315" s="73">
        <f>ROUND(K1315*N1315,2)</f>
        <v/>
      </c>
      <c r="Q1315" s="74">
        <f>ROUND(L1315*N1315,2)</f>
        <v/>
      </c>
      <c r="R1315" s="75" t="n"/>
      <c r="S1315" s="76" t="n"/>
      <c r="T1315" s="77">
        <f>K1315-L1315</f>
        <v/>
      </c>
      <c r="U1315" s="77">
        <f>P1315-Q1315</f>
        <v/>
      </c>
      <c r="V1315" s="77">
        <f>ABS(U1315)</f>
        <v/>
      </c>
      <c r="W1315" s="78">
        <f>T1315/L1315</f>
        <v/>
      </c>
      <c r="X1315" s="79">
        <f>ABS(W1315)</f>
        <v/>
      </c>
    </row>
    <row r="1316" ht="11.4" customHeight="1">
      <c r="A1316" s="67" t="inlineStr">
        <is>
          <t>8070</t>
        </is>
      </c>
      <c r="B1316" s="67" t="inlineStr">
        <is>
          <t>1069</t>
        </is>
      </c>
      <c r="C1316" s="67" t="inlineStr">
        <is>
          <t>1646</t>
        </is>
      </c>
      <c r="D1316" s="68" t="inlineStr">
        <is>
          <t>21</t>
        </is>
      </c>
      <c r="E1316" s="68" t="inlineStr">
        <is>
          <t>Kiosk-LHI</t>
        </is>
      </c>
      <c r="F1316" s="68" t="inlineStr">
        <is>
          <t>独立甜品站装修</t>
        </is>
      </c>
      <c r="G1316" s="68" t="inlineStr">
        <is>
          <t>独立甜品站装修</t>
        </is>
      </c>
      <c r="H1316" s="68" t="inlineStr">
        <is>
          <t>独立甜品站-灯具主材</t>
        </is>
      </c>
      <c r="I1316" s="69" t="inlineStr">
        <is>
          <t>1000021534</t>
        </is>
      </c>
      <c r="J1316" s="69" t="inlineStr">
        <is>
          <t>PHILIPS600*600mm嵌入式LED灯盘  L7（Minimal等）</t>
        </is>
      </c>
      <c r="K1316" s="70" t="n"/>
      <c r="L1316" s="70" t="n"/>
      <c r="M1316" s="71" t="inlineStr">
        <is>
          <t>个</t>
        </is>
      </c>
      <c r="N1316" s="72" t="n">
        <v>190.05</v>
      </c>
      <c r="O1316" s="72">
        <f>ROUND(N1316*(1+$F$10),2)</f>
        <v/>
      </c>
      <c r="P1316" s="73">
        <f>ROUND(K1316*N1316,2)</f>
        <v/>
      </c>
      <c r="Q1316" s="74">
        <f>ROUND(L1316*N1316,2)</f>
        <v/>
      </c>
      <c r="R1316" s="75" t="n"/>
      <c r="S1316" s="76" t="n"/>
      <c r="T1316" s="77">
        <f>K1316-L1316</f>
        <v/>
      </c>
      <c r="U1316" s="77">
        <f>P1316-Q1316</f>
        <v/>
      </c>
      <c r="V1316" s="77">
        <f>ABS(U1316)</f>
        <v/>
      </c>
      <c r="W1316" s="78">
        <f>T1316/L1316</f>
        <v/>
      </c>
      <c r="X1316" s="79">
        <f>ABS(W1316)</f>
        <v/>
      </c>
    </row>
    <row r="1317" ht="11.4" customHeight="1">
      <c r="A1317" s="67" t="inlineStr">
        <is>
          <t>8070</t>
        </is>
      </c>
      <c r="B1317" s="67" t="inlineStr">
        <is>
          <t>1068</t>
        </is>
      </c>
      <c r="C1317" s="67" t="inlineStr">
        <is>
          <t>1646</t>
        </is>
      </c>
      <c r="D1317" s="68" t="inlineStr">
        <is>
          <t>21</t>
        </is>
      </c>
      <c r="E1317" s="68" t="inlineStr">
        <is>
          <t>Kiosk-LHI</t>
        </is>
      </c>
      <c r="F1317" s="68" t="inlineStr">
        <is>
          <t>独立甜品站装修</t>
        </is>
      </c>
      <c r="G1317" s="68" t="inlineStr">
        <is>
          <t>独立甜品站装修</t>
        </is>
      </c>
      <c r="H1317" s="68" t="inlineStr">
        <is>
          <t>独立甜品站-灯具主材</t>
        </is>
      </c>
      <c r="I1317" s="69" t="inlineStr">
        <is>
          <t>1000021574</t>
        </is>
      </c>
      <c r="J1317" s="69" t="inlineStr">
        <is>
          <t>PHILIPS圆形嵌入式射灯 L1-E</t>
        </is>
      </c>
      <c r="K1317" s="70" t="n"/>
      <c r="L1317" s="70" t="n"/>
      <c r="M1317" s="71" t="inlineStr">
        <is>
          <t>个</t>
        </is>
      </c>
      <c r="N1317" s="72" t="n">
        <v>102.9</v>
      </c>
      <c r="O1317" s="72">
        <f>ROUND(N1317*(1+$F$10),2)</f>
        <v/>
      </c>
      <c r="P1317" s="73">
        <f>ROUND(K1317*N1317,2)</f>
        <v/>
      </c>
      <c r="Q1317" s="74">
        <f>ROUND(L1317*N1317,2)</f>
        <v/>
      </c>
      <c r="R1317" s="75" t="n"/>
      <c r="S1317" s="76" t="n"/>
      <c r="T1317" s="77">
        <f>K1317-L1317</f>
        <v/>
      </c>
      <c r="U1317" s="77">
        <f>P1317-Q1317</f>
        <v/>
      </c>
      <c r="V1317" s="77">
        <f>ABS(U1317)</f>
        <v/>
      </c>
      <c r="W1317" s="78">
        <f>T1317/L1317</f>
        <v/>
      </c>
      <c r="X1317" s="79">
        <f>ABS(W1317)</f>
        <v/>
      </c>
    </row>
    <row r="1318" ht="11.4" customHeight="1">
      <c r="A1318" s="67" t="inlineStr">
        <is>
          <t>8070</t>
        </is>
      </c>
      <c r="B1318" s="67" t="inlineStr">
        <is>
          <t>1068</t>
        </is>
      </c>
      <c r="C1318" s="67" t="inlineStr">
        <is>
          <t>1646</t>
        </is>
      </c>
      <c r="D1318" s="68" t="inlineStr">
        <is>
          <t>21</t>
        </is>
      </c>
      <c r="E1318" s="68" t="inlineStr">
        <is>
          <t>Kiosk-LHI</t>
        </is>
      </c>
      <c r="F1318" s="68" t="inlineStr">
        <is>
          <t>独立甜品站装修</t>
        </is>
      </c>
      <c r="G1318" s="68" t="inlineStr">
        <is>
          <t>独立甜品站装修</t>
        </is>
      </c>
      <c r="H1318" s="68" t="inlineStr">
        <is>
          <t>独立甜品站-灯具主材</t>
        </is>
      </c>
      <c r="I1318" s="69" t="inlineStr">
        <is>
          <t>1000021575</t>
        </is>
      </c>
      <c r="J1318" s="69" t="inlineStr">
        <is>
          <t>PHILIPS圆形嵌入式射灯 L2-E/L5-E</t>
        </is>
      </c>
      <c r="K1318" s="70" t="n"/>
      <c r="L1318" s="70" t="n"/>
      <c r="M1318" s="71" t="inlineStr">
        <is>
          <t>个</t>
        </is>
      </c>
      <c r="N1318" s="72" t="n">
        <v>176.4</v>
      </c>
      <c r="O1318" s="72">
        <f>ROUND(N1318*(1+$F$10),2)</f>
        <v/>
      </c>
      <c r="P1318" s="73">
        <f>ROUND(K1318*N1318,2)</f>
        <v/>
      </c>
      <c r="Q1318" s="74">
        <f>ROUND(L1318*N1318,2)</f>
        <v/>
      </c>
      <c r="R1318" s="75" t="n"/>
      <c r="S1318" s="76" t="n"/>
      <c r="T1318" s="77">
        <f>K1318-L1318</f>
        <v/>
      </c>
      <c r="U1318" s="77">
        <f>P1318-Q1318</f>
        <v/>
      </c>
      <c r="V1318" s="77">
        <f>ABS(U1318)</f>
        <v/>
      </c>
      <c r="W1318" s="78">
        <f>T1318/L1318</f>
        <v/>
      </c>
      <c r="X1318" s="79">
        <f>ABS(W1318)</f>
        <v/>
      </c>
    </row>
    <row r="1319" ht="11.4" customHeight="1">
      <c r="A1319" s="67" t="inlineStr">
        <is>
          <t>8070</t>
        </is>
      </c>
      <c r="B1319" s="67" t="inlineStr">
        <is>
          <t>1068</t>
        </is>
      </c>
      <c r="C1319" s="67" t="inlineStr">
        <is>
          <t>1646</t>
        </is>
      </c>
      <c r="D1319" s="68" t="inlineStr">
        <is>
          <t>21</t>
        </is>
      </c>
      <c r="E1319" s="68" t="inlineStr">
        <is>
          <t>Kiosk-LHI</t>
        </is>
      </c>
      <c r="F1319" s="68" t="inlineStr">
        <is>
          <t>独立甜品站装修</t>
        </is>
      </c>
      <c r="G1319" s="68" t="inlineStr">
        <is>
          <t>独立甜品站装修</t>
        </is>
      </c>
      <c r="H1319" s="68" t="inlineStr">
        <is>
          <t>独立甜品站-灯具主材</t>
        </is>
      </c>
      <c r="I1319" s="69" t="inlineStr">
        <is>
          <t>1000021561</t>
        </is>
      </c>
      <c r="J1319" s="69" t="inlineStr">
        <is>
          <t>PHILIPS圆形嵌入式LED防水型射灯 L9</t>
        </is>
      </c>
      <c r="K1319" s="70" t="n"/>
      <c r="L1319" s="70" t="n"/>
      <c r="M1319" s="71" t="inlineStr">
        <is>
          <t>个</t>
        </is>
      </c>
      <c r="N1319" s="72" t="n">
        <v>261.15</v>
      </c>
      <c r="O1319" s="72">
        <f>ROUND(N1319*(1+$F$10),2)</f>
        <v/>
      </c>
      <c r="P1319" s="73">
        <f>ROUND(K1319*N1319,2)</f>
        <v/>
      </c>
      <c r="Q1319" s="74">
        <f>ROUND(L1319*N1319,2)</f>
        <v/>
      </c>
      <c r="R1319" s="75" t="n"/>
      <c r="S1319" s="76" t="n"/>
      <c r="T1319" s="77">
        <f>K1319-L1319</f>
        <v/>
      </c>
      <c r="U1319" s="77">
        <f>P1319-Q1319</f>
        <v/>
      </c>
      <c r="V1319" s="77">
        <f>ABS(U1319)</f>
        <v/>
      </c>
      <c r="W1319" s="78">
        <f>T1319/L1319</f>
        <v/>
      </c>
      <c r="X1319" s="79">
        <f>ABS(W1319)</f>
        <v/>
      </c>
    </row>
    <row r="1320" ht="11.4" customHeight="1">
      <c r="A1320" s="67" t="inlineStr">
        <is>
          <t>8070</t>
        </is>
      </c>
      <c r="B1320" s="67" t="inlineStr">
        <is>
          <t>1068</t>
        </is>
      </c>
      <c r="C1320" s="67" t="inlineStr">
        <is>
          <t>1646</t>
        </is>
      </c>
      <c r="D1320" s="68" t="inlineStr">
        <is>
          <t>21</t>
        </is>
      </c>
      <c r="E1320" s="68" t="inlineStr">
        <is>
          <t>Kiosk-LHI</t>
        </is>
      </c>
      <c r="F1320" s="68" t="inlineStr">
        <is>
          <t>独立甜品站装修</t>
        </is>
      </c>
      <c r="G1320" s="68" t="inlineStr">
        <is>
          <t>独立甜品站装修</t>
        </is>
      </c>
      <c r="H1320" s="68" t="inlineStr">
        <is>
          <t>独立甜品站-灯具主材</t>
        </is>
      </c>
      <c r="I1320" s="69" t="inlineStr">
        <is>
          <t>1000021525</t>
        </is>
      </c>
      <c r="J1320" s="69" t="inlineStr">
        <is>
          <t>PHILIPS LED 5W应急灯具90分钟E</t>
        </is>
      </c>
      <c r="K1320" s="70" t="n"/>
      <c r="L1320" s="70" t="n"/>
      <c r="M1320" s="71" t="inlineStr">
        <is>
          <t>个</t>
        </is>
      </c>
      <c r="N1320" s="72" t="n">
        <v>94.5</v>
      </c>
      <c r="O1320" s="72">
        <f>ROUND(N1320*(1+$F$10),2)</f>
        <v/>
      </c>
      <c r="P1320" s="73">
        <f>ROUND(K1320*N1320,2)</f>
        <v/>
      </c>
      <c r="Q1320" s="74">
        <f>ROUND(L1320*N1320,2)</f>
        <v/>
      </c>
      <c r="R1320" s="75" t="n"/>
      <c r="S1320" s="76" t="n"/>
      <c r="T1320" s="77">
        <f>K1320-L1320</f>
        <v/>
      </c>
      <c r="U1320" s="77">
        <f>P1320-Q1320</f>
        <v/>
      </c>
      <c r="V1320" s="77">
        <f>ABS(U1320)</f>
        <v/>
      </c>
      <c r="W1320" s="78">
        <f>T1320/L1320</f>
        <v/>
      </c>
      <c r="X1320" s="79">
        <f>ABS(W1320)</f>
        <v/>
      </c>
    </row>
    <row r="1321" ht="11.4" customHeight="1">
      <c r="A1321" s="67" t="inlineStr">
        <is>
          <t>8070</t>
        </is>
      </c>
      <c r="B1321" s="67" t="inlineStr">
        <is>
          <t>1068</t>
        </is>
      </c>
      <c r="C1321" s="67" t="inlineStr">
        <is>
          <t>1646</t>
        </is>
      </c>
      <c r="D1321" s="68" t="inlineStr">
        <is>
          <t>21</t>
        </is>
      </c>
      <c r="E1321" s="68" t="inlineStr">
        <is>
          <t>Kiosk-LHI</t>
        </is>
      </c>
      <c r="F1321" s="68" t="inlineStr">
        <is>
          <t>独立甜品站装修</t>
        </is>
      </c>
      <c r="G1321" s="68" t="inlineStr">
        <is>
          <t>独立甜品站装修</t>
        </is>
      </c>
      <c r="H1321" s="68" t="inlineStr">
        <is>
          <t>独立甜品站-灯具主材</t>
        </is>
      </c>
      <c r="I1321" s="69" t="inlineStr">
        <is>
          <t>1000021554</t>
        </is>
      </c>
      <c r="J1321" s="69" t="inlineStr">
        <is>
          <t>OSRAM方形LED灯筒灯灯具  L1</t>
        </is>
      </c>
      <c r="K1321" s="70" t="n"/>
      <c r="L1321" s="70" t="n"/>
      <c r="M1321" s="71" t="inlineStr">
        <is>
          <t>个</t>
        </is>
      </c>
      <c r="N1321" s="72" t="n">
        <v>111.3</v>
      </c>
      <c r="O1321" s="72">
        <f>ROUND(N1321*(1+$F$10),2)</f>
        <v/>
      </c>
      <c r="P1321" s="73">
        <f>ROUND(K1321*N1321,2)</f>
        <v/>
      </c>
      <c r="Q1321" s="74">
        <f>ROUND(L1321*N1321,2)</f>
        <v/>
      </c>
      <c r="R1321" s="75" t="n"/>
      <c r="S1321" s="76" t="n"/>
      <c r="T1321" s="77">
        <f>K1321-L1321</f>
        <v/>
      </c>
      <c r="U1321" s="77">
        <f>P1321-Q1321</f>
        <v/>
      </c>
      <c r="V1321" s="77">
        <f>ABS(U1321)</f>
        <v/>
      </c>
      <c r="W1321" s="78">
        <f>T1321/L1321</f>
        <v/>
      </c>
      <c r="X1321" s="79">
        <f>ABS(W1321)</f>
        <v/>
      </c>
    </row>
    <row r="1322" ht="11.4" customHeight="1">
      <c r="A1322" s="67" t="inlineStr">
        <is>
          <t>8070</t>
        </is>
      </c>
      <c r="B1322" s="67" t="inlineStr">
        <is>
          <t>1068</t>
        </is>
      </c>
      <c r="C1322" s="67" t="inlineStr">
        <is>
          <t>1646</t>
        </is>
      </c>
      <c r="D1322" s="68" t="inlineStr">
        <is>
          <t>21</t>
        </is>
      </c>
      <c r="E1322" s="68" t="inlineStr">
        <is>
          <t>Kiosk-LHI</t>
        </is>
      </c>
      <c r="F1322" s="68" t="inlineStr">
        <is>
          <t>独立甜品站装修</t>
        </is>
      </c>
      <c r="G1322" s="68" t="inlineStr">
        <is>
          <t>独立甜品站装修</t>
        </is>
      </c>
      <c r="H1322" s="68" t="inlineStr">
        <is>
          <t>独立甜品站-灯具主材</t>
        </is>
      </c>
      <c r="I1322" s="69" t="inlineStr">
        <is>
          <t>1000021555</t>
        </is>
      </c>
      <c r="J1322" s="69" t="inlineStr">
        <is>
          <t>OSRAM双头方形LED灯筒灯灯具  L2</t>
        </is>
      </c>
      <c r="K1322" s="70" t="n"/>
      <c r="L1322" s="70" t="n"/>
      <c r="M1322" s="71" t="inlineStr">
        <is>
          <t>个</t>
        </is>
      </c>
      <c r="N1322" s="72" t="n">
        <v>181.65</v>
      </c>
      <c r="O1322" s="72">
        <f>ROUND(N1322*(1+$F$10),2)</f>
        <v/>
      </c>
      <c r="P1322" s="73">
        <f>ROUND(K1322*N1322,2)</f>
        <v/>
      </c>
      <c r="Q1322" s="74">
        <f>ROUND(L1322*N1322,2)</f>
        <v/>
      </c>
      <c r="R1322" s="75" t="n"/>
      <c r="S1322" s="76" t="n"/>
      <c r="T1322" s="77">
        <f>K1322-L1322</f>
        <v/>
      </c>
      <c r="U1322" s="77">
        <f>P1322-Q1322</f>
        <v/>
      </c>
      <c r="V1322" s="77">
        <f>ABS(U1322)</f>
        <v/>
      </c>
      <c r="W1322" s="78">
        <f>T1322/L1322</f>
        <v/>
      </c>
      <c r="X1322" s="79">
        <f>ABS(W1322)</f>
        <v/>
      </c>
    </row>
    <row r="1323" ht="11.4" customHeight="1">
      <c r="A1323" s="67" t="inlineStr">
        <is>
          <t>8070</t>
        </is>
      </c>
      <c r="B1323" s="67" t="inlineStr">
        <is>
          <t>1068</t>
        </is>
      </c>
      <c r="C1323" s="67" t="inlineStr">
        <is>
          <t>1646</t>
        </is>
      </c>
      <c r="D1323" s="68" t="inlineStr">
        <is>
          <t>21</t>
        </is>
      </c>
      <c r="E1323" s="68" t="inlineStr">
        <is>
          <t>Kiosk-LHI</t>
        </is>
      </c>
      <c r="F1323" s="68" t="inlineStr">
        <is>
          <t>独立甜品站装修</t>
        </is>
      </c>
      <c r="G1323" s="68" t="inlineStr">
        <is>
          <t>独立甜品站装修</t>
        </is>
      </c>
      <c r="H1323" s="68" t="inlineStr">
        <is>
          <t>独立甜品站-灯具主材</t>
        </is>
      </c>
      <c r="I1323" s="69" t="inlineStr">
        <is>
          <t>1000021567</t>
        </is>
      </c>
      <c r="J1323" s="69" t="inlineStr">
        <is>
          <t>OSRAM方形嵌入式LED射灯28W  L3</t>
        </is>
      </c>
      <c r="K1323" s="70" t="n"/>
      <c r="L1323" s="70" t="n"/>
      <c r="M1323" s="71" t="inlineStr">
        <is>
          <t>个</t>
        </is>
      </c>
      <c r="N1323" s="72" t="n">
        <v>198.45</v>
      </c>
      <c r="O1323" s="72">
        <f>ROUND(N1323*(1+$F$10),2)</f>
        <v/>
      </c>
      <c r="P1323" s="73">
        <f>ROUND(K1323*N1323,2)</f>
        <v/>
      </c>
      <c r="Q1323" s="74">
        <f>ROUND(L1323*N1323,2)</f>
        <v/>
      </c>
      <c r="R1323" s="75" t="n"/>
      <c r="S1323" s="76" t="n"/>
      <c r="T1323" s="77">
        <f>K1323-L1323</f>
        <v/>
      </c>
      <c r="U1323" s="77">
        <f>P1323-Q1323</f>
        <v/>
      </c>
      <c r="V1323" s="77">
        <f>ABS(U1323)</f>
        <v/>
      </c>
      <c r="W1323" s="78">
        <f>T1323/L1323</f>
        <v/>
      </c>
      <c r="X1323" s="79">
        <f>ABS(W1323)</f>
        <v/>
      </c>
    </row>
    <row r="1324" ht="11.4" customHeight="1">
      <c r="A1324" s="67" t="inlineStr">
        <is>
          <t>8070</t>
        </is>
      </c>
      <c r="B1324" s="67" t="inlineStr">
        <is>
          <t>1068</t>
        </is>
      </c>
      <c r="C1324" s="67" t="inlineStr">
        <is>
          <t>1646</t>
        </is>
      </c>
      <c r="D1324" s="68" t="inlineStr">
        <is>
          <t>21</t>
        </is>
      </c>
      <c r="E1324" s="68" t="inlineStr">
        <is>
          <t>Kiosk-LHI</t>
        </is>
      </c>
      <c r="F1324" s="68" t="inlineStr">
        <is>
          <t>独立甜品站装修</t>
        </is>
      </c>
      <c r="G1324" s="68" t="inlineStr">
        <is>
          <t>独立甜品站装修</t>
        </is>
      </c>
      <c r="H1324" s="68" t="inlineStr">
        <is>
          <t>独立甜品站-灯具主材</t>
        </is>
      </c>
      <c r="I1324" s="69" t="inlineStr">
        <is>
          <t>1000021556</t>
        </is>
      </c>
      <c r="J1324" s="69" t="inlineStr">
        <is>
          <t>OSRAM深照型圆形LED灯筒灯灯具  L4</t>
        </is>
      </c>
      <c r="K1324" s="70" t="n"/>
      <c r="L1324" s="70" t="n"/>
      <c r="M1324" s="71" t="inlineStr">
        <is>
          <t>个</t>
        </is>
      </c>
      <c r="N1324" s="72" t="n">
        <v>113.4</v>
      </c>
      <c r="O1324" s="72">
        <f>ROUND(N1324*(1+$F$10),2)</f>
        <v/>
      </c>
      <c r="P1324" s="73">
        <f>ROUND(K1324*N1324,2)</f>
        <v/>
      </c>
      <c r="Q1324" s="74">
        <f>ROUND(L1324*N1324,2)</f>
        <v/>
      </c>
      <c r="R1324" s="75" t="n"/>
      <c r="S1324" s="76" t="n"/>
      <c r="T1324" s="77">
        <f>K1324-L1324</f>
        <v/>
      </c>
      <c r="U1324" s="77">
        <f>P1324-Q1324</f>
        <v/>
      </c>
      <c r="V1324" s="77">
        <f>ABS(U1324)</f>
        <v/>
      </c>
      <c r="W1324" s="78">
        <f>T1324/L1324</f>
        <v/>
      </c>
      <c r="X1324" s="79">
        <f>ABS(W1324)</f>
        <v/>
      </c>
    </row>
    <row r="1325" ht="11.4" customHeight="1">
      <c r="A1325" s="67" t="inlineStr">
        <is>
          <t>8070</t>
        </is>
      </c>
      <c r="B1325" s="67" t="inlineStr">
        <is>
          <t>1068</t>
        </is>
      </c>
      <c r="C1325" s="67" t="inlineStr">
        <is>
          <t>1646</t>
        </is>
      </c>
      <c r="D1325" s="68" t="inlineStr">
        <is>
          <t>21</t>
        </is>
      </c>
      <c r="E1325" s="68" t="inlineStr">
        <is>
          <t>Kiosk-LHI</t>
        </is>
      </c>
      <c r="F1325" s="68" t="inlineStr">
        <is>
          <t>独立甜品站装修</t>
        </is>
      </c>
      <c r="G1325" s="68" t="inlineStr">
        <is>
          <t>独立甜品站装修</t>
        </is>
      </c>
      <c r="H1325" s="68" t="inlineStr">
        <is>
          <t>独立甜品站-灯具主材</t>
        </is>
      </c>
      <c r="I1325" s="69" t="inlineStr">
        <is>
          <t>1000021557</t>
        </is>
      </c>
      <c r="J1325" s="69" t="inlineStr">
        <is>
          <t>OSRAM圆形嵌入式 LED 筒灯  L5</t>
        </is>
      </c>
      <c r="K1325" s="70" t="n"/>
      <c r="L1325" s="70" t="n"/>
      <c r="M1325" s="71" t="inlineStr">
        <is>
          <t>个</t>
        </is>
      </c>
      <c r="N1325" s="72" t="n">
        <v>152.56</v>
      </c>
      <c r="O1325" s="72">
        <f>ROUND(N1325*(1+$F$10),2)</f>
        <v/>
      </c>
      <c r="P1325" s="73">
        <f>ROUND(K1325*N1325,2)</f>
        <v/>
      </c>
      <c r="Q1325" s="74">
        <f>ROUND(L1325*N1325,2)</f>
        <v/>
      </c>
      <c r="R1325" s="75" t="n"/>
      <c r="S1325" s="76" t="n"/>
      <c r="T1325" s="77">
        <f>K1325-L1325</f>
        <v/>
      </c>
      <c r="U1325" s="77">
        <f>P1325-Q1325</f>
        <v/>
      </c>
      <c r="V1325" s="77">
        <f>ABS(U1325)</f>
        <v/>
      </c>
      <c r="W1325" s="78">
        <f>T1325/L1325</f>
        <v/>
      </c>
      <c r="X1325" s="79">
        <f>ABS(W1325)</f>
        <v/>
      </c>
    </row>
    <row r="1326" ht="11.4" customHeight="1">
      <c r="A1326" s="67" t="inlineStr">
        <is>
          <t>8070</t>
        </is>
      </c>
      <c r="B1326" s="67" t="inlineStr">
        <is>
          <t>1068</t>
        </is>
      </c>
      <c r="C1326" s="67" t="inlineStr">
        <is>
          <t>1646</t>
        </is>
      </c>
      <c r="D1326" s="68" t="inlineStr">
        <is>
          <t>21</t>
        </is>
      </c>
      <c r="E1326" s="68" t="inlineStr">
        <is>
          <t>Kiosk-LHI</t>
        </is>
      </c>
      <c r="F1326" s="68" t="inlineStr">
        <is>
          <t>独立甜品站装修</t>
        </is>
      </c>
      <c r="G1326" s="68" t="inlineStr">
        <is>
          <t>独立甜品站装修</t>
        </is>
      </c>
      <c r="H1326" s="68" t="inlineStr">
        <is>
          <t>独立甜品站-灯具主材</t>
        </is>
      </c>
      <c r="I1326" s="69" t="inlineStr">
        <is>
          <t>1000021565</t>
        </is>
      </c>
      <c r="J1326" s="69" t="inlineStr">
        <is>
          <t>OSRAM方形嵌入式 LED 筒灯  L5</t>
        </is>
      </c>
      <c r="K1326" s="70" t="n"/>
      <c r="L1326" s="70" t="n"/>
      <c r="M1326" s="71" t="inlineStr">
        <is>
          <t>个</t>
        </is>
      </c>
      <c r="N1326" s="72" t="n">
        <v>184.8</v>
      </c>
      <c r="O1326" s="72">
        <f>ROUND(N1326*(1+$F$10),2)</f>
        <v/>
      </c>
      <c r="P1326" s="73">
        <f>ROUND(K1326*N1326,2)</f>
        <v/>
      </c>
      <c r="Q1326" s="74">
        <f>ROUND(L1326*N1326,2)</f>
        <v/>
      </c>
      <c r="R1326" s="75" t="n"/>
      <c r="S1326" s="76" t="n"/>
      <c r="T1326" s="77">
        <f>K1326-L1326</f>
        <v/>
      </c>
      <c r="U1326" s="77">
        <f>P1326-Q1326</f>
        <v/>
      </c>
      <c r="V1326" s="77">
        <f>ABS(U1326)</f>
        <v/>
      </c>
      <c r="W1326" s="78">
        <f>T1326/L1326</f>
        <v/>
      </c>
      <c r="X1326" s="79">
        <f>ABS(W1326)</f>
        <v/>
      </c>
    </row>
    <row r="1327" ht="11.4" customHeight="1">
      <c r="A1327" s="67" t="inlineStr">
        <is>
          <t>8070</t>
        </is>
      </c>
      <c r="B1327" s="67" t="inlineStr">
        <is>
          <t>1068</t>
        </is>
      </c>
      <c r="C1327" s="67" t="inlineStr">
        <is>
          <t>1646</t>
        </is>
      </c>
      <c r="D1327" s="68" t="inlineStr">
        <is>
          <t>21</t>
        </is>
      </c>
      <c r="E1327" s="68" t="inlineStr">
        <is>
          <t>Kiosk-LHI</t>
        </is>
      </c>
      <c r="F1327" s="68" t="inlineStr">
        <is>
          <t>独立甜品站装修</t>
        </is>
      </c>
      <c r="G1327" s="68" t="inlineStr">
        <is>
          <t>独立甜品站装修</t>
        </is>
      </c>
      <c r="H1327" s="68" t="inlineStr">
        <is>
          <t>独立甜品站-灯具主材</t>
        </is>
      </c>
      <c r="I1327" s="69" t="inlineStr">
        <is>
          <t>1000021560</t>
        </is>
      </c>
      <c r="J1327" s="69" t="inlineStr">
        <is>
          <t>OSRAM圆形嵌入式 LED 防尘防水筒灯  L6</t>
        </is>
      </c>
      <c r="K1327" s="70" t="n"/>
      <c r="L1327" s="70" t="n"/>
      <c r="M1327" s="71" t="inlineStr">
        <is>
          <t>个</t>
        </is>
      </c>
      <c r="N1327" s="72" t="n">
        <v>89.25</v>
      </c>
      <c r="O1327" s="72">
        <f>ROUND(N1327*(1+$F$10),2)</f>
        <v/>
      </c>
      <c r="P1327" s="73">
        <f>ROUND(K1327*N1327,2)</f>
        <v/>
      </c>
      <c r="Q1327" s="74">
        <f>ROUND(L1327*N1327,2)</f>
        <v/>
      </c>
      <c r="R1327" s="75" t="n"/>
      <c r="S1327" s="76" t="n"/>
      <c r="T1327" s="77">
        <f>K1327-L1327</f>
        <v/>
      </c>
      <c r="U1327" s="77">
        <f>P1327-Q1327</f>
        <v/>
      </c>
      <c r="V1327" s="77">
        <f>ABS(U1327)</f>
        <v/>
      </c>
      <c r="W1327" s="78">
        <f>T1327/L1327</f>
        <v/>
      </c>
      <c r="X1327" s="79">
        <f>ABS(W1327)</f>
        <v/>
      </c>
    </row>
    <row r="1328" ht="11.4" customHeight="1">
      <c r="A1328" s="67" t="inlineStr">
        <is>
          <t>8070</t>
        </is>
      </c>
      <c r="B1328" s="67" t="inlineStr">
        <is>
          <t>1068</t>
        </is>
      </c>
      <c r="C1328" s="67" t="inlineStr">
        <is>
          <t>1646</t>
        </is>
      </c>
      <c r="D1328" s="68" t="inlineStr">
        <is>
          <t>21</t>
        </is>
      </c>
      <c r="E1328" s="68" t="inlineStr">
        <is>
          <t>Kiosk-LHI</t>
        </is>
      </c>
      <c r="F1328" s="68" t="inlineStr">
        <is>
          <t>独立甜品站装修</t>
        </is>
      </c>
      <c r="G1328" s="68" t="inlineStr">
        <is>
          <t>独立甜品站装修</t>
        </is>
      </c>
      <c r="H1328" s="68" t="inlineStr">
        <is>
          <t>独立甜品站-灯具主材</t>
        </is>
      </c>
      <c r="I1328" s="69" t="inlineStr">
        <is>
          <t>1000021569</t>
        </is>
      </c>
      <c r="J1328" s="69" t="inlineStr">
        <is>
          <t>OSRAM圆形嵌入式射灯 L1-E</t>
        </is>
      </c>
      <c r="K1328" s="70" t="n"/>
      <c r="L1328" s="70" t="n"/>
      <c r="M1328" s="71" t="inlineStr">
        <is>
          <t>个</t>
        </is>
      </c>
      <c r="N1328" s="72" t="n">
        <v>105</v>
      </c>
      <c r="O1328" s="72">
        <f>ROUND(N1328*(1+$F$10),2)</f>
        <v/>
      </c>
      <c r="P1328" s="73">
        <f>ROUND(K1328*N1328,2)</f>
        <v/>
      </c>
      <c r="Q1328" s="74">
        <f>ROUND(L1328*N1328,2)</f>
        <v/>
      </c>
      <c r="R1328" s="75" t="n"/>
      <c r="S1328" s="76" t="n"/>
      <c r="T1328" s="77">
        <f>K1328-L1328</f>
        <v/>
      </c>
      <c r="U1328" s="77">
        <f>P1328-Q1328</f>
        <v/>
      </c>
      <c r="V1328" s="77">
        <f>ABS(U1328)</f>
        <v/>
      </c>
      <c r="W1328" s="78">
        <f>T1328/L1328</f>
        <v/>
      </c>
      <c r="X1328" s="79">
        <f>ABS(W1328)</f>
        <v/>
      </c>
    </row>
    <row r="1329" ht="11.4" customHeight="1">
      <c r="A1329" s="67" t="inlineStr">
        <is>
          <t>8070</t>
        </is>
      </c>
      <c r="B1329" s="67" t="inlineStr">
        <is>
          <t>1068</t>
        </is>
      </c>
      <c r="C1329" s="67" t="inlineStr">
        <is>
          <t>1646</t>
        </is>
      </c>
      <c r="D1329" s="68" t="inlineStr">
        <is>
          <t>21</t>
        </is>
      </c>
      <c r="E1329" s="68" t="inlineStr">
        <is>
          <t>Kiosk-LHI</t>
        </is>
      </c>
      <c r="F1329" s="68" t="inlineStr">
        <is>
          <t>独立甜品站装修</t>
        </is>
      </c>
      <c r="G1329" s="68" t="inlineStr">
        <is>
          <t>独立甜品站装修</t>
        </is>
      </c>
      <c r="H1329" s="68" t="inlineStr">
        <is>
          <t>独立甜品站-灯具主材</t>
        </is>
      </c>
      <c r="I1329" s="69" t="inlineStr">
        <is>
          <t>1000021570</t>
        </is>
      </c>
      <c r="J1329" s="69" t="inlineStr">
        <is>
          <t>OSRAM圆形嵌入式射灯 L2-E/L5-E</t>
        </is>
      </c>
      <c r="K1329" s="70" t="n"/>
      <c r="L1329" s="70" t="n"/>
      <c r="M1329" s="71" t="inlineStr">
        <is>
          <t>个</t>
        </is>
      </c>
      <c r="N1329" s="72" t="n">
        <v>141.75</v>
      </c>
      <c r="O1329" s="72">
        <f>ROUND(N1329*(1+$F$10),2)</f>
        <v/>
      </c>
      <c r="P1329" s="73">
        <f>ROUND(K1329*N1329,2)</f>
        <v/>
      </c>
      <c r="Q1329" s="74">
        <f>ROUND(L1329*N1329,2)</f>
        <v/>
      </c>
      <c r="R1329" s="75" t="n"/>
      <c r="S1329" s="76" t="n"/>
      <c r="T1329" s="77">
        <f>K1329-L1329</f>
        <v/>
      </c>
      <c r="U1329" s="77">
        <f>P1329-Q1329</f>
        <v/>
      </c>
      <c r="V1329" s="77">
        <f>ABS(U1329)</f>
        <v/>
      </c>
      <c r="W1329" s="78">
        <f>T1329/L1329</f>
        <v/>
      </c>
      <c r="X1329" s="79">
        <f>ABS(W1329)</f>
        <v/>
      </c>
    </row>
    <row r="1330" ht="11.4" customHeight="1">
      <c r="A1330" s="67" t="inlineStr">
        <is>
          <t>8070</t>
        </is>
      </c>
      <c r="B1330" s="67" t="inlineStr">
        <is>
          <t>1068</t>
        </is>
      </c>
      <c r="C1330" s="67" t="inlineStr">
        <is>
          <t>1646</t>
        </is>
      </c>
      <c r="D1330" s="68" t="inlineStr">
        <is>
          <t>21</t>
        </is>
      </c>
      <c r="E1330" s="68" t="inlineStr">
        <is>
          <t>Kiosk-LHI</t>
        </is>
      </c>
      <c r="F1330" s="68" t="inlineStr">
        <is>
          <t>独立甜品站装修</t>
        </is>
      </c>
      <c r="G1330" s="68" t="inlineStr">
        <is>
          <t>独立甜品站装修</t>
        </is>
      </c>
      <c r="H1330" s="68" t="inlineStr">
        <is>
          <t>独立甜品站-灯具主材</t>
        </is>
      </c>
      <c r="I1330" s="69" t="inlineStr">
        <is>
          <t>1000021566</t>
        </is>
      </c>
      <c r="J1330" s="69" t="inlineStr">
        <is>
          <t>OSRAM圆形嵌入式LED防水型射灯 L9</t>
        </is>
      </c>
      <c r="K1330" s="70" t="n"/>
      <c r="L1330" s="70" t="n"/>
      <c r="M1330" s="71" t="inlineStr">
        <is>
          <t>个</t>
        </is>
      </c>
      <c r="N1330" s="72" t="n">
        <v>159.74</v>
      </c>
      <c r="O1330" s="72">
        <f>ROUND(N1330*(1+$F$10),2)</f>
        <v/>
      </c>
      <c r="P1330" s="73">
        <f>ROUND(K1330*N1330,2)</f>
        <v/>
      </c>
      <c r="Q1330" s="74">
        <f>ROUND(L1330*N1330,2)</f>
        <v/>
      </c>
      <c r="R1330" s="75" t="n"/>
      <c r="S1330" s="76" t="n"/>
      <c r="T1330" s="77">
        <f>K1330-L1330</f>
        <v/>
      </c>
      <c r="U1330" s="77">
        <f>P1330-Q1330</f>
        <v/>
      </c>
      <c r="V1330" s="77">
        <f>ABS(U1330)</f>
        <v/>
      </c>
      <c r="W1330" s="78">
        <f>T1330/L1330</f>
        <v/>
      </c>
      <c r="X1330" s="79">
        <f>ABS(W1330)</f>
        <v/>
      </c>
    </row>
    <row r="1331" ht="11.4" customHeight="1">
      <c r="A1331" s="67" t="inlineStr">
        <is>
          <t>8070</t>
        </is>
      </c>
      <c r="B1331" s="67" t="inlineStr">
        <is>
          <t>1068</t>
        </is>
      </c>
      <c r="C1331" s="67" t="inlineStr">
        <is>
          <t>1646</t>
        </is>
      </c>
      <c r="D1331" s="68" t="inlineStr">
        <is>
          <t>21</t>
        </is>
      </c>
      <c r="E1331" s="68" t="inlineStr">
        <is>
          <t>Kiosk-LHI</t>
        </is>
      </c>
      <c r="F1331" s="68" t="inlineStr">
        <is>
          <t>独立甜品站装修</t>
        </is>
      </c>
      <c r="G1331" s="68" t="inlineStr">
        <is>
          <t>独立甜品站装修</t>
        </is>
      </c>
      <c r="H1331" s="68" t="inlineStr">
        <is>
          <t>独立甜品站-灯具主材</t>
        </is>
      </c>
      <c r="I1331" s="69" t="inlineStr">
        <is>
          <t>1000021571</t>
        </is>
      </c>
      <c r="J1331" s="69" t="inlineStr">
        <is>
          <t>OSRAM LED 5W应急灯具90分钟E</t>
        </is>
      </c>
      <c r="K1331" s="70" t="n"/>
      <c r="L1331" s="70" t="n"/>
      <c r="M1331" s="71" t="inlineStr">
        <is>
          <t>个</t>
        </is>
      </c>
      <c r="N1331" s="72" t="n">
        <v>92.40000000000001</v>
      </c>
      <c r="O1331" s="72">
        <f>ROUND(N1331*(1+$F$10),2)</f>
        <v/>
      </c>
      <c r="P1331" s="73">
        <f>ROUND(K1331*N1331,2)</f>
        <v/>
      </c>
      <c r="Q1331" s="74">
        <f>ROUND(L1331*N1331,2)</f>
        <v/>
      </c>
      <c r="R1331" s="75" t="n"/>
      <c r="S1331" s="76" t="n"/>
      <c r="T1331" s="77">
        <f>K1331-L1331</f>
        <v/>
      </c>
      <c r="U1331" s="77">
        <f>P1331-Q1331</f>
        <v/>
      </c>
      <c r="V1331" s="77">
        <f>ABS(U1331)</f>
        <v/>
      </c>
      <c r="W1331" s="78">
        <f>T1331/L1331</f>
        <v/>
      </c>
      <c r="X1331" s="79">
        <f>ABS(W1331)</f>
        <v/>
      </c>
    </row>
    <row r="1332" ht="11.4" customHeight="1">
      <c r="A1332" s="67" t="inlineStr">
        <is>
          <t>8070</t>
        </is>
      </c>
      <c r="B1332" s="67" t="inlineStr">
        <is>
          <t>1068</t>
        </is>
      </c>
      <c r="C1332" s="67" t="inlineStr">
        <is>
          <t>1646</t>
        </is>
      </c>
      <c r="D1332" s="68" t="inlineStr">
        <is>
          <t>21</t>
        </is>
      </c>
      <c r="E1332" s="68" t="inlineStr">
        <is>
          <t>Kiosk-LHI</t>
        </is>
      </c>
      <c r="F1332" s="68" t="inlineStr">
        <is>
          <t>独立甜品站装修</t>
        </is>
      </c>
      <c r="G1332" s="68" t="inlineStr">
        <is>
          <t>独立甜品站装修</t>
        </is>
      </c>
      <c r="H1332" s="68" t="inlineStr">
        <is>
          <t>独立甜品站-灯具主材</t>
        </is>
      </c>
      <c r="I1332" s="69" t="inlineStr">
        <is>
          <t>1000041839</t>
        </is>
      </c>
      <c r="J1332" s="69" t="inlineStr">
        <is>
          <t>OPPLE方形LED灯筒灯灯具  L1</t>
        </is>
      </c>
      <c r="K1332" s="70" t="n"/>
      <c r="L1332" s="70" t="n"/>
      <c r="M1332" s="71" t="inlineStr">
        <is>
          <t>个</t>
        </is>
      </c>
      <c r="N1332" s="72" t="n">
        <v>110.25</v>
      </c>
      <c r="O1332" s="72">
        <f>ROUND(N1332*(1+$F$10),2)</f>
        <v/>
      </c>
      <c r="P1332" s="73">
        <f>ROUND(K1332*N1332,2)</f>
        <v/>
      </c>
      <c r="Q1332" s="74">
        <f>ROUND(L1332*N1332,2)</f>
        <v/>
      </c>
      <c r="R1332" s="75" t="n"/>
      <c r="S1332" s="76" t="n"/>
      <c r="T1332" s="77">
        <f>K1332-L1332</f>
        <v/>
      </c>
      <c r="U1332" s="77">
        <f>P1332-Q1332</f>
        <v/>
      </c>
      <c r="V1332" s="77">
        <f>ABS(U1332)</f>
        <v/>
      </c>
      <c r="W1332" s="78">
        <f>T1332/L1332</f>
        <v/>
      </c>
      <c r="X1332" s="79">
        <f>ABS(W1332)</f>
        <v/>
      </c>
    </row>
    <row r="1333" ht="11.4" customHeight="1">
      <c r="A1333" s="67" t="inlineStr">
        <is>
          <t>8070</t>
        </is>
      </c>
      <c r="B1333" s="67" t="inlineStr">
        <is>
          <t>1068</t>
        </is>
      </c>
      <c r="C1333" s="67" t="inlineStr">
        <is>
          <t>1646</t>
        </is>
      </c>
      <c r="D1333" s="68" t="inlineStr">
        <is>
          <t>21</t>
        </is>
      </c>
      <c r="E1333" s="68" t="inlineStr">
        <is>
          <t>Kiosk-LHI</t>
        </is>
      </c>
      <c r="F1333" s="68" t="inlineStr">
        <is>
          <t>独立甜品站装修</t>
        </is>
      </c>
      <c r="G1333" s="68" t="inlineStr">
        <is>
          <t>独立甜品站装修</t>
        </is>
      </c>
      <c r="H1333" s="68" t="inlineStr">
        <is>
          <t>独立甜品站-灯具主材</t>
        </is>
      </c>
      <c r="I1333" s="69" t="inlineStr">
        <is>
          <t>1000041850</t>
        </is>
      </c>
      <c r="J1333" s="69" t="inlineStr">
        <is>
          <t>OPPLE双头方形LED灯筒灯灯具  L2</t>
        </is>
      </c>
      <c r="K1333" s="70" t="n"/>
      <c r="L1333" s="70" t="n"/>
      <c r="M1333" s="71" t="inlineStr">
        <is>
          <t>个</t>
        </is>
      </c>
      <c r="N1333" s="72" t="n">
        <v>178.5</v>
      </c>
      <c r="O1333" s="72">
        <f>ROUND(N1333*(1+$F$10),2)</f>
        <v/>
      </c>
      <c r="P1333" s="73">
        <f>ROUND(K1333*N1333,2)</f>
        <v/>
      </c>
      <c r="Q1333" s="74">
        <f>ROUND(L1333*N1333,2)</f>
        <v/>
      </c>
      <c r="R1333" s="75" t="n"/>
      <c r="S1333" s="76" t="n"/>
      <c r="T1333" s="77">
        <f>K1333-L1333</f>
        <v/>
      </c>
      <c r="U1333" s="77">
        <f>P1333-Q1333</f>
        <v/>
      </c>
      <c r="V1333" s="77">
        <f>ABS(U1333)</f>
        <v/>
      </c>
      <c r="W1333" s="78">
        <f>T1333/L1333</f>
        <v/>
      </c>
      <c r="X1333" s="79">
        <f>ABS(W1333)</f>
        <v/>
      </c>
    </row>
    <row r="1334" ht="11.4" customHeight="1">
      <c r="A1334" s="67" t="inlineStr">
        <is>
          <t>8070</t>
        </is>
      </c>
      <c r="B1334" s="67" t="inlineStr">
        <is>
          <t>1068</t>
        </is>
      </c>
      <c r="C1334" s="67" t="inlineStr">
        <is>
          <t>1646</t>
        </is>
      </c>
      <c r="D1334" s="68" t="inlineStr">
        <is>
          <t>21</t>
        </is>
      </c>
      <c r="E1334" s="68" t="inlineStr">
        <is>
          <t>Kiosk-LHI</t>
        </is>
      </c>
      <c r="F1334" s="68" t="inlineStr">
        <is>
          <t>独立甜品站装修</t>
        </is>
      </c>
      <c r="G1334" s="68" t="inlineStr">
        <is>
          <t>独立甜品站装修</t>
        </is>
      </c>
      <c r="H1334" s="68" t="inlineStr">
        <is>
          <t>独立甜品站-灯具主材</t>
        </is>
      </c>
      <c r="I1334" s="69" t="inlineStr">
        <is>
          <t>1000041851</t>
        </is>
      </c>
      <c r="J1334" s="69" t="inlineStr">
        <is>
          <t>OPPLE方形嵌入式LED射灯28W  L3</t>
        </is>
      </c>
      <c r="K1334" s="70" t="n"/>
      <c r="L1334" s="70" t="n"/>
      <c r="M1334" s="71" t="inlineStr">
        <is>
          <t>个</t>
        </is>
      </c>
      <c r="N1334" s="72" t="n">
        <v>147</v>
      </c>
      <c r="O1334" s="72">
        <f>ROUND(N1334*(1+$F$10),2)</f>
        <v/>
      </c>
      <c r="P1334" s="73">
        <f>ROUND(K1334*N1334,2)</f>
        <v/>
      </c>
      <c r="Q1334" s="74">
        <f>ROUND(L1334*N1334,2)</f>
        <v/>
      </c>
      <c r="R1334" s="75" t="n"/>
      <c r="S1334" s="76" t="n"/>
      <c r="T1334" s="77">
        <f>K1334-L1334</f>
        <v/>
      </c>
      <c r="U1334" s="77">
        <f>P1334-Q1334</f>
        <v/>
      </c>
      <c r="V1334" s="77">
        <f>ABS(U1334)</f>
        <v/>
      </c>
      <c r="W1334" s="78">
        <f>T1334/L1334</f>
        <v/>
      </c>
      <c r="X1334" s="79">
        <f>ABS(W1334)</f>
        <v/>
      </c>
    </row>
    <row r="1335" ht="11.4" customHeight="1">
      <c r="A1335" s="67" t="inlineStr">
        <is>
          <t>8070</t>
        </is>
      </c>
      <c r="B1335" s="67" t="inlineStr">
        <is>
          <t>1068</t>
        </is>
      </c>
      <c r="C1335" s="67" t="inlineStr">
        <is>
          <t>1646</t>
        </is>
      </c>
      <c r="D1335" s="68" t="inlineStr">
        <is>
          <t>21</t>
        </is>
      </c>
      <c r="E1335" s="68" t="inlineStr">
        <is>
          <t>Kiosk-LHI</t>
        </is>
      </c>
      <c r="F1335" s="68" t="inlineStr">
        <is>
          <t>独立甜品站装修</t>
        </is>
      </c>
      <c r="G1335" s="68" t="inlineStr">
        <is>
          <t>独立甜品站装修</t>
        </is>
      </c>
      <c r="H1335" s="68" t="inlineStr">
        <is>
          <t>独立甜品站-灯具主材</t>
        </is>
      </c>
      <c r="I1335" s="69" t="inlineStr">
        <is>
          <t>1000041852</t>
        </is>
      </c>
      <c r="J1335" s="69" t="inlineStr">
        <is>
          <t>OPPLE深照型圆形LED灯筒灯灯具  L4</t>
        </is>
      </c>
      <c r="K1335" s="70" t="n"/>
      <c r="L1335" s="70" t="n"/>
      <c r="M1335" s="71" t="inlineStr">
        <is>
          <t>个</t>
        </is>
      </c>
      <c r="N1335" s="72" t="n">
        <v>105</v>
      </c>
      <c r="O1335" s="72">
        <f>ROUND(N1335*(1+$F$10),2)</f>
        <v/>
      </c>
      <c r="P1335" s="73">
        <f>ROUND(K1335*N1335,2)</f>
        <v/>
      </c>
      <c r="Q1335" s="74">
        <f>ROUND(L1335*N1335,2)</f>
        <v/>
      </c>
      <c r="R1335" s="75" t="n"/>
      <c r="S1335" s="76" t="n"/>
      <c r="T1335" s="77">
        <f>K1335-L1335</f>
        <v/>
      </c>
      <c r="U1335" s="77">
        <f>P1335-Q1335</f>
        <v/>
      </c>
      <c r="V1335" s="77">
        <f>ABS(U1335)</f>
        <v/>
      </c>
      <c r="W1335" s="78">
        <f>T1335/L1335</f>
        <v/>
      </c>
      <c r="X1335" s="79">
        <f>ABS(W1335)</f>
        <v/>
      </c>
    </row>
    <row r="1336" ht="11.4" customHeight="1">
      <c r="A1336" s="67" t="inlineStr">
        <is>
          <t>8070</t>
        </is>
      </c>
      <c r="B1336" s="67" t="inlineStr">
        <is>
          <t>1068</t>
        </is>
      </c>
      <c r="C1336" s="67" t="inlineStr">
        <is>
          <t>1646</t>
        </is>
      </c>
      <c r="D1336" s="68" t="inlineStr">
        <is>
          <t>21</t>
        </is>
      </c>
      <c r="E1336" s="68" t="inlineStr">
        <is>
          <t>Kiosk-LHI</t>
        </is>
      </c>
      <c r="F1336" s="68" t="inlineStr">
        <is>
          <t>独立甜品站装修</t>
        </is>
      </c>
      <c r="G1336" s="68" t="inlineStr">
        <is>
          <t>独立甜品站装修</t>
        </is>
      </c>
      <c r="H1336" s="68" t="inlineStr">
        <is>
          <t>独立甜品站-灯具主材</t>
        </is>
      </c>
      <c r="I1336" s="69" t="inlineStr">
        <is>
          <t>1000041853</t>
        </is>
      </c>
      <c r="J1336" s="69" t="inlineStr">
        <is>
          <t>OPPLE方形嵌入式 LED 筒灯  L5</t>
        </is>
      </c>
      <c r="K1336" s="70" t="n"/>
      <c r="L1336" s="70" t="n"/>
      <c r="M1336" s="71" t="inlineStr">
        <is>
          <t>个</t>
        </is>
      </c>
      <c r="N1336" s="72" t="n">
        <v>126</v>
      </c>
      <c r="O1336" s="72">
        <f>ROUND(N1336*(1+$F$10),2)</f>
        <v/>
      </c>
      <c r="P1336" s="73">
        <f>ROUND(K1336*N1336,2)</f>
        <v/>
      </c>
      <c r="Q1336" s="74">
        <f>ROUND(L1336*N1336,2)</f>
        <v/>
      </c>
      <c r="R1336" s="75" t="n"/>
      <c r="S1336" s="76" t="n"/>
      <c r="T1336" s="77">
        <f>K1336-L1336</f>
        <v/>
      </c>
      <c r="U1336" s="77">
        <f>P1336-Q1336</f>
        <v/>
      </c>
      <c r="V1336" s="77">
        <f>ABS(U1336)</f>
        <v/>
      </c>
      <c r="W1336" s="78">
        <f>T1336/L1336</f>
        <v/>
      </c>
      <c r="X1336" s="79">
        <f>ABS(W1336)</f>
        <v/>
      </c>
    </row>
    <row r="1337" ht="11.4" customHeight="1">
      <c r="A1337" s="67" t="inlineStr">
        <is>
          <t>8070</t>
        </is>
      </c>
      <c r="B1337" s="67" t="inlineStr">
        <is>
          <t>1068</t>
        </is>
      </c>
      <c r="C1337" s="67" t="inlineStr">
        <is>
          <t>1646</t>
        </is>
      </c>
      <c r="D1337" s="68" t="inlineStr">
        <is>
          <t>21</t>
        </is>
      </c>
      <c r="E1337" s="68" t="inlineStr">
        <is>
          <t>Kiosk-LHI</t>
        </is>
      </c>
      <c r="F1337" s="68" t="inlineStr">
        <is>
          <t>独立甜品站装修</t>
        </is>
      </c>
      <c r="G1337" s="68" t="inlineStr">
        <is>
          <t>独立甜品站装修</t>
        </is>
      </c>
      <c r="H1337" s="68" t="inlineStr">
        <is>
          <t>独立甜品站-灯具主材</t>
        </is>
      </c>
      <c r="I1337" s="69" t="inlineStr">
        <is>
          <t>1000041846</t>
        </is>
      </c>
      <c r="J1337" s="69" t="inlineStr">
        <is>
          <t>OPPLE圆形嵌入式 LED 防尘防水筒灯 L6</t>
        </is>
      </c>
      <c r="K1337" s="70" t="n"/>
      <c r="L1337" s="70" t="n"/>
      <c r="M1337" s="71" t="inlineStr">
        <is>
          <t>个</t>
        </is>
      </c>
      <c r="N1337" s="72" t="n">
        <v>204.75</v>
      </c>
      <c r="O1337" s="72">
        <f>ROUND(N1337*(1+$F$10),2)</f>
        <v/>
      </c>
      <c r="P1337" s="73">
        <f>ROUND(K1337*N1337,2)</f>
        <v/>
      </c>
      <c r="Q1337" s="74">
        <f>ROUND(L1337*N1337,2)</f>
        <v/>
      </c>
      <c r="R1337" s="75" t="n"/>
      <c r="S1337" s="76" t="n"/>
      <c r="T1337" s="77">
        <f>K1337-L1337</f>
        <v/>
      </c>
      <c r="U1337" s="77">
        <f>P1337-Q1337</f>
        <v/>
      </c>
      <c r="V1337" s="77">
        <f>ABS(U1337)</f>
        <v/>
      </c>
      <c r="W1337" s="78">
        <f>T1337/L1337</f>
        <v/>
      </c>
      <c r="X1337" s="79">
        <f>ABS(W1337)</f>
        <v/>
      </c>
    </row>
    <row r="1338" ht="11.4" customHeight="1">
      <c r="A1338" s="67" t="inlineStr">
        <is>
          <t>8070</t>
        </is>
      </c>
      <c r="B1338" s="67" t="inlineStr">
        <is>
          <t>1068</t>
        </is>
      </c>
      <c r="C1338" s="67" t="inlineStr">
        <is>
          <t>1646</t>
        </is>
      </c>
      <c r="D1338" s="68" t="inlineStr">
        <is>
          <t>21</t>
        </is>
      </c>
      <c r="E1338" s="68" t="inlineStr">
        <is>
          <t>Kiosk-LHI</t>
        </is>
      </c>
      <c r="F1338" s="68" t="inlineStr">
        <is>
          <t>独立甜品站装修</t>
        </is>
      </c>
      <c r="G1338" s="68" t="inlineStr">
        <is>
          <t>独立甜品站装修</t>
        </is>
      </c>
      <c r="H1338" s="68" t="inlineStr">
        <is>
          <t>独立甜品站-灯具主材</t>
        </is>
      </c>
      <c r="I1338" s="69" t="inlineStr">
        <is>
          <t>1000041842</t>
        </is>
      </c>
      <c r="J1338" s="69" t="inlineStr">
        <is>
          <t>OPPLE圆形嵌入式射灯 L1-E</t>
        </is>
      </c>
      <c r="K1338" s="70" t="n"/>
      <c r="L1338" s="70" t="n"/>
      <c r="M1338" s="71" t="inlineStr">
        <is>
          <t>个</t>
        </is>
      </c>
      <c r="N1338" s="72" t="n">
        <v>131.25</v>
      </c>
      <c r="O1338" s="72">
        <f>ROUND(N1338*(1+$F$10),2)</f>
        <v/>
      </c>
      <c r="P1338" s="73">
        <f>ROUND(K1338*N1338,2)</f>
        <v/>
      </c>
      <c r="Q1338" s="74">
        <f>ROUND(L1338*N1338,2)</f>
        <v/>
      </c>
      <c r="R1338" s="75" t="n"/>
      <c r="S1338" s="76" t="n"/>
      <c r="T1338" s="77">
        <f>K1338-L1338</f>
        <v/>
      </c>
      <c r="U1338" s="77">
        <f>P1338-Q1338</f>
        <v/>
      </c>
      <c r="V1338" s="77">
        <f>ABS(U1338)</f>
        <v/>
      </c>
      <c r="W1338" s="78">
        <f>T1338/L1338</f>
        <v/>
      </c>
      <c r="X1338" s="79">
        <f>ABS(W1338)</f>
        <v/>
      </c>
    </row>
    <row r="1339" ht="11.4" customHeight="1">
      <c r="A1339" s="67" t="inlineStr">
        <is>
          <t>8070</t>
        </is>
      </c>
      <c r="B1339" s="67" t="inlineStr">
        <is>
          <t>1068</t>
        </is>
      </c>
      <c r="C1339" s="67" t="inlineStr">
        <is>
          <t>1646</t>
        </is>
      </c>
      <c r="D1339" s="68" t="inlineStr">
        <is>
          <t>21</t>
        </is>
      </c>
      <c r="E1339" s="68" t="inlineStr">
        <is>
          <t>Kiosk-LHI</t>
        </is>
      </c>
      <c r="F1339" s="68" t="inlineStr">
        <is>
          <t>独立甜品站装修</t>
        </is>
      </c>
      <c r="G1339" s="68" t="inlineStr">
        <is>
          <t>独立甜品站装修</t>
        </is>
      </c>
      <c r="H1339" s="68" t="inlineStr">
        <is>
          <t>独立甜品站-灯具主材</t>
        </is>
      </c>
      <c r="I1339" s="69" t="inlineStr">
        <is>
          <t>1000041843</t>
        </is>
      </c>
      <c r="J1339" s="69" t="inlineStr">
        <is>
          <t>OPPLE圆形嵌入式射灯 L2-E/L5-E</t>
        </is>
      </c>
      <c r="K1339" s="70" t="n"/>
      <c r="L1339" s="70" t="n"/>
      <c r="M1339" s="71" t="inlineStr">
        <is>
          <t>个</t>
        </is>
      </c>
      <c r="N1339" s="72" t="n">
        <v>120.75</v>
      </c>
      <c r="O1339" s="72">
        <f>ROUND(N1339*(1+$F$10),2)</f>
        <v/>
      </c>
      <c r="P1339" s="73">
        <f>ROUND(K1339*N1339,2)</f>
        <v/>
      </c>
      <c r="Q1339" s="74">
        <f>ROUND(L1339*N1339,2)</f>
        <v/>
      </c>
      <c r="R1339" s="75" t="n"/>
      <c r="S1339" s="76" t="n"/>
      <c r="T1339" s="77">
        <f>K1339-L1339</f>
        <v/>
      </c>
      <c r="U1339" s="77">
        <f>P1339-Q1339</f>
        <v/>
      </c>
      <c r="V1339" s="77">
        <f>ABS(U1339)</f>
        <v/>
      </c>
      <c r="W1339" s="78">
        <f>T1339/L1339</f>
        <v/>
      </c>
      <c r="X1339" s="79">
        <f>ABS(W1339)</f>
        <v/>
      </c>
    </row>
    <row r="1340" ht="11.4" customHeight="1">
      <c r="A1340" s="67" t="inlineStr">
        <is>
          <t>8070</t>
        </is>
      </c>
      <c r="B1340" s="67" t="inlineStr">
        <is>
          <t>1068</t>
        </is>
      </c>
      <c r="C1340" s="67" t="inlineStr">
        <is>
          <t>1646</t>
        </is>
      </c>
      <c r="D1340" s="68" t="inlineStr">
        <is>
          <t>21</t>
        </is>
      </c>
      <c r="E1340" s="68" t="inlineStr">
        <is>
          <t>Kiosk-LHI</t>
        </is>
      </c>
      <c r="F1340" s="68" t="inlineStr">
        <is>
          <t>独立甜品站装修</t>
        </is>
      </c>
      <c r="G1340" s="68" t="inlineStr">
        <is>
          <t>独立甜品站装修</t>
        </is>
      </c>
      <c r="H1340" s="68" t="inlineStr">
        <is>
          <t>独立甜品站-灯具主材</t>
        </is>
      </c>
      <c r="I1340" s="69" t="inlineStr">
        <is>
          <t>1000041841</t>
        </is>
      </c>
      <c r="J1340" s="69" t="inlineStr">
        <is>
          <t>OPPLE LED 5W应急灯具90分钟E</t>
        </is>
      </c>
      <c r="K1340" s="70" t="n"/>
      <c r="L1340" s="70" t="n"/>
      <c r="M1340" s="71" t="inlineStr">
        <is>
          <t>个</t>
        </is>
      </c>
      <c r="N1340" s="72" t="n">
        <v>68.25</v>
      </c>
      <c r="O1340" s="72">
        <f>ROUND(N1340*(1+$F$10),2)</f>
        <v/>
      </c>
      <c r="P1340" s="73">
        <f>ROUND(K1340*N1340,2)</f>
        <v/>
      </c>
      <c r="Q1340" s="74">
        <f>ROUND(L1340*N1340,2)</f>
        <v/>
      </c>
      <c r="R1340" s="75" t="n"/>
      <c r="S1340" s="76" t="n"/>
      <c r="T1340" s="77">
        <f>K1340-L1340</f>
        <v/>
      </c>
      <c r="U1340" s="77">
        <f>P1340-Q1340</f>
        <v/>
      </c>
      <c r="V1340" s="77">
        <f>ABS(U1340)</f>
        <v/>
      </c>
      <c r="W1340" s="78">
        <f>T1340/L1340</f>
        <v/>
      </c>
      <c r="X1340" s="79">
        <f>ABS(W1340)</f>
        <v/>
      </c>
    </row>
    <row r="1341" ht="11.4" customHeight="1">
      <c r="A1341" s="67" t="inlineStr">
        <is>
          <t>8070</t>
        </is>
      </c>
      <c r="B1341" s="67" t="inlineStr">
        <is>
          <t>1068</t>
        </is>
      </c>
      <c r="C1341" s="67" t="inlineStr">
        <is>
          <t>1646</t>
        </is>
      </c>
      <c r="D1341" s="68" t="inlineStr">
        <is>
          <t>21</t>
        </is>
      </c>
      <c r="E1341" s="68" t="inlineStr">
        <is>
          <t>Kiosk-LHI</t>
        </is>
      </c>
      <c r="F1341" s="68" t="inlineStr">
        <is>
          <t>独立甜品站装修</t>
        </is>
      </c>
      <c r="G1341" s="68" t="inlineStr">
        <is>
          <t>独立甜品站装修</t>
        </is>
      </c>
      <c r="H1341" s="68" t="inlineStr">
        <is>
          <t>独立甜品站-灯具主材</t>
        </is>
      </c>
      <c r="I1341" s="69" t="inlineStr">
        <is>
          <t>1000021929</t>
        </is>
      </c>
      <c r="J1341" s="69" t="inlineStr">
        <is>
          <t>安全出口灯</t>
        </is>
      </c>
      <c r="K1341" s="70" t="n"/>
      <c r="L1341" s="70" t="n"/>
      <c r="M1341" s="71" t="inlineStr">
        <is>
          <t>个</t>
        </is>
      </c>
      <c r="N1341" s="72" t="n">
        <v>63</v>
      </c>
      <c r="O1341" s="72">
        <f>ROUND(N1341*(1+$F$10),2)</f>
        <v/>
      </c>
      <c r="P1341" s="73">
        <f>ROUND(K1341*N1341,2)</f>
        <v/>
      </c>
      <c r="Q1341" s="74">
        <f>ROUND(L1341*N1341,2)</f>
        <v/>
      </c>
      <c r="R1341" s="75" t="n"/>
      <c r="S1341" s="76" t="n"/>
      <c r="T1341" s="77">
        <f>K1341-L1341</f>
        <v/>
      </c>
      <c r="U1341" s="77">
        <f>P1341-Q1341</f>
        <v/>
      </c>
      <c r="V1341" s="77">
        <f>ABS(U1341)</f>
        <v/>
      </c>
      <c r="W1341" s="78">
        <f>T1341/L1341</f>
        <v/>
      </c>
      <c r="X1341" s="79">
        <f>ABS(W1341)</f>
        <v/>
      </c>
    </row>
    <row r="1342" ht="11.4" customHeight="1">
      <c r="A1342" s="67" t="inlineStr">
        <is>
          <t>8072</t>
        </is>
      </c>
      <c r="B1342" s="67" t="inlineStr">
        <is>
          <t>1070</t>
        </is>
      </c>
      <c r="C1342" s="67" t="inlineStr">
        <is>
          <t>1613</t>
        </is>
      </c>
      <c r="D1342" s="68" t="inlineStr">
        <is>
          <t>21</t>
        </is>
      </c>
      <c r="E1342" s="68" t="inlineStr">
        <is>
          <t>Kiosk-LHI</t>
        </is>
      </c>
      <c r="F1342" s="68" t="inlineStr">
        <is>
          <t>独立甜品站装修</t>
        </is>
      </c>
      <c r="G1342" s="68" t="inlineStr">
        <is>
          <t>独立甜品站装修</t>
        </is>
      </c>
      <c r="H1342" s="68" t="inlineStr">
        <is>
          <t>独立甜品站-给排水</t>
        </is>
      </c>
      <c r="I1342" s="69" t="inlineStr">
        <is>
          <t>1000021935</t>
        </is>
      </c>
      <c r="J1342" s="69" t="inlineStr">
        <is>
          <t>Φ25mmPPR管</t>
        </is>
      </c>
      <c r="K1342" s="70" t="n"/>
      <c r="L1342" s="70" t="n"/>
      <c r="M1342" s="71" t="inlineStr">
        <is>
          <t>米</t>
        </is>
      </c>
      <c r="N1342" s="72" t="n">
        <v>52.58</v>
      </c>
      <c r="O1342" s="72">
        <f>ROUND(N1342*(1+$F$10),2)</f>
        <v/>
      </c>
      <c r="P1342" s="73">
        <f>ROUND(K1342*N1342,2)</f>
        <v/>
      </c>
      <c r="Q1342" s="74">
        <f>ROUND(L1342*N1342,2)</f>
        <v/>
      </c>
      <c r="R1342" s="75" t="n"/>
      <c r="S1342" s="76" t="n"/>
      <c r="T1342" s="77">
        <f>K1342-L1342</f>
        <v/>
      </c>
      <c r="U1342" s="77">
        <f>P1342-Q1342</f>
        <v/>
      </c>
      <c r="V1342" s="77">
        <f>ABS(U1342)</f>
        <v/>
      </c>
      <c r="W1342" s="78">
        <f>T1342/L1342</f>
        <v/>
      </c>
      <c r="X1342" s="79">
        <f>ABS(W1342)</f>
        <v/>
      </c>
    </row>
    <row r="1343" ht="11.4" customHeight="1">
      <c r="A1343" s="67" t="inlineStr">
        <is>
          <t>8072</t>
        </is>
      </c>
      <c r="B1343" s="67" t="inlineStr">
        <is>
          <t>1070</t>
        </is>
      </c>
      <c r="C1343" s="67" t="inlineStr">
        <is>
          <t>1613</t>
        </is>
      </c>
      <c r="D1343" s="68" t="inlineStr">
        <is>
          <t>21</t>
        </is>
      </c>
      <c r="E1343" s="68" t="inlineStr">
        <is>
          <t>Kiosk-LHI</t>
        </is>
      </c>
      <c r="F1343" s="68" t="inlineStr">
        <is>
          <t>独立甜品站装修</t>
        </is>
      </c>
      <c r="G1343" s="68" t="inlineStr">
        <is>
          <t>独立甜品站装修</t>
        </is>
      </c>
      <c r="H1343" s="68" t="inlineStr">
        <is>
          <t>独立甜品站-给排水</t>
        </is>
      </c>
      <c r="I1343" s="69" t="inlineStr">
        <is>
          <t>1000021936</t>
        </is>
      </c>
      <c r="J1343" s="69" t="inlineStr">
        <is>
          <t>Φ20mmPPR管</t>
        </is>
      </c>
      <c r="K1343" s="70" t="n"/>
      <c r="L1343" s="70" t="n"/>
      <c r="M1343" s="71" t="inlineStr">
        <is>
          <t>米</t>
        </is>
      </c>
      <c r="N1343" s="72" t="n">
        <v>43.34</v>
      </c>
      <c r="O1343" s="72">
        <f>ROUND(N1343*(1+$F$10),2)</f>
        <v/>
      </c>
      <c r="P1343" s="73">
        <f>ROUND(K1343*N1343,2)</f>
        <v/>
      </c>
      <c r="Q1343" s="74">
        <f>ROUND(L1343*N1343,2)</f>
        <v/>
      </c>
      <c r="R1343" s="75" t="n"/>
      <c r="S1343" s="76" t="n"/>
      <c r="T1343" s="77">
        <f>K1343-L1343</f>
        <v/>
      </c>
      <c r="U1343" s="77">
        <f>P1343-Q1343</f>
        <v/>
      </c>
      <c r="V1343" s="77">
        <f>ABS(U1343)</f>
        <v/>
      </c>
      <c r="W1343" s="78">
        <f>T1343/L1343</f>
        <v/>
      </c>
      <c r="X1343" s="79">
        <f>ABS(W1343)</f>
        <v/>
      </c>
    </row>
    <row r="1344" ht="11.4" customHeight="1">
      <c r="A1344" s="67" t="inlineStr">
        <is>
          <t>8072</t>
        </is>
      </c>
      <c r="B1344" s="67" t="inlineStr">
        <is>
          <t>1070</t>
        </is>
      </c>
      <c r="C1344" s="67" t="inlineStr">
        <is>
          <t>1613</t>
        </is>
      </c>
      <c r="D1344" s="68" t="inlineStr">
        <is>
          <t>21</t>
        </is>
      </c>
      <c r="E1344" s="68" t="inlineStr">
        <is>
          <t>Kiosk-LHI</t>
        </is>
      </c>
      <c r="F1344" s="68" t="inlineStr">
        <is>
          <t>独立甜品站装修</t>
        </is>
      </c>
      <c r="G1344" s="68" t="inlineStr">
        <is>
          <t>独立甜品站装修</t>
        </is>
      </c>
      <c r="H1344" s="68" t="inlineStr">
        <is>
          <t>独立甜品站-给排水</t>
        </is>
      </c>
      <c r="I1344" s="69" t="inlineStr">
        <is>
          <t>1000021937</t>
        </is>
      </c>
      <c r="J1344" s="69" t="inlineStr">
        <is>
          <t>Φ15mmPPR管</t>
        </is>
      </c>
      <c r="K1344" s="70" t="n"/>
      <c r="L1344" s="70" t="n"/>
      <c r="M1344" s="71" t="inlineStr">
        <is>
          <t>米</t>
        </is>
      </c>
      <c r="N1344" s="72" t="n">
        <v>39.71</v>
      </c>
      <c r="O1344" s="72">
        <f>ROUND(N1344*(1+$F$10),2)</f>
        <v/>
      </c>
      <c r="P1344" s="73">
        <f>ROUND(K1344*N1344,2)</f>
        <v/>
      </c>
      <c r="Q1344" s="74">
        <f>ROUND(L1344*N1344,2)</f>
        <v/>
      </c>
      <c r="R1344" s="75" t="n"/>
      <c r="S1344" s="76" t="n"/>
      <c r="T1344" s="77">
        <f>K1344-L1344</f>
        <v/>
      </c>
      <c r="U1344" s="77">
        <f>P1344-Q1344</f>
        <v/>
      </c>
      <c r="V1344" s="77">
        <f>ABS(U1344)</f>
        <v/>
      </c>
      <c r="W1344" s="78">
        <f>T1344/L1344</f>
        <v/>
      </c>
      <c r="X1344" s="79">
        <f>ABS(W1344)</f>
        <v/>
      </c>
    </row>
    <row r="1345" ht="11.4" customHeight="1">
      <c r="A1345" s="67" t="inlineStr">
        <is>
          <t>8072</t>
        </is>
      </c>
      <c r="B1345" s="67" t="inlineStr">
        <is>
          <t>1070</t>
        </is>
      </c>
      <c r="C1345" s="67" t="inlineStr">
        <is>
          <t>1613</t>
        </is>
      </c>
      <c r="D1345" s="68" t="inlineStr">
        <is>
          <t>21</t>
        </is>
      </c>
      <c r="E1345" s="68" t="inlineStr">
        <is>
          <t>Kiosk-LHI</t>
        </is>
      </c>
      <c r="F1345" s="68" t="inlineStr">
        <is>
          <t>独立甜品站装修</t>
        </is>
      </c>
      <c r="G1345" s="68" t="inlineStr">
        <is>
          <t>独立甜品站装修</t>
        </is>
      </c>
      <c r="H1345" s="68" t="inlineStr">
        <is>
          <t>独立甜品站-给排水</t>
        </is>
      </c>
      <c r="I1345" s="69" t="inlineStr">
        <is>
          <t>1000021940</t>
        </is>
      </c>
      <c r="J1345" s="69" t="inlineStr">
        <is>
          <t>铜阀门直径25mm</t>
        </is>
      </c>
      <c r="K1345" s="70" t="n"/>
      <c r="L1345" s="70" t="n"/>
      <c r="M1345" s="71" t="inlineStr">
        <is>
          <t>只</t>
        </is>
      </c>
      <c r="N1345" s="72" t="n">
        <v>103.5</v>
      </c>
      <c r="O1345" s="72">
        <f>ROUND(N1345*(1+$F$10),2)</f>
        <v/>
      </c>
      <c r="P1345" s="73">
        <f>ROUND(K1345*N1345,2)</f>
        <v/>
      </c>
      <c r="Q1345" s="74">
        <f>ROUND(L1345*N1345,2)</f>
        <v/>
      </c>
      <c r="R1345" s="75" t="n"/>
      <c r="S1345" s="76" t="n"/>
      <c r="T1345" s="77">
        <f>K1345-L1345</f>
        <v/>
      </c>
      <c r="U1345" s="77">
        <f>P1345-Q1345</f>
        <v/>
      </c>
      <c r="V1345" s="77">
        <f>ABS(U1345)</f>
        <v/>
      </c>
      <c r="W1345" s="78">
        <f>T1345/L1345</f>
        <v/>
      </c>
      <c r="X1345" s="79">
        <f>ABS(W1345)</f>
        <v/>
      </c>
    </row>
    <row r="1346" ht="11.4" customHeight="1">
      <c r="A1346" s="67" t="inlineStr">
        <is>
          <t>8072</t>
        </is>
      </c>
      <c r="B1346" s="67" t="inlineStr">
        <is>
          <t>1070</t>
        </is>
      </c>
      <c r="C1346" s="67" t="inlineStr">
        <is>
          <t>1613</t>
        </is>
      </c>
      <c r="D1346" s="68" t="inlineStr">
        <is>
          <t>21</t>
        </is>
      </c>
      <c r="E1346" s="68" t="inlineStr">
        <is>
          <t>Kiosk-LHI</t>
        </is>
      </c>
      <c r="F1346" s="68" t="inlineStr">
        <is>
          <t>独立甜品站装修</t>
        </is>
      </c>
      <c r="G1346" s="68" t="inlineStr">
        <is>
          <t>独立甜品站装修</t>
        </is>
      </c>
      <c r="H1346" s="68" t="inlineStr">
        <is>
          <t>独立甜品站-给排水</t>
        </is>
      </c>
      <c r="I1346" s="69" t="inlineStr">
        <is>
          <t>1000021941</t>
        </is>
      </c>
      <c r="J1346" s="69" t="inlineStr">
        <is>
          <t>铜阀门直径20mm</t>
        </is>
      </c>
      <c r="K1346" s="70" t="n"/>
      <c r="L1346" s="70" t="n"/>
      <c r="M1346" s="71" t="inlineStr">
        <is>
          <t>只</t>
        </is>
      </c>
      <c r="N1346" s="72" t="n">
        <v>76.44</v>
      </c>
      <c r="O1346" s="72">
        <f>ROUND(N1346*(1+$F$10),2)</f>
        <v/>
      </c>
      <c r="P1346" s="73">
        <f>ROUND(K1346*N1346,2)</f>
        <v/>
      </c>
      <c r="Q1346" s="74">
        <f>ROUND(L1346*N1346,2)</f>
        <v/>
      </c>
      <c r="R1346" s="75" t="n"/>
      <c r="S1346" s="76" t="n"/>
      <c r="T1346" s="77">
        <f>K1346-L1346</f>
        <v/>
      </c>
      <c r="U1346" s="77">
        <f>P1346-Q1346</f>
        <v/>
      </c>
      <c r="V1346" s="77">
        <f>ABS(U1346)</f>
        <v/>
      </c>
      <c r="W1346" s="78">
        <f>T1346/L1346</f>
        <v/>
      </c>
      <c r="X1346" s="79">
        <f>ABS(W1346)</f>
        <v/>
      </c>
    </row>
    <row r="1347" ht="11.4" customHeight="1">
      <c r="A1347" s="67" t="inlineStr">
        <is>
          <t>8072</t>
        </is>
      </c>
      <c r="B1347" s="67" t="inlineStr">
        <is>
          <t>1070</t>
        </is>
      </c>
      <c r="C1347" s="67" t="inlineStr">
        <is>
          <t>1613</t>
        </is>
      </c>
      <c r="D1347" s="68" t="inlineStr">
        <is>
          <t>21</t>
        </is>
      </c>
      <c r="E1347" s="68" t="inlineStr">
        <is>
          <t>Kiosk-LHI</t>
        </is>
      </c>
      <c r="F1347" s="68" t="inlineStr">
        <is>
          <t>独立甜品站装修</t>
        </is>
      </c>
      <c r="G1347" s="68" t="inlineStr">
        <is>
          <t>独立甜品站装修</t>
        </is>
      </c>
      <c r="H1347" s="68" t="inlineStr">
        <is>
          <t>独立甜品站-给排水</t>
        </is>
      </c>
      <c r="I1347" s="69" t="inlineStr">
        <is>
          <t>1000021942</t>
        </is>
      </c>
      <c r="J1347" s="69" t="inlineStr">
        <is>
          <t>铜阀门直径15mm</t>
        </is>
      </c>
      <c r="K1347" s="70" t="n"/>
      <c r="L1347" s="70" t="n"/>
      <c r="M1347" s="71" t="inlineStr">
        <is>
          <t>只</t>
        </is>
      </c>
      <c r="N1347" s="72" t="n">
        <v>73.14</v>
      </c>
      <c r="O1347" s="72">
        <f>ROUND(N1347*(1+$F$10),2)</f>
        <v/>
      </c>
      <c r="P1347" s="73">
        <f>ROUND(K1347*N1347,2)</f>
        <v/>
      </c>
      <c r="Q1347" s="74">
        <f>ROUND(L1347*N1347,2)</f>
        <v/>
      </c>
      <c r="R1347" s="75" t="n"/>
      <c r="S1347" s="76" t="n"/>
      <c r="T1347" s="77">
        <f>K1347-L1347</f>
        <v/>
      </c>
      <c r="U1347" s="77">
        <f>P1347-Q1347</f>
        <v/>
      </c>
      <c r="V1347" s="77">
        <f>ABS(U1347)</f>
        <v/>
      </c>
      <c r="W1347" s="78">
        <f>T1347/L1347</f>
        <v/>
      </c>
      <c r="X1347" s="79">
        <f>ABS(W1347)</f>
        <v/>
      </c>
    </row>
    <row r="1348" ht="11.4" customHeight="1">
      <c r="A1348" s="67" t="inlineStr">
        <is>
          <t>8072</t>
        </is>
      </c>
      <c r="B1348" s="67" t="inlineStr">
        <is>
          <t>1070</t>
        </is>
      </c>
      <c r="C1348" s="67" t="inlineStr">
        <is>
          <t>1613</t>
        </is>
      </c>
      <c r="D1348" s="68" t="inlineStr">
        <is>
          <t>21</t>
        </is>
      </c>
      <c r="E1348" s="68" t="inlineStr">
        <is>
          <t>Kiosk-LHI</t>
        </is>
      </c>
      <c r="F1348" s="68" t="inlineStr">
        <is>
          <t>独立甜品站装修</t>
        </is>
      </c>
      <c r="G1348" s="68" t="inlineStr">
        <is>
          <t>独立甜品站装修</t>
        </is>
      </c>
      <c r="H1348" s="68" t="inlineStr">
        <is>
          <t>独立甜品站-给排水</t>
        </is>
      </c>
      <c r="I1348" s="69" t="inlineStr">
        <is>
          <t>1000021943</t>
        </is>
      </c>
      <c r="J1348" s="69" t="inlineStr">
        <is>
          <t>水管保温</t>
        </is>
      </c>
      <c r="K1348" s="70" t="n"/>
      <c r="L1348" s="70" t="n"/>
      <c r="M1348" s="71" t="inlineStr">
        <is>
          <t>m3</t>
        </is>
      </c>
      <c r="N1348" s="72" t="n">
        <v>3308.85</v>
      </c>
      <c r="O1348" s="72">
        <f>ROUND(N1348*(1+$F$10),2)</f>
        <v/>
      </c>
      <c r="P1348" s="73">
        <f>ROUND(K1348*N1348,2)</f>
        <v/>
      </c>
      <c r="Q1348" s="74">
        <f>ROUND(L1348*N1348,2)</f>
        <v/>
      </c>
      <c r="R1348" s="75" t="n"/>
      <c r="S1348" s="76" t="n"/>
      <c r="T1348" s="77">
        <f>K1348-L1348</f>
        <v/>
      </c>
      <c r="U1348" s="77">
        <f>P1348-Q1348</f>
        <v/>
      </c>
      <c r="V1348" s="77">
        <f>ABS(U1348)</f>
        <v/>
      </c>
      <c r="W1348" s="78">
        <f>T1348/L1348</f>
        <v/>
      </c>
      <c r="X1348" s="79">
        <f>ABS(W1348)</f>
        <v/>
      </c>
    </row>
    <row r="1349" ht="11.4" customHeight="1">
      <c r="A1349" s="67" t="inlineStr">
        <is>
          <t>8072</t>
        </is>
      </c>
      <c r="B1349" s="67" t="inlineStr">
        <is>
          <t>1070</t>
        </is>
      </c>
      <c r="C1349" s="67" t="inlineStr">
        <is>
          <t>1613</t>
        </is>
      </c>
      <c r="D1349" s="68" t="inlineStr">
        <is>
          <t>21</t>
        </is>
      </c>
      <c r="E1349" s="68" t="inlineStr">
        <is>
          <t>Kiosk-LHI</t>
        </is>
      </c>
      <c r="F1349" s="68" t="inlineStr">
        <is>
          <t>独立甜品站装修</t>
        </is>
      </c>
      <c r="G1349" s="68" t="inlineStr">
        <is>
          <t>独立甜品站装修</t>
        </is>
      </c>
      <c r="H1349" s="68" t="inlineStr">
        <is>
          <t>独立甜品站-给排水</t>
        </is>
      </c>
      <c r="I1349" s="69" t="inlineStr">
        <is>
          <t>1000021944</t>
        </is>
      </c>
      <c r="J1349" s="69" t="inlineStr">
        <is>
          <t>水龙头</t>
        </is>
      </c>
      <c r="K1349" s="70" t="n"/>
      <c r="L1349" s="70" t="n"/>
      <c r="M1349" s="71" t="inlineStr">
        <is>
          <t>只</t>
        </is>
      </c>
      <c r="N1349" s="72" t="n">
        <v>35.7</v>
      </c>
      <c r="O1349" s="72">
        <f>ROUND(N1349*(1+$F$10),2)</f>
        <v/>
      </c>
      <c r="P1349" s="73">
        <f>ROUND(K1349*N1349,2)</f>
        <v/>
      </c>
      <c r="Q1349" s="74">
        <f>ROUND(L1349*N1349,2)</f>
        <v/>
      </c>
      <c r="R1349" s="75" t="n"/>
      <c r="S1349" s="76" t="n"/>
      <c r="T1349" s="77">
        <f>K1349-L1349</f>
        <v/>
      </c>
      <c r="U1349" s="77">
        <f>P1349-Q1349</f>
        <v/>
      </c>
      <c r="V1349" s="77">
        <f>ABS(U1349)</f>
        <v/>
      </c>
      <c r="W1349" s="78">
        <f>T1349/L1349</f>
        <v/>
      </c>
      <c r="X1349" s="79">
        <f>ABS(W1349)</f>
        <v/>
      </c>
    </row>
    <row r="1350" ht="11.4" customHeight="1">
      <c r="A1350" s="67" t="inlineStr">
        <is>
          <t>8072</t>
        </is>
      </c>
      <c r="B1350" s="67" t="inlineStr">
        <is>
          <t>1070</t>
        </is>
      </c>
      <c r="C1350" s="67" t="inlineStr">
        <is>
          <t>1613</t>
        </is>
      </c>
      <c r="D1350" s="68" t="inlineStr">
        <is>
          <t>21</t>
        </is>
      </c>
      <c r="E1350" s="68" t="inlineStr">
        <is>
          <t>Kiosk-LHI</t>
        </is>
      </c>
      <c r="F1350" s="68" t="inlineStr">
        <is>
          <t>独立甜品站装修</t>
        </is>
      </c>
      <c r="G1350" s="68" t="inlineStr">
        <is>
          <t>独立甜品站装修</t>
        </is>
      </c>
      <c r="H1350" s="68" t="inlineStr">
        <is>
          <t>独立甜品站-给排水</t>
        </is>
      </c>
      <c r="I1350" s="69" t="inlineStr">
        <is>
          <t>1000021945</t>
        </is>
      </c>
      <c r="J1350" s="69" t="inlineStr">
        <is>
          <t>水表（含接头）</t>
        </is>
      </c>
      <c r="K1350" s="70" t="n"/>
      <c r="L1350" s="70" t="n"/>
      <c r="M1350" s="71" t="inlineStr">
        <is>
          <t>只</t>
        </is>
      </c>
      <c r="N1350" s="72" t="n">
        <v>748.98</v>
      </c>
      <c r="O1350" s="72">
        <f>ROUND(N1350*(1+$F$10),2)</f>
        <v/>
      </c>
      <c r="P1350" s="73">
        <f>ROUND(K1350*N1350,2)</f>
        <v/>
      </c>
      <c r="Q1350" s="74">
        <f>ROUND(L1350*N1350,2)</f>
        <v/>
      </c>
      <c r="R1350" s="75" t="n"/>
      <c r="S1350" s="76" t="n"/>
      <c r="T1350" s="77">
        <f>K1350-L1350</f>
        <v/>
      </c>
      <c r="U1350" s="77">
        <f>P1350-Q1350</f>
        <v/>
      </c>
      <c r="V1350" s="77">
        <f>ABS(U1350)</f>
        <v/>
      </c>
      <c r="W1350" s="78">
        <f>T1350/L1350</f>
        <v/>
      </c>
      <c r="X1350" s="79">
        <f>ABS(W1350)</f>
        <v/>
      </c>
    </row>
    <row r="1351" ht="11.4" customHeight="1">
      <c r="A1351" s="67" t="inlineStr">
        <is>
          <t>8072</t>
        </is>
      </c>
      <c r="B1351" s="67" t="inlineStr">
        <is>
          <t>1070</t>
        </is>
      </c>
      <c r="C1351" s="67" t="inlineStr">
        <is>
          <t>1613</t>
        </is>
      </c>
      <c r="D1351" s="68" t="inlineStr">
        <is>
          <t>21</t>
        </is>
      </c>
      <c r="E1351" s="68" t="inlineStr">
        <is>
          <t>Kiosk-LHI</t>
        </is>
      </c>
      <c r="F1351" s="68" t="inlineStr">
        <is>
          <t>独立甜品站装修</t>
        </is>
      </c>
      <c r="G1351" s="68" t="inlineStr">
        <is>
          <t>独立甜品站装修</t>
        </is>
      </c>
      <c r="H1351" s="68" t="inlineStr">
        <is>
          <t>独立甜品站-给排水</t>
        </is>
      </c>
      <c r="I1351" s="69" t="inlineStr">
        <is>
          <t>1000021946</t>
        </is>
      </c>
      <c r="J1351" s="69" t="inlineStr">
        <is>
          <t>压力表（含接头）</t>
        </is>
      </c>
      <c r="K1351" s="70" t="n"/>
      <c r="L1351" s="70" t="n"/>
      <c r="M1351" s="71" t="inlineStr">
        <is>
          <t>只</t>
        </is>
      </c>
      <c r="N1351" s="72" t="n">
        <v>156.3</v>
      </c>
      <c r="O1351" s="72">
        <f>ROUND(N1351*(1+$F$10),2)</f>
        <v/>
      </c>
      <c r="P1351" s="73">
        <f>ROUND(K1351*N1351,2)</f>
        <v/>
      </c>
      <c r="Q1351" s="74">
        <f>ROUND(L1351*N1351,2)</f>
        <v/>
      </c>
      <c r="R1351" s="75" t="n"/>
      <c r="S1351" s="76" t="n"/>
      <c r="T1351" s="77">
        <f>K1351-L1351</f>
        <v/>
      </c>
      <c r="U1351" s="77">
        <f>P1351-Q1351</f>
        <v/>
      </c>
      <c r="V1351" s="77">
        <f>ABS(U1351)</f>
        <v/>
      </c>
      <c r="W1351" s="78">
        <f>T1351/L1351</f>
        <v/>
      </c>
      <c r="X1351" s="79">
        <f>ABS(W1351)</f>
        <v/>
      </c>
    </row>
    <row r="1352" ht="11.4" customHeight="1">
      <c r="A1352" s="67" t="inlineStr">
        <is>
          <t>8072</t>
        </is>
      </c>
      <c r="B1352" s="67" t="inlineStr">
        <is>
          <t>1070</t>
        </is>
      </c>
      <c r="C1352" s="67" t="inlineStr">
        <is>
          <t>1613</t>
        </is>
      </c>
      <c r="D1352" s="68" t="inlineStr">
        <is>
          <t>21</t>
        </is>
      </c>
      <c r="E1352" s="68" t="inlineStr">
        <is>
          <t>Kiosk-LHI</t>
        </is>
      </c>
      <c r="F1352" s="68" t="inlineStr">
        <is>
          <t>独立甜品站装修</t>
        </is>
      </c>
      <c r="G1352" s="68" t="inlineStr">
        <is>
          <t>独立甜品站装修</t>
        </is>
      </c>
      <c r="H1352" s="68" t="inlineStr">
        <is>
          <t>独立甜品站-给排水</t>
        </is>
      </c>
      <c r="I1352" s="69" t="inlineStr">
        <is>
          <t>1000021961</t>
        </is>
      </c>
      <c r="J1352" s="69" t="inlineStr">
        <is>
          <t>智能水表安装（不含主材，含两端接头）</t>
        </is>
      </c>
      <c r="K1352" s="70" t="n"/>
      <c r="L1352" s="70" t="n"/>
      <c r="M1352" s="71" t="inlineStr">
        <is>
          <t>只</t>
        </is>
      </c>
      <c r="N1352" s="72" t="n">
        <v>134.85</v>
      </c>
      <c r="O1352" s="72">
        <f>ROUND(N1352*(1+$F$10),2)</f>
        <v/>
      </c>
      <c r="P1352" s="73">
        <f>ROUND(K1352*N1352,2)</f>
        <v/>
      </c>
      <c r="Q1352" s="74">
        <f>ROUND(L1352*N1352,2)</f>
        <v/>
      </c>
      <c r="R1352" s="75" t="n"/>
      <c r="S1352" s="76" t="n"/>
      <c r="T1352" s="77">
        <f>K1352-L1352</f>
        <v/>
      </c>
      <c r="U1352" s="77">
        <f>P1352-Q1352</f>
        <v/>
      </c>
      <c r="V1352" s="77">
        <f>ABS(U1352)</f>
        <v/>
      </c>
      <c r="W1352" s="78">
        <f>T1352/L1352</f>
        <v/>
      </c>
      <c r="X1352" s="79">
        <f>ABS(W1352)</f>
        <v/>
      </c>
    </row>
    <row r="1353" ht="11.4" customHeight="1">
      <c r="A1353" s="67" t="inlineStr">
        <is>
          <t>8072</t>
        </is>
      </c>
      <c r="B1353" s="67" t="inlineStr">
        <is>
          <t>1070</t>
        </is>
      </c>
      <c r="C1353" s="67" t="inlineStr">
        <is>
          <t>1613</t>
        </is>
      </c>
      <c r="D1353" s="68" t="inlineStr">
        <is>
          <t>21</t>
        </is>
      </c>
      <c r="E1353" s="68" t="inlineStr">
        <is>
          <t>Kiosk-LHI</t>
        </is>
      </c>
      <c r="F1353" s="68" t="inlineStr">
        <is>
          <t>独立甜品站装修</t>
        </is>
      </c>
      <c r="G1353" s="68" t="inlineStr">
        <is>
          <t>独立甜品站装修</t>
        </is>
      </c>
      <c r="H1353" s="68" t="inlineStr">
        <is>
          <t>独立甜品站-给排水</t>
        </is>
      </c>
      <c r="I1353" s="69" t="inlineStr">
        <is>
          <t>1000021579</t>
        </is>
      </c>
      <c r="J1353" s="69" t="inlineStr">
        <is>
          <t>智能水表（DN50）</t>
        </is>
      </c>
      <c r="K1353" s="70" t="n"/>
      <c r="L1353" s="70" t="n"/>
      <c r="M1353" s="71" t="inlineStr">
        <is>
          <t>只</t>
        </is>
      </c>
      <c r="N1353" s="72" t="n">
        <v>416.64</v>
      </c>
      <c r="O1353" s="72">
        <f>ROUND(N1353*(1+$F$10),2)</f>
        <v/>
      </c>
      <c r="P1353" s="73">
        <f>ROUND(K1353*N1353,2)</f>
        <v/>
      </c>
      <c r="Q1353" s="74">
        <f>ROUND(L1353*N1353,2)</f>
        <v/>
      </c>
      <c r="R1353" s="75" t="n"/>
      <c r="S1353" s="76" t="n"/>
      <c r="T1353" s="77">
        <f>K1353-L1353</f>
        <v/>
      </c>
      <c r="U1353" s="77">
        <f>P1353-Q1353</f>
        <v/>
      </c>
      <c r="V1353" s="77">
        <f>ABS(U1353)</f>
        <v/>
      </c>
      <c r="W1353" s="78">
        <f>T1353/L1353</f>
        <v/>
      </c>
      <c r="X1353" s="79">
        <f>ABS(W1353)</f>
        <v/>
      </c>
    </row>
    <row r="1354" ht="11.4" customHeight="1">
      <c r="A1354" s="67" t="inlineStr">
        <is>
          <t>8072</t>
        </is>
      </c>
      <c r="B1354" s="67" t="inlineStr">
        <is>
          <t>1070</t>
        </is>
      </c>
      <c r="C1354" s="67" t="inlineStr">
        <is>
          <t>1613</t>
        </is>
      </c>
      <c r="D1354" s="68" t="inlineStr">
        <is>
          <t>21</t>
        </is>
      </c>
      <c r="E1354" s="68" t="inlineStr">
        <is>
          <t>Kiosk-LHI</t>
        </is>
      </c>
      <c r="F1354" s="68" t="inlineStr">
        <is>
          <t>独立甜品站装修</t>
        </is>
      </c>
      <c r="G1354" s="68" t="inlineStr">
        <is>
          <t>独立甜品站装修</t>
        </is>
      </c>
      <c r="H1354" s="68" t="inlineStr">
        <is>
          <t>独立甜品站-给排水</t>
        </is>
      </c>
      <c r="I1354" s="69" t="inlineStr">
        <is>
          <t>1000021712</t>
        </is>
      </c>
      <c r="J1354" s="69" t="inlineStr">
        <is>
          <t>智能水表（DN40）</t>
        </is>
      </c>
      <c r="K1354" s="70" t="n"/>
      <c r="L1354" s="70" t="n"/>
      <c r="M1354" s="71" t="inlineStr">
        <is>
          <t>只</t>
        </is>
      </c>
      <c r="N1354" s="72" t="n">
        <v>454.51</v>
      </c>
      <c r="O1354" s="72">
        <f>ROUND(N1354*(1+$F$10),2)</f>
        <v/>
      </c>
      <c r="P1354" s="73">
        <f>ROUND(K1354*N1354,2)</f>
        <v/>
      </c>
      <c r="Q1354" s="74">
        <f>ROUND(L1354*N1354,2)</f>
        <v/>
      </c>
      <c r="R1354" s="75" t="n"/>
      <c r="S1354" s="76" t="n"/>
      <c r="T1354" s="77">
        <f>K1354-L1354</f>
        <v/>
      </c>
      <c r="U1354" s="77">
        <f>P1354-Q1354</f>
        <v/>
      </c>
      <c r="V1354" s="77">
        <f>ABS(U1354)</f>
        <v/>
      </c>
      <c r="W1354" s="78">
        <f>T1354/L1354</f>
        <v/>
      </c>
      <c r="X1354" s="79">
        <f>ABS(W1354)</f>
        <v/>
      </c>
    </row>
    <row r="1355" ht="11.4" customHeight="1">
      <c r="A1355" s="67" t="inlineStr">
        <is>
          <t>8072</t>
        </is>
      </c>
      <c r="B1355" s="67" t="inlineStr">
        <is>
          <t>1070</t>
        </is>
      </c>
      <c r="C1355" s="67" t="inlineStr">
        <is>
          <t>1613</t>
        </is>
      </c>
      <c r="D1355" s="68" t="inlineStr">
        <is>
          <t>21</t>
        </is>
      </c>
      <c r="E1355" s="68" t="inlineStr">
        <is>
          <t>Kiosk-LHI</t>
        </is>
      </c>
      <c r="F1355" s="68" t="inlineStr">
        <is>
          <t>独立甜品站装修</t>
        </is>
      </c>
      <c r="G1355" s="68" t="inlineStr">
        <is>
          <t>独立甜品站装修</t>
        </is>
      </c>
      <c r="H1355" s="68" t="inlineStr">
        <is>
          <t>独立甜品站-给排水</t>
        </is>
      </c>
      <c r="I1355" s="69" t="inlineStr">
        <is>
          <t>1000021580</t>
        </is>
      </c>
      <c r="J1355" s="69" t="inlineStr">
        <is>
          <t>智能水表（DN25）</t>
        </is>
      </c>
      <c r="K1355" s="70" t="n"/>
      <c r="L1355" s="70" t="n"/>
      <c r="M1355" s="71" t="inlineStr">
        <is>
          <t>只</t>
        </is>
      </c>
      <c r="N1355" s="72" t="n">
        <v>236.73</v>
      </c>
      <c r="O1355" s="72">
        <f>ROUND(N1355*(1+$F$10),2)</f>
        <v/>
      </c>
      <c r="P1355" s="73">
        <f>ROUND(K1355*N1355,2)</f>
        <v/>
      </c>
      <c r="Q1355" s="74">
        <f>ROUND(L1355*N1355,2)</f>
        <v/>
      </c>
      <c r="R1355" s="75" t="n"/>
      <c r="S1355" s="76" t="n"/>
      <c r="T1355" s="77">
        <f>K1355-L1355</f>
        <v/>
      </c>
      <c r="U1355" s="77">
        <f>P1355-Q1355</f>
        <v/>
      </c>
      <c r="V1355" s="77">
        <f>ABS(U1355)</f>
        <v/>
      </c>
      <c r="W1355" s="78">
        <f>T1355/L1355</f>
        <v/>
      </c>
      <c r="X1355" s="79">
        <f>ABS(W1355)</f>
        <v/>
      </c>
    </row>
    <row r="1356" ht="11.4" customHeight="1">
      <c r="A1356" s="67" t="inlineStr">
        <is>
          <t>8072</t>
        </is>
      </c>
      <c r="B1356" s="67" t="inlineStr">
        <is>
          <t>1070</t>
        </is>
      </c>
      <c r="C1356" s="67" t="inlineStr">
        <is>
          <t>1613</t>
        </is>
      </c>
      <c r="D1356" s="68" t="inlineStr">
        <is>
          <t>21</t>
        </is>
      </c>
      <c r="E1356" s="68" t="inlineStr">
        <is>
          <t>Kiosk-LHI</t>
        </is>
      </c>
      <c r="F1356" s="68" t="inlineStr">
        <is>
          <t>独立甜品站装修</t>
        </is>
      </c>
      <c r="G1356" s="68" t="inlineStr">
        <is>
          <t>独立甜品站装修</t>
        </is>
      </c>
      <c r="H1356" s="68" t="inlineStr">
        <is>
          <t>独立甜品站-给排水</t>
        </is>
      </c>
      <c r="I1356" s="69" t="inlineStr">
        <is>
          <t>1000021947</t>
        </is>
      </c>
      <c r="J1356" s="69" t="inlineStr">
        <is>
          <t>拖把池制作安装</t>
        </is>
      </c>
      <c r="K1356" s="70" t="n"/>
      <c r="L1356" s="70" t="n"/>
      <c r="M1356" s="71" t="inlineStr">
        <is>
          <t>只</t>
        </is>
      </c>
      <c r="N1356" s="72" t="n">
        <v>661.3099999999999</v>
      </c>
      <c r="O1356" s="72">
        <f>ROUND(N1356*(1+$F$10),2)</f>
        <v/>
      </c>
      <c r="P1356" s="73">
        <f>ROUND(K1356*N1356,2)</f>
        <v/>
      </c>
      <c r="Q1356" s="74">
        <f>ROUND(L1356*N1356,2)</f>
        <v/>
      </c>
      <c r="R1356" s="75" t="n"/>
      <c r="S1356" s="76" t="n"/>
      <c r="T1356" s="77">
        <f>K1356-L1356</f>
        <v/>
      </c>
      <c r="U1356" s="77">
        <f>P1356-Q1356</f>
        <v/>
      </c>
      <c r="V1356" s="77">
        <f>ABS(U1356)</f>
        <v/>
      </c>
      <c r="W1356" s="78">
        <f>T1356/L1356</f>
        <v/>
      </c>
      <c r="X1356" s="79">
        <f>ABS(W1356)</f>
        <v/>
      </c>
    </row>
    <row r="1357" ht="11.4" customHeight="1">
      <c r="A1357" s="67" t="inlineStr">
        <is>
          <t>8072</t>
        </is>
      </c>
      <c r="B1357" s="67" t="inlineStr">
        <is>
          <t>1070</t>
        </is>
      </c>
      <c r="C1357" s="67" t="inlineStr">
        <is>
          <t>1613</t>
        </is>
      </c>
      <c r="D1357" s="68" t="inlineStr">
        <is>
          <t>21</t>
        </is>
      </c>
      <c r="E1357" s="68" t="inlineStr">
        <is>
          <t>Kiosk-LHI</t>
        </is>
      </c>
      <c r="F1357" s="68" t="inlineStr">
        <is>
          <t>独立甜品站装修</t>
        </is>
      </c>
      <c r="G1357" s="68" t="inlineStr">
        <is>
          <t>独立甜品站装修</t>
        </is>
      </c>
      <c r="H1357" s="68" t="inlineStr">
        <is>
          <t>独立甜品站-给排水</t>
        </is>
      </c>
      <c r="I1357" s="69" t="inlineStr">
        <is>
          <t>1000021576</t>
        </is>
      </c>
      <c r="J1357" s="69" t="inlineStr">
        <is>
          <t>员工洗手盆连感应龙头-LEED认证</t>
        </is>
      </c>
      <c r="K1357" s="70" t="n"/>
      <c r="L1357" s="70" t="n"/>
      <c r="M1357" s="71" t="inlineStr">
        <is>
          <t>套</t>
        </is>
      </c>
      <c r="N1357" s="72" t="n">
        <v>2295.03</v>
      </c>
      <c r="O1357" s="72">
        <f>ROUND(N1357*(1+$F$10),2)</f>
        <v/>
      </c>
      <c r="P1357" s="73">
        <f>ROUND(K1357*N1357,2)</f>
        <v/>
      </c>
      <c r="Q1357" s="74">
        <f>ROUND(L1357*N1357,2)</f>
        <v/>
      </c>
      <c r="R1357" s="75" t="n"/>
      <c r="S1357" s="76" t="n"/>
      <c r="T1357" s="77">
        <f>K1357-L1357</f>
        <v/>
      </c>
      <c r="U1357" s="77">
        <f>P1357-Q1357</f>
        <v/>
      </c>
      <c r="V1357" s="77">
        <f>ABS(U1357)</f>
        <v/>
      </c>
      <c r="W1357" s="78">
        <f>T1357/L1357</f>
        <v/>
      </c>
      <c r="X1357" s="79">
        <f>ABS(W1357)</f>
        <v/>
      </c>
    </row>
    <row r="1358" ht="11.4" customHeight="1">
      <c r="A1358" s="67" t="inlineStr">
        <is>
          <t>8072</t>
        </is>
      </c>
      <c r="B1358" s="67" t="inlineStr">
        <is>
          <t>1070</t>
        </is>
      </c>
      <c r="C1358" s="67" t="inlineStr">
        <is>
          <t>1613</t>
        </is>
      </c>
      <c r="D1358" s="68" t="inlineStr">
        <is>
          <t>21</t>
        </is>
      </c>
      <c r="E1358" s="68" t="inlineStr">
        <is>
          <t>Kiosk-LHI</t>
        </is>
      </c>
      <c r="F1358" s="68" t="inlineStr">
        <is>
          <t>独立甜品站装修</t>
        </is>
      </c>
      <c r="G1358" s="68" t="inlineStr">
        <is>
          <t>独立甜品站装修</t>
        </is>
      </c>
      <c r="H1358" s="68" t="inlineStr">
        <is>
          <t>独立甜品站-给排水</t>
        </is>
      </c>
      <c r="I1358" s="69" t="inlineStr">
        <is>
          <t>1000022143</t>
        </is>
      </c>
      <c r="J1358" s="69" t="inlineStr">
        <is>
          <t>安装电热水器含底座 (不含热水器主材)</t>
        </is>
      </c>
      <c r="K1358" s="70" t="n"/>
      <c r="L1358" s="70" t="n"/>
      <c r="M1358" s="71" t="inlineStr">
        <is>
          <t>项</t>
        </is>
      </c>
      <c r="N1358" s="72" t="n">
        <v>1057.53</v>
      </c>
      <c r="O1358" s="72">
        <f>ROUND(N1358*(1+$F$10),2)</f>
        <v/>
      </c>
      <c r="P1358" s="73">
        <f>ROUND(K1358*N1358,2)</f>
        <v/>
      </c>
      <c r="Q1358" s="74">
        <f>ROUND(L1358*N1358,2)</f>
        <v/>
      </c>
      <c r="R1358" s="75" t="n"/>
      <c r="S1358" s="76" t="n"/>
      <c r="T1358" s="77">
        <f>K1358-L1358</f>
        <v/>
      </c>
      <c r="U1358" s="77">
        <f>P1358-Q1358</f>
        <v/>
      </c>
      <c r="V1358" s="77">
        <f>ABS(U1358)</f>
        <v/>
      </c>
      <c r="W1358" s="78">
        <f>T1358/L1358</f>
        <v/>
      </c>
      <c r="X1358" s="79">
        <f>ABS(W1358)</f>
        <v/>
      </c>
    </row>
    <row r="1359" ht="11.4" customHeight="1">
      <c r="A1359" s="67" t="inlineStr">
        <is>
          <t>8072</t>
        </is>
      </c>
      <c r="B1359" s="67" t="inlineStr">
        <is>
          <t>1070</t>
        </is>
      </c>
      <c r="C1359" s="67" t="inlineStr">
        <is>
          <t>1613</t>
        </is>
      </c>
      <c r="D1359" s="68" t="inlineStr">
        <is>
          <t>21</t>
        </is>
      </c>
      <c r="E1359" s="68" t="inlineStr">
        <is>
          <t>Kiosk-LHI</t>
        </is>
      </c>
      <c r="F1359" s="68" t="inlineStr">
        <is>
          <t>独立甜品站装修</t>
        </is>
      </c>
      <c r="G1359" s="68" t="inlineStr">
        <is>
          <t>独立甜品站装修</t>
        </is>
      </c>
      <c r="H1359" s="68" t="inlineStr">
        <is>
          <t>独立甜品站-给排水</t>
        </is>
      </c>
      <c r="I1359" s="69" t="inlineStr">
        <is>
          <t>1000021955</t>
        </is>
      </c>
      <c r="J1359" s="69" t="inlineStr">
        <is>
          <t>Φ 110UPVC排水管</t>
        </is>
      </c>
      <c r="K1359" s="70" t="n"/>
      <c r="L1359" s="70" t="n"/>
      <c r="M1359" s="71" t="inlineStr">
        <is>
          <t>米</t>
        </is>
      </c>
      <c r="N1359" s="72" t="n">
        <v>56.91</v>
      </c>
      <c r="O1359" s="72">
        <f>ROUND(N1359*(1+$F$10),2)</f>
        <v/>
      </c>
      <c r="P1359" s="73">
        <f>ROUND(K1359*N1359,2)</f>
        <v/>
      </c>
      <c r="Q1359" s="74">
        <f>ROUND(L1359*N1359,2)</f>
        <v/>
      </c>
      <c r="R1359" s="75" t="n"/>
      <c r="S1359" s="76" t="n"/>
      <c r="T1359" s="77">
        <f>K1359-L1359</f>
        <v/>
      </c>
      <c r="U1359" s="77">
        <f>P1359-Q1359</f>
        <v/>
      </c>
      <c r="V1359" s="77">
        <f>ABS(U1359)</f>
        <v/>
      </c>
      <c r="W1359" s="78">
        <f>T1359/L1359</f>
        <v/>
      </c>
      <c r="X1359" s="79">
        <f>ABS(W1359)</f>
        <v/>
      </c>
    </row>
    <row r="1360" ht="11.4" customHeight="1">
      <c r="A1360" s="67" t="inlineStr">
        <is>
          <t>8072</t>
        </is>
      </c>
      <c r="B1360" s="67" t="inlineStr">
        <is>
          <t>1070</t>
        </is>
      </c>
      <c r="C1360" s="67" t="inlineStr">
        <is>
          <t>1613</t>
        </is>
      </c>
      <c r="D1360" s="68" t="inlineStr">
        <is>
          <t>21</t>
        </is>
      </c>
      <c r="E1360" s="68" t="inlineStr">
        <is>
          <t>Kiosk-LHI</t>
        </is>
      </c>
      <c r="F1360" s="68" t="inlineStr">
        <is>
          <t>独立甜品站装修</t>
        </is>
      </c>
      <c r="G1360" s="68" t="inlineStr">
        <is>
          <t>独立甜品站装修</t>
        </is>
      </c>
      <c r="H1360" s="68" t="inlineStr">
        <is>
          <t>独立甜品站-给排水</t>
        </is>
      </c>
      <c r="I1360" s="69" t="inlineStr">
        <is>
          <t>1000021956</t>
        </is>
      </c>
      <c r="J1360" s="69" t="inlineStr">
        <is>
          <t>Φ 75UPVC排水管</t>
        </is>
      </c>
      <c r="K1360" s="70" t="n"/>
      <c r="L1360" s="70" t="n"/>
      <c r="M1360" s="71" t="inlineStr">
        <is>
          <t>米</t>
        </is>
      </c>
      <c r="N1360" s="72" t="n">
        <v>39.03</v>
      </c>
      <c r="O1360" s="72">
        <f>ROUND(N1360*(1+$F$10),2)</f>
        <v/>
      </c>
      <c r="P1360" s="73">
        <f>ROUND(K1360*N1360,2)</f>
        <v/>
      </c>
      <c r="Q1360" s="74">
        <f>ROUND(L1360*N1360,2)</f>
        <v/>
      </c>
      <c r="R1360" s="75" t="n"/>
      <c r="S1360" s="76" t="n"/>
      <c r="T1360" s="77">
        <f>K1360-L1360</f>
        <v/>
      </c>
      <c r="U1360" s="77">
        <f>P1360-Q1360</f>
        <v/>
      </c>
      <c r="V1360" s="77">
        <f>ABS(U1360)</f>
        <v/>
      </c>
      <c r="W1360" s="78">
        <f>T1360/L1360</f>
        <v/>
      </c>
      <c r="X1360" s="79">
        <f>ABS(W1360)</f>
        <v/>
      </c>
    </row>
    <row r="1361" ht="11.4" customHeight="1">
      <c r="A1361" s="67" t="inlineStr">
        <is>
          <t>8072</t>
        </is>
      </c>
      <c r="B1361" s="67" t="inlineStr">
        <is>
          <t>1070</t>
        </is>
      </c>
      <c r="C1361" s="67" t="inlineStr">
        <is>
          <t>1613</t>
        </is>
      </c>
      <c r="D1361" s="68" t="inlineStr">
        <is>
          <t>21</t>
        </is>
      </c>
      <c r="E1361" s="68" t="inlineStr">
        <is>
          <t>Kiosk-LHI</t>
        </is>
      </c>
      <c r="F1361" s="68" t="inlineStr">
        <is>
          <t>独立甜品站装修</t>
        </is>
      </c>
      <c r="G1361" s="68" t="inlineStr">
        <is>
          <t>独立甜品站装修</t>
        </is>
      </c>
      <c r="H1361" s="68" t="inlineStr">
        <is>
          <t>独立甜品站-给排水</t>
        </is>
      </c>
      <c r="I1361" s="69" t="inlineStr">
        <is>
          <t>1000022144</t>
        </is>
      </c>
      <c r="J1361" s="69" t="inlineStr">
        <is>
          <t>Φ 50UPVC排水管及透气管</t>
        </is>
      </c>
      <c r="K1361" s="70" t="n"/>
      <c r="L1361" s="70" t="n"/>
      <c r="M1361" s="71" t="inlineStr">
        <is>
          <t>米</t>
        </is>
      </c>
      <c r="N1361" s="72" t="n">
        <v>22.86</v>
      </c>
      <c r="O1361" s="72">
        <f>ROUND(N1361*(1+$F$10),2)</f>
        <v/>
      </c>
      <c r="P1361" s="73">
        <f>ROUND(K1361*N1361,2)</f>
        <v/>
      </c>
      <c r="Q1361" s="74">
        <f>ROUND(L1361*N1361,2)</f>
        <v/>
      </c>
      <c r="R1361" s="75" t="n"/>
      <c r="S1361" s="76" t="n"/>
      <c r="T1361" s="77">
        <f>K1361-L1361</f>
        <v/>
      </c>
      <c r="U1361" s="77">
        <f>P1361-Q1361</f>
        <v/>
      </c>
      <c r="V1361" s="77">
        <f>ABS(U1361)</f>
        <v/>
      </c>
      <c r="W1361" s="78">
        <f>T1361/L1361</f>
        <v/>
      </c>
      <c r="X1361" s="79">
        <f>ABS(W1361)</f>
        <v/>
      </c>
    </row>
    <row r="1362" ht="11.4" customHeight="1">
      <c r="A1362" s="67" t="inlineStr">
        <is>
          <t>8072</t>
        </is>
      </c>
      <c r="B1362" s="67" t="inlineStr">
        <is>
          <t>1070</t>
        </is>
      </c>
      <c r="C1362" s="67" t="inlineStr">
        <is>
          <t>1613</t>
        </is>
      </c>
      <c r="D1362" s="68" t="inlineStr">
        <is>
          <t>21</t>
        </is>
      </c>
      <c r="E1362" s="68" t="inlineStr">
        <is>
          <t>Kiosk-LHI</t>
        </is>
      </c>
      <c r="F1362" s="68" t="inlineStr">
        <is>
          <t>独立甜品站装修</t>
        </is>
      </c>
      <c r="G1362" s="68" t="inlineStr">
        <is>
          <t>独立甜品站装修</t>
        </is>
      </c>
      <c r="H1362" s="68" t="inlineStr">
        <is>
          <t>独立甜品站-给排水</t>
        </is>
      </c>
      <c r="I1362" s="69" t="inlineStr">
        <is>
          <t>1000021577</t>
        </is>
      </c>
      <c r="J1362" s="69" t="inlineStr">
        <is>
          <t>不锈钢四防地漏</t>
        </is>
      </c>
      <c r="K1362" s="70" t="n"/>
      <c r="L1362" s="70" t="n"/>
      <c r="M1362" s="71" t="inlineStr">
        <is>
          <t>只</t>
        </is>
      </c>
      <c r="N1362" s="72" t="n">
        <v>196.45</v>
      </c>
      <c r="O1362" s="72">
        <f>ROUND(N1362*(1+$F$10),2)</f>
        <v/>
      </c>
      <c r="P1362" s="73">
        <f>ROUND(K1362*N1362,2)</f>
        <v/>
      </c>
      <c r="Q1362" s="74">
        <f>ROUND(L1362*N1362,2)</f>
        <v/>
      </c>
      <c r="R1362" s="75" t="n"/>
      <c r="S1362" s="76" t="n"/>
      <c r="T1362" s="77">
        <f>K1362-L1362</f>
        <v/>
      </c>
      <c r="U1362" s="77">
        <f>P1362-Q1362</f>
        <v/>
      </c>
      <c r="V1362" s="77">
        <f>ABS(U1362)</f>
        <v/>
      </c>
      <c r="W1362" s="78">
        <f>T1362/L1362</f>
        <v/>
      </c>
      <c r="X1362" s="79">
        <f>ABS(W1362)</f>
        <v/>
      </c>
    </row>
    <row r="1363" ht="11.4" customHeight="1">
      <c r="A1363" s="67" t="inlineStr">
        <is>
          <t>8072</t>
        </is>
      </c>
      <c r="B1363" s="67" t="inlineStr">
        <is>
          <t>1070</t>
        </is>
      </c>
      <c r="C1363" s="67" t="inlineStr">
        <is>
          <t>1613</t>
        </is>
      </c>
      <c r="D1363" s="68" t="inlineStr">
        <is>
          <t>21</t>
        </is>
      </c>
      <c r="E1363" s="68" t="inlineStr">
        <is>
          <t>Kiosk-LHI</t>
        </is>
      </c>
      <c r="F1363" s="68" t="inlineStr">
        <is>
          <t>独立甜品站装修</t>
        </is>
      </c>
      <c r="G1363" s="68" t="inlineStr">
        <is>
          <t>独立甜品站装修</t>
        </is>
      </c>
      <c r="H1363" s="68" t="inlineStr">
        <is>
          <t>独立甜品站-给排水</t>
        </is>
      </c>
      <c r="I1363" s="69" t="inlineStr">
        <is>
          <t>1000021578</t>
        </is>
      </c>
      <c r="J1363" s="69" t="inlineStr">
        <is>
          <t>杯型地漏</t>
        </is>
      </c>
      <c r="K1363" s="70" t="n"/>
      <c r="L1363" s="70" t="n"/>
      <c r="M1363" s="71" t="inlineStr">
        <is>
          <t>只</t>
        </is>
      </c>
      <c r="N1363" s="72" t="n">
        <v>245.17</v>
      </c>
      <c r="O1363" s="72">
        <f>ROUND(N1363*(1+$F$10),2)</f>
        <v/>
      </c>
      <c r="P1363" s="73">
        <f>ROUND(K1363*N1363,2)</f>
        <v/>
      </c>
      <c r="Q1363" s="74">
        <f>ROUND(L1363*N1363,2)</f>
        <v/>
      </c>
      <c r="R1363" s="75" t="n"/>
      <c r="S1363" s="76" t="n"/>
      <c r="T1363" s="77">
        <f>K1363-L1363</f>
        <v/>
      </c>
      <c r="U1363" s="77">
        <f>P1363-Q1363</f>
        <v/>
      </c>
      <c r="V1363" s="77">
        <f>ABS(U1363)</f>
        <v/>
      </c>
      <c r="W1363" s="78">
        <f>T1363/L1363</f>
        <v/>
      </c>
      <c r="X1363" s="79">
        <f>ABS(W1363)</f>
        <v/>
      </c>
    </row>
    <row r="1364" ht="11.4" customHeight="1">
      <c r="A1364" s="67" t="inlineStr">
        <is>
          <t>8072</t>
        </is>
      </c>
      <c r="B1364" s="67" t="inlineStr">
        <is>
          <t>1070</t>
        </is>
      </c>
      <c r="C1364" s="67" t="inlineStr">
        <is>
          <t>1613</t>
        </is>
      </c>
      <c r="D1364" s="68" t="inlineStr">
        <is>
          <t>21</t>
        </is>
      </c>
      <c r="E1364" s="68" t="inlineStr">
        <is>
          <t>Kiosk-LHI</t>
        </is>
      </c>
      <c r="F1364" s="68" t="inlineStr">
        <is>
          <t>独立甜品站装修</t>
        </is>
      </c>
      <c r="G1364" s="68" t="inlineStr">
        <is>
          <t>独立甜品站装修</t>
        </is>
      </c>
      <c r="H1364" s="68" t="inlineStr">
        <is>
          <t>独立甜品站-给排水</t>
        </is>
      </c>
      <c r="I1364" s="69" t="inlineStr">
        <is>
          <t>1000021960</t>
        </is>
      </c>
      <c r="J1364" s="69" t="inlineStr">
        <is>
          <t>清扫口</t>
        </is>
      </c>
      <c r="K1364" s="70" t="n"/>
      <c r="L1364" s="70" t="n"/>
      <c r="M1364" s="71" t="inlineStr">
        <is>
          <t>只</t>
        </is>
      </c>
      <c r="N1364" s="72" t="n">
        <v>29.9</v>
      </c>
      <c r="O1364" s="72">
        <f>ROUND(N1364*(1+$F$10),2)</f>
        <v/>
      </c>
      <c r="P1364" s="73">
        <f>ROUND(K1364*N1364,2)</f>
        <v/>
      </c>
      <c r="Q1364" s="74">
        <f>ROUND(L1364*N1364,2)</f>
        <v/>
      </c>
      <c r="R1364" s="75" t="n"/>
      <c r="S1364" s="76" t="n"/>
      <c r="T1364" s="77">
        <f>K1364-L1364</f>
        <v/>
      </c>
      <c r="U1364" s="77">
        <f>P1364-Q1364</f>
        <v/>
      </c>
      <c r="V1364" s="77">
        <f>ABS(U1364)</f>
        <v/>
      </c>
      <c r="W1364" s="78">
        <f>T1364/L1364</f>
        <v/>
      </c>
      <c r="X1364" s="79">
        <f>ABS(W1364)</f>
        <v/>
      </c>
    </row>
    <row r="1365" ht="11.4" customHeight="1">
      <c r="A1365" s="67" t="inlineStr">
        <is>
          <t>8072</t>
        </is>
      </c>
      <c r="B1365" s="67" t="inlineStr">
        <is>
          <t>1070</t>
        </is>
      </c>
      <c r="C1365" s="67" t="inlineStr">
        <is>
          <t>1613</t>
        </is>
      </c>
      <c r="D1365" s="68" t="inlineStr">
        <is>
          <t>21</t>
        </is>
      </c>
      <c r="E1365" s="68" t="inlineStr">
        <is>
          <t>Kiosk-LHI</t>
        </is>
      </c>
      <c r="F1365" s="68" t="inlineStr">
        <is>
          <t>独立甜品站装修</t>
        </is>
      </c>
      <c r="G1365" s="68" t="inlineStr">
        <is>
          <t>独立甜品站装修</t>
        </is>
      </c>
      <c r="H1365" s="68" t="inlineStr">
        <is>
          <t>独立甜品站-给排水</t>
        </is>
      </c>
      <c r="I1365" s="69" t="inlineStr">
        <is>
          <t>1000022145</t>
        </is>
      </c>
      <c r="J1365" s="69" t="inlineStr">
        <is>
          <t>积水盘</t>
        </is>
      </c>
      <c r="K1365" s="70" t="n"/>
      <c r="L1365" s="70" t="n"/>
      <c r="M1365" s="71" t="inlineStr">
        <is>
          <t>只</t>
        </is>
      </c>
      <c r="N1365" s="72" t="n">
        <v>380</v>
      </c>
      <c r="O1365" s="72">
        <f>ROUND(N1365*(1+$F$10),2)</f>
        <v/>
      </c>
      <c r="P1365" s="73">
        <f>ROUND(K1365*N1365,2)</f>
        <v/>
      </c>
      <c r="Q1365" s="74">
        <f>ROUND(L1365*N1365,2)</f>
        <v/>
      </c>
      <c r="R1365" s="75" t="n"/>
      <c r="S1365" s="76" t="n"/>
      <c r="T1365" s="77">
        <f>K1365-L1365</f>
        <v/>
      </c>
      <c r="U1365" s="77">
        <f>P1365-Q1365</f>
        <v/>
      </c>
      <c r="V1365" s="77">
        <f>ABS(U1365)</f>
        <v/>
      </c>
      <c r="W1365" s="78">
        <f>T1365/L1365</f>
        <v/>
      </c>
      <c r="X1365" s="79">
        <f>ABS(W1365)</f>
        <v/>
      </c>
    </row>
    <row r="1366" ht="11.4" customHeight="1">
      <c r="A1366" s="67" t="inlineStr">
        <is>
          <t>8144</t>
        </is>
      </c>
      <c r="B1366" s="67" t="inlineStr">
        <is>
          <t>1150</t>
        </is>
      </c>
      <c r="C1366" s="67" t="inlineStr">
        <is>
          <t>8491</t>
        </is>
      </c>
      <c r="D1366" s="68" t="inlineStr">
        <is>
          <t>21</t>
        </is>
      </c>
      <c r="E1366" s="68" t="inlineStr">
        <is>
          <t>Kiosk-LHI</t>
        </is>
      </c>
      <c r="F1366" s="68" t="inlineStr">
        <is>
          <t>独立甜品站装修</t>
        </is>
      </c>
      <c r="G1366" s="68" t="inlineStr">
        <is>
          <t>独立甜品站装修</t>
        </is>
      </c>
      <c r="H1366" s="68" t="inlineStr">
        <is>
          <t>独立甜品站-空调</t>
        </is>
      </c>
      <c r="I1366" s="69" t="inlineStr">
        <is>
          <t>1000022146</t>
        </is>
      </c>
      <c r="J1366" s="69" t="inlineStr">
        <is>
          <t>1.5匹空调机（安装+主材+电源+冷媒）</t>
        </is>
      </c>
      <c r="K1366" s="70" t="n"/>
      <c r="L1366" s="70" t="n"/>
      <c r="M1366" s="71" t="inlineStr">
        <is>
          <t>套</t>
        </is>
      </c>
      <c r="N1366" s="72" t="n">
        <v>2311.09</v>
      </c>
      <c r="O1366" s="72">
        <f>ROUND(N1366*(1+$F$10),2)</f>
        <v/>
      </c>
      <c r="P1366" s="73">
        <f>ROUND(K1366*N1366,2)</f>
        <v/>
      </c>
      <c r="Q1366" s="74">
        <f>ROUND(L1366*N1366,2)</f>
        <v/>
      </c>
      <c r="R1366" s="75" t="n"/>
      <c r="S1366" s="76" t="n"/>
      <c r="T1366" s="77">
        <f>K1366-L1366</f>
        <v/>
      </c>
      <c r="U1366" s="77">
        <f>P1366-Q1366</f>
        <v/>
      </c>
      <c r="V1366" s="77">
        <f>ABS(U1366)</f>
        <v/>
      </c>
      <c r="W1366" s="78">
        <f>T1366/L1366</f>
        <v/>
      </c>
      <c r="X1366" s="79">
        <f>ABS(W1366)</f>
        <v/>
      </c>
    </row>
    <row r="1367" ht="11.4" customHeight="1">
      <c r="A1367" s="67" t="inlineStr">
        <is>
          <t>8073</t>
        </is>
      </c>
      <c r="B1367" s="67" t="inlineStr">
        <is>
          <t>1071</t>
        </is>
      </c>
      <c r="C1367" s="67" t="inlineStr">
        <is>
          <t>1614</t>
        </is>
      </c>
      <c r="D1367" s="68" t="inlineStr">
        <is>
          <t>21</t>
        </is>
      </c>
      <c r="E1367" s="68" t="inlineStr">
        <is>
          <t>Kiosk-LHI</t>
        </is>
      </c>
      <c r="F1367" s="68" t="inlineStr">
        <is>
          <t>独立甜品站装修</t>
        </is>
      </c>
      <c r="G1367" s="68" t="inlineStr">
        <is>
          <t>独立甜品站装修</t>
        </is>
      </c>
      <c r="H1367" s="68" t="inlineStr">
        <is>
          <t>独立甜品站-空调</t>
        </is>
      </c>
      <c r="I1367" s="69" t="inlineStr">
        <is>
          <t>1000022150</t>
        </is>
      </c>
      <c r="J1367" s="69" t="inlineStr">
        <is>
          <t>3匹风冷管道分体空调机安装(含吊杆减震器、维修平台、室外机底座等）</t>
        </is>
      </c>
      <c r="K1367" s="70" t="n"/>
      <c r="L1367" s="70" t="n"/>
      <c r="M1367" s="71" t="inlineStr">
        <is>
          <t>套</t>
        </is>
      </c>
      <c r="N1367" s="72" t="n">
        <v>1027.39</v>
      </c>
      <c r="O1367" s="72">
        <f>ROUND(N1367*(1+$F$10),2)</f>
        <v/>
      </c>
      <c r="P1367" s="73">
        <f>ROUND(K1367*N1367,2)</f>
        <v/>
      </c>
      <c r="Q1367" s="74">
        <f>ROUND(L1367*N1367,2)</f>
        <v/>
      </c>
      <c r="R1367" s="75" t="n"/>
      <c r="S1367" s="76" t="n"/>
      <c r="T1367" s="77">
        <f>K1367-L1367</f>
        <v/>
      </c>
      <c r="U1367" s="77">
        <f>P1367-Q1367</f>
        <v/>
      </c>
      <c r="V1367" s="77">
        <f>ABS(U1367)</f>
        <v/>
      </c>
      <c r="W1367" s="78">
        <f>T1367/L1367</f>
        <v/>
      </c>
      <c r="X1367" s="79">
        <f>ABS(W1367)</f>
        <v/>
      </c>
    </row>
    <row r="1368" ht="11.4" customHeight="1">
      <c r="A1368" s="67" t="inlineStr">
        <is>
          <t>8073</t>
        </is>
      </c>
      <c r="B1368" s="67" t="inlineStr">
        <is>
          <t>1071</t>
        </is>
      </c>
      <c r="C1368" s="67" t="inlineStr">
        <is>
          <t>1614</t>
        </is>
      </c>
      <c r="D1368" s="68" t="inlineStr">
        <is>
          <t>21</t>
        </is>
      </c>
      <c r="E1368" s="68" t="inlineStr">
        <is>
          <t>Kiosk-LHI</t>
        </is>
      </c>
      <c r="F1368" s="68" t="inlineStr">
        <is>
          <t>独立甜品站装修</t>
        </is>
      </c>
      <c r="G1368" s="68" t="inlineStr">
        <is>
          <t>独立甜品站装修</t>
        </is>
      </c>
      <c r="H1368" s="68" t="inlineStr">
        <is>
          <t>独立甜品站-空调</t>
        </is>
      </c>
      <c r="I1368" s="69" t="inlineStr">
        <is>
          <t>1000022147</t>
        </is>
      </c>
      <c r="J1368" s="69" t="inlineStr">
        <is>
          <t>新风机/排风机连吊杆减震器等(风量2000CMH及以下）主材及安装</t>
        </is>
      </c>
      <c r="K1368" s="70" t="n"/>
      <c r="L1368" s="70" t="n"/>
      <c r="M1368" s="71" t="inlineStr">
        <is>
          <t>台</t>
        </is>
      </c>
      <c r="N1368" s="72" t="n">
        <v>1379.39</v>
      </c>
      <c r="O1368" s="72">
        <f>ROUND(N1368*(1+$F$10),2)</f>
        <v/>
      </c>
      <c r="P1368" s="73">
        <f>ROUND(K1368*N1368,2)</f>
        <v/>
      </c>
      <c r="Q1368" s="74">
        <f>ROUND(L1368*N1368,2)</f>
        <v/>
      </c>
      <c r="R1368" s="75" t="n"/>
      <c r="S1368" s="76" t="n"/>
      <c r="T1368" s="77">
        <f>K1368-L1368</f>
        <v/>
      </c>
      <c r="U1368" s="77">
        <f>P1368-Q1368</f>
        <v/>
      </c>
      <c r="V1368" s="77">
        <f>ABS(U1368)</f>
        <v/>
      </c>
      <c r="W1368" s="78">
        <f>T1368/L1368</f>
        <v/>
      </c>
      <c r="X1368" s="79">
        <f>ABS(W1368)</f>
        <v/>
      </c>
    </row>
    <row r="1369" ht="11.4" customHeight="1">
      <c r="A1369" s="67" t="inlineStr">
        <is>
          <t>8073</t>
        </is>
      </c>
      <c r="B1369" s="67" t="inlineStr">
        <is>
          <t>1071</t>
        </is>
      </c>
      <c r="C1369" s="67" t="inlineStr">
        <is>
          <t>1614</t>
        </is>
      </c>
      <c r="D1369" s="68" t="inlineStr">
        <is>
          <t>21</t>
        </is>
      </c>
      <c r="E1369" s="68" t="inlineStr">
        <is>
          <t>Kiosk-LHI</t>
        </is>
      </c>
      <c r="F1369" s="68" t="inlineStr">
        <is>
          <t>独立甜品站装修</t>
        </is>
      </c>
      <c r="G1369" s="68" t="inlineStr">
        <is>
          <t>独立甜品站装修</t>
        </is>
      </c>
      <c r="H1369" s="68" t="inlineStr">
        <is>
          <t>独立甜品站-空调</t>
        </is>
      </c>
      <c r="I1369" s="69" t="inlineStr">
        <is>
          <t>1000021978</t>
        </is>
      </c>
      <c r="J1369" s="69" t="inlineStr">
        <is>
          <t>小型排风扇安装（不含主材）</t>
        </is>
      </c>
      <c r="K1369" s="70" t="n"/>
      <c r="L1369" s="70" t="n"/>
      <c r="M1369" s="71" t="inlineStr">
        <is>
          <t>台</t>
        </is>
      </c>
      <c r="N1369" s="72" t="n">
        <v>243.65</v>
      </c>
      <c r="O1369" s="72">
        <f>ROUND(N1369*(1+$F$10),2)</f>
        <v/>
      </c>
      <c r="P1369" s="73">
        <f>ROUND(K1369*N1369,2)</f>
        <v/>
      </c>
      <c r="Q1369" s="74">
        <f>ROUND(L1369*N1369,2)</f>
        <v/>
      </c>
      <c r="R1369" s="75" t="n"/>
      <c r="S1369" s="76" t="n"/>
      <c r="T1369" s="77">
        <f>K1369-L1369</f>
        <v/>
      </c>
      <c r="U1369" s="77">
        <f>P1369-Q1369</f>
        <v/>
      </c>
      <c r="V1369" s="77">
        <f>ABS(U1369)</f>
        <v/>
      </c>
      <c r="W1369" s="78">
        <f>T1369/L1369</f>
        <v/>
      </c>
      <c r="X1369" s="79">
        <f>ABS(W1369)</f>
        <v/>
      </c>
    </row>
    <row r="1370" ht="11.4" customHeight="1">
      <c r="A1370" s="67" t="inlineStr">
        <is>
          <t>8073</t>
        </is>
      </c>
      <c r="B1370" s="67" t="inlineStr">
        <is>
          <t>1071</t>
        </is>
      </c>
      <c r="C1370" s="67" t="inlineStr">
        <is>
          <t>1614</t>
        </is>
      </c>
      <c r="D1370" s="68" t="inlineStr">
        <is>
          <t>21</t>
        </is>
      </c>
      <c r="E1370" s="68" t="inlineStr">
        <is>
          <t>Kiosk-LHI</t>
        </is>
      </c>
      <c r="F1370" s="68" t="inlineStr">
        <is>
          <t>独立甜品站装修</t>
        </is>
      </c>
      <c r="G1370" s="68" t="inlineStr">
        <is>
          <t>独立甜品站装修</t>
        </is>
      </c>
      <c r="H1370" s="68" t="inlineStr">
        <is>
          <t>独立甜品站-空调</t>
        </is>
      </c>
      <c r="I1370" s="69" t="inlineStr">
        <is>
          <t>1000022148</t>
        </is>
      </c>
      <c r="J1370" s="69" t="inlineStr">
        <is>
          <t>风幕机安装(不含风幕机主材)</t>
        </is>
      </c>
      <c r="K1370" s="70" t="n"/>
      <c r="L1370" s="70" t="n"/>
      <c r="M1370" s="71" t="inlineStr">
        <is>
          <t>台</t>
        </is>
      </c>
      <c r="N1370" s="72" t="n">
        <v>314.05</v>
      </c>
      <c r="O1370" s="72">
        <f>ROUND(N1370*(1+$F$10),2)</f>
        <v/>
      </c>
      <c r="P1370" s="73">
        <f>ROUND(K1370*N1370,2)</f>
        <v/>
      </c>
      <c r="Q1370" s="74">
        <f>ROUND(L1370*N1370,2)</f>
        <v/>
      </c>
      <c r="R1370" s="75" t="n"/>
      <c r="S1370" s="76" t="n"/>
      <c r="T1370" s="77">
        <f>K1370-L1370</f>
        <v/>
      </c>
      <c r="U1370" s="77">
        <f>P1370-Q1370</f>
        <v/>
      </c>
      <c r="V1370" s="77">
        <f>ABS(U1370)</f>
        <v/>
      </c>
      <c r="W1370" s="78">
        <f>T1370/L1370</f>
        <v/>
      </c>
      <c r="X1370" s="79">
        <f>ABS(W1370)</f>
        <v/>
      </c>
    </row>
    <row r="1371" ht="11.4" customHeight="1">
      <c r="A1371" s="67" t="inlineStr">
        <is>
          <t>8073</t>
        </is>
      </c>
      <c r="B1371" s="67" t="inlineStr">
        <is>
          <t>1071</t>
        </is>
      </c>
      <c r="C1371" s="67" t="inlineStr">
        <is>
          <t>1614</t>
        </is>
      </c>
      <c r="D1371" s="68" t="inlineStr">
        <is>
          <t>21</t>
        </is>
      </c>
      <c r="E1371" s="68" t="inlineStr">
        <is>
          <t>Kiosk-LHI</t>
        </is>
      </c>
      <c r="F1371" s="68" t="inlineStr">
        <is>
          <t>独立甜品站装修</t>
        </is>
      </c>
      <c r="G1371" s="68" t="inlineStr">
        <is>
          <t>独立甜品站装修</t>
        </is>
      </c>
      <c r="H1371" s="68" t="inlineStr">
        <is>
          <t>独立甜品站-空调</t>
        </is>
      </c>
      <c r="I1371" s="69" t="inlineStr">
        <is>
          <t>1000022149</t>
        </is>
      </c>
      <c r="J1371" s="69" t="inlineStr">
        <is>
          <t>烘手器安装</t>
        </is>
      </c>
      <c r="K1371" s="70" t="n"/>
      <c r="L1371" s="70" t="n"/>
      <c r="M1371" s="71" t="inlineStr">
        <is>
          <t>台</t>
        </is>
      </c>
      <c r="N1371" s="72" t="n">
        <v>152.75</v>
      </c>
      <c r="O1371" s="72">
        <f>ROUND(N1371*(1+$F$10),2)</f>
        <v/>
      </c>
      <c r="P1371" s="73">
        <f>ROUND(K1371*N1371,2)</f>
        <v/>
      </c>
      <c r="Q1371" s="74">
        <f>ROUND(L1371*N1371,2)</f>
        <v/>
      </c>
      <c r="R1371" s="75" t="n"/>
      <c r="S1371" s="76" t="n"/>
      <c r="T1371" s="77">
        <f>K1371-L1371</f>
        <v/>
      </c>
      <c r="U1371" s="77">
        <f>P1371-Q1371</f>
        <v/>
      </c>
      <c r="V1371" s="77">
        <f>ABS(U1371)</f>
        <v/>
      </c>
      <c r="W1371" s="78">
        <f>T1371/L1371</f>
        <v/>
      </c>
      <c r="X1371" s="79">
        <f>ABS(W1371)</f>
        <v/>
      </c>
    </row>
    <row r="1372" ht="11.4" customHeight="1">
      <c r="A1372" s="67" t="inlineStr">
        <is>
          <t>8073</t>
        </is>
      </c>
      <c r="B1372" s="67" t="inlineStr">
        <is>
          <t>1071</t>
        </is>
      </c>
      <c r="C1372" s="67" t="inlineStr">
        <is>
          <t>1614</t>
        </is>
      </c>
      <c r="D1372" s="68" t="inlineStr">
        <is>
          <t>21</t>
        </is>
      </c>
      <c r="E1372" s="68" t="inlineStr">
        <is>
          <t>Kiosk-LHI</t>
        </is>
      </c>
      <c r="F1372" s="68" t="inlineStr">
        <is>
          <t>独立甜品站装修</t>
        </is>
      </c>
      <c r="G1372" s="68" t="inlineStr">
        <is>
          <t>独立甜品站装修</t>
        </is>
      </c>
      <c r="H1372" s="68" t="inlineStr">
        <is>
          <t>独立甜品站-空调</t>
        </is>
      </c>
      <c r="I1372" s="69" t="inlineStr">
        <is>
          <t>1000021983</t>
        </is>
      </c>
      <c r="J1372" s="69" t="inlineStr">
        <is>
          <t>冷凝水管安装（含保温）</t>
        </is>
      </c>
      <c r="K1372" s="70" t="n"/>
      <c r="L1372" s="70" t="n"/>
      <c r="M1372" s="71" t="inlineStr">
        <is>
          <t>米</t>
        </is>
      </c>
      <c r="N1372" s="72" t="n">
        <v>27.67</v>
      </c>
      <c r="O1372" s="72">
        <f>ROUND(N1372*(1+$F$10),2)</f>
        <v/>
      </c>
      <c r="P1372" s="73">
        <f>ROUND(K1372*N1372,2)</f>
        <v/>
      </c>
      <c r="Q1372" s="74">
        <f>ROUND(L1372*N1372,2)</f>
        <v/>
      </c>
      <c r="R1372" s="75" t="n"/>
      <c r="S1372" s="76" t="n"/>
      <c r="T1372" s="77">
        <f>K1372-L1372</f>
        <v/>
      </c>
      <c r="U1372" s="77">
        <f>P1372-Q1372</f>
        <v/>
      </c>
      <c r="V1372" s="77">
        <f>ABS(U1372)</f>
        <v/>
      </c>
      <c r="W1372" s="78">
        <f>T1372/L1372</f>
        <v/>
      </c>
      <c r="X1372" s="79">
        <f>ABS(W1372)</f>
        <v/>
      </c>
    </row>
    <row r="1373" ht="11.4" customHeight="1">
      <c r="A1373" s="67" t="inlineStr">
        <is>
          <t>8073</t>
        </is>
      </c>
      <c r="B1373" s="67" t="inlineStr">
        <is>
          <t>1071</t>
        </is>
      </c>
      <c r="C1373" s="67" t="inlineStr">
        <is>
          <t>1614</t>
        </is>
      </c>
      <c r="D1373" s="68" t="inlineStr">
        <is>
          <t>21</t>
        </is>
      </c>
      <c r="E1373" s="68" t="inlineStr">
        <is>
          <t>Kiosk-LHI</t>
        </is>
      </c>
      <c r="F1373" s="68" t="inlineStr">
        <is>
          <t>独立甜品站装修</t>
        </is>
      </c>
      <c r="G1373" s="68" t="inlineStr">
        <is>
          <t>独立甜品站装修</t>
        </is>
      </c>
      <c r="H1373" s="68" t="inlineStr">
        <is>
          <t>独立甜品站-空调</t>
        </is>
      </c>
      <c r="I1373" s="69" t="inlineStr">
        <is>
          <t>1000021992</t>
        </is>
      </c>
      <c r="J1373" s="69" t="inlineStr">
        <is>
          <t>送风管连保温及调节阀、防火阀等(玻璃棉保温材料)</t>
        </is>
      </c>
      <c r="K1373" s="70" t="n"/>
      <c r="L1373" s="70" t="n"/>
      <c r="M1373" s="71" t="inlineStr">
        <is>
          <t>m2</t>
        </is>
      </c>
      <c r="N1373" s="72" t="n">
        <v>179.04</v>
      </c>
      <c r="O1373" s="72">
        <f>ROUND(N1373*(1+$F$10),2)</f>
        <v/>
      </c>
      <c r="P1373" s="73">
        <f>ROUND(K1373*N1373,2)</f>
        <v/>
      </c>
      <c r="Q1373" s="74">
        <f>ROUND(L1373*N1373,2)</f>
        <v/>
      </c>
      <c r="R1373" s="75" t="n"/>
      <c r="S1373" s="76" t="n"/>
      <c r="T1373" s="77">
        <f>K1373-L1373</f>
        <v/>
      </c>
      <c r="U1373" s="77">
        <f>P1373-Q1373</f>
        <v/>
      </c>
      <c r="V1373" s="77">
        <f>ABS(U1373)</f>
        <v/>
      </c>
      <c r="W1373" s="78">
        <f>T1373/L1373</f>
        <v/>
      </c>
      <c r="X1373" s="79">
        <f>ABS(W1373)</f>
        <v/>
      </c>
    </row>
    <row r="1374" ht="11.4" customHeight="1">
      <c r="A1374" s="67" t="inlineStr">
        <is>
          <t>8073</t>
        </is>
      </c>
      <c r="B1374" s="67" t="inlineStr">
        <is>
          <t>1071</t>
        </is>
      </c>
      <c r="C1374" s="67" t="inlineStr">
        <is>
          <t>1614</t>
        </is>
      </c>
      <c r="D1374" s="68" t="inlineStr">
        <is>
          <t>21</t>
        </is>
      </c>
      <c r="E1374" s="68" t="inlineStr">
        <is>
          <t>Kiosk-LHI</t>
        </is>
      </c>
      <c r="F1374" s="68" t="inlineStr">
        <is>
          <t>独立甜品站装修</t>
        </is>
      </c>
      <c r="G1374" s="68" t="inlineStr">
        <is>
          <t>独立甜品站装修</t>
        </is>
      </c>
      <c r="H1374" s="68" t="inlineStr">
        <is>
          <t>独立甜品站-空调</t>
        </is>
      </c>
      <c r="I1374" s="69" t="inlineStr">
        <is>
          <t>1000021993</t>
        </is>
      </c>
      <c r="J1374" s="69" t="inlineStr">
        <is>
          <t>送风管连保温及调节阀、防火阀等(橡塑保温材料)</t>
        </is>
      </c>
      <c r="K1374" s="70" t="n"/>
      <c r="L1374" s="70" t="n"/>
      <c r="M1374" s="71" t="inlineStr">
        <is>
          <t>m2</t>
        </is>
      </c>
      <c r="N1374" s="72" t="n">
        <v>205.44</v>
      </c>
      <c r="O1374" s="72">
        <f>ROUND(N1374*(1+$F$10),2)</f>
        <v/>
      </c>
      <c r="P1374" s="73">
        <f>ROUND(K1374*N1374,2)</f>
        <v/>
      </c>
      <c r="Q1374" s="74">
        <f>ROUND(L1374*N1374,2)</f>
        <v/>
      </c>
      <c r="R1374" s="75" t="n"/>
      <c r="S1374" s="76" t="n"/>
      <c r="T1374" s="77">
        <f>K1374-L1374</f>
        <v/>
      </c>
      <c r="U1374" s="77">
        <f>P1374-Q1374</f>
        <v/>
      </c>
      <c r="V1374" s="77">
        <f>ABS(U1374)</f>
        <v/>
      </c>
      <c r="W1374" s="78">
        <f>T1374/L1374</f>
        <v/>
      </c>
      <c r="X1374" s="79">
        <f>ABS(W1374)</f>
        <v/>
      </c>
    </row>
    <row r="1375" ht="11.4" customHeight="1">
      <c r="A1375" s="67" t="inlineStr">
        <is>
          <t>8073</t>
        </is>
      </c>
      <c r="B1375" s="67" t="inlineStr">
        <is>
          <t>1071</t>
        </is>
      </c>
      <c r="C1375" s="67" t="inlineStr">
        <is>
          <t>1614</t>
        </is>
      </c>
      <c r="D1375" s="68" t="inlineStr">
        <is>
          <t>21</t>
        </is>
      </c>
      <c r="E1375" s="68" t="inlineStr">
        <is>
          <t>Kiosk-LHI</t>
        </is>
      </c>
      <c r="F1375" s="68" t="inlineStr">
        <is>
          <t>独立甜品站装修</t>
        </is>
      </c>
      <c r="G1375" s="68" t="inlineStr">
        <is>
          <t>独立甜品站装修</t>
        </is>
      </c>
      <c r="H1375" s="68" t="inlineStr">
        <is>
          <t>独立甜品站-空调</t>
        </is>
      </c>
      <c r="I1375" s="69" t="inlineStr">
        <is>
          <t>1000021995</t>
        </is>
      </c>
      <c r="J1375" s="69" t="inlineStr">
        <is>
          <t>新风管连保温及调节阀、防火阀等(玻璃棉保温材料)</t>
        </is>
      </c>
      <c r="K1375" s="70" t="n"/>
      <c r="L1375" s="70" t="n"/>
      <c r="M1375" s="71" t="inlineStr">
        <is>
          <t>m2</t>
        </is>
      </c>
      <c r="N1375" s="72" t="n">
        <v>179.04</v>
      </c>
      <c r="O1375" s="72">
        <f>ROUND(N1375*(1+$F$10),2)</f>
        <v/>
      </c>
      <c r="P1375" s="73">
        <f>ROUND(K1375*N1375,2)</f>
        <v/>
      </c>
      <c r="Q1375" s="74">
        <f>ROUND(L1375*N1375,2)</f>
        <v/>
      </c>
      <c r="R1375" s="75" t="n"/>
      <c r="S1375" s="76" t="n"/>
      <c r="T1375" s="77">
        <f>K1375-L1375</f>
        <v/>
      </c>
      <c r="U1375" s="77">
        <f>P1375-Q1375</f>
        <v/>
      </c>
      <c r="V1375" s="77">
        <f>ABS(U1375)</f>
        <v/>
      </c>
      <c r="W1375" s="78">
        <f>T1375/L1375</f>
        <v/>
      </c>
      <c r="X1375" s="79">
        <f>ABS(W1375)</f>
        <v/>
      </c>
    </row>
    <row r="1376" ht="11.4" customHeight="1">
      <c r="A1376" s="67" t="inlineStr">
        <is>
          <t>8073</t>
        </is>
      </c>
      <c r="B1376" s="67" t="inlineStr">
        <is>
          <t>1071</t>
        </is>
      </c>
      <c r="C1376" s="67" t="inlineStr">
        <is>
          <t>1614</t>
        </is>
      </c>
      <c r="D1376" s="68" t="inlineStr">
        <is>
          <t>21</t>
        </is>
      </c>
      <c r="E1376" s="68" t="inlineStr">
        <is>
          <t>Kiosk-LHI</t>
        </is>
      </c>
      <c r="F1376" s="68" t="inlineStr">
        <is>
          <t>独立甜品站装修</t>
        </is>
      </c>
      <c r="G1376" s="68" t="inlineStr">
        <is>
          <t>独立甜品站装修</t>
        </is>
      </c>
      <c r="H1376" s="68" t="inlineStr">
        <is>
          <t>独立甜品站-空调</t>
        </is>
      </c>
      <c r="I1376" s="69" t="inlineStr">
        <is>
          <t>1000021996</t>
        </is>
      </c>
      <c r="J1376" s="69" t="inlineStr">
        <is>
          <t>新风管连保温及调节阀、防火阀等(橡塑保温材料)</t>
        </is>
      </c>
      <c r="K1376" s="70" t="n"/>
      <c r="L1376" s="70" t="n"/>
      <c r="M1376" s="71" t="inlineStr">
        <is>
          <t>m2</t>
        </is>
      </c>
      <c r="N1376" s="72" t="n">
        <v>205.44</v>
      </c>
      <c r="O1376" s="72">
        <f>ROUND(N1376*(1+$F$10),2)</f>
        <v/>
      </c>
      <c r="P1376" s="73">
        <f>ROUND(K1376*N1376,2)</f>
        <v/>
      </c>
      <c r="Q1376" s="74">
        <f>ROUND(L1376*N1376,2)</f>
        <v/>
      </c>
      <c r="R1376" s="75" t="n"/>
      <c r="S1376" s="76" t="n"/>
      <c r="T1376" s="77">
        <f>K1376-L1376</f>
        <v/>
      </c>
      <c r="U1376" s="77">
        <f>P1376-Q1376</f>
        <v/>
      </c>
      <c r="V1376" s="77">
        <f>ABS(U1376)</f>
        <v/>
      </c>
      <c r="W1376" s="78">
        <f>T1376/L1376</f>
        <v/>
      </c>
      <c r="X1376" s="79">
        <f>ABS(W1376)</f>
        <v/>
      </c>
    </row>
    <row r="1377" ht="11.4" customHeight="1">
      <c r="A1377" s="67" t="inlineStr">
        <is>
          <t>8073</t>
        </is>
      </c>
      <c r="B1377" s="67" t="inlineStr">
        <is>
          <t>1071</t>
        </is>
      </c>
      <c r="C1377" s="67" t="inlineStr">
        <is>
          <t>1614</t>
        </is>
      </c>
      <c r="D1377" s="68" t="inlineStr">
        <is>
          <t>21</t>
        </is>
      </c>
      <c r="E1377" s="68" t="inlineStr">
        <is>
          <t>Kiosk-LHI</t>
        </is>
      </c>
      <c r="F1377" s="68" t="inlineStr">
        <is>
          <t>独立甜品站装修</t>
        </is>
      </c>
      <c r="G1377" s="68" t="inlineStr">
        <is>
          <t>独立甜品站装修</t>
        </is>
      </c>
      <c r="H1377" s="68" t="inlineStr">
        <is>
          <t>独立甜品站-空调</t>
        </is>
      </c>
      <c r="I1377" s="69" t="inlineStr">
        <is>
          <t>1000021997</t>
        </is>
      </c>
      <c r="J1377" s="69" t="inlineStr">
        <is>
          <t>排风管</t>
        </is>
      </c>
      <c r="K1377" s="70" t="n"/>
      <c r="L1377" s="70" t="n"/>
      <c r="M1377" s="71" t="inlineStr">
        <is>
          <t>m2</t>
        </is>
      </c>
      <c r="N1377" s="72" t="n">
        <v>156.31</v>
      </c>
      <c r="O1377" s="72">
        <f>ROUND(N1377*(1+$F$10),2)</f>
        <v/>
      </c>
      <c r="P1377" s="73">
        <f>ROUND(K1377*N1377,2)</f>
        <v/>
      </c>
      <c r="Q1377" s="74">
        <f>ROUND(L1377*N1377,2)</f>
        <v/>
      </c>
      <c r="R1377" s="75" t="n"/>
      <c r="S1377" s="76" t="n"/>
      <c r="T1377" s="77">
        <f>K1377-L1377</f>
        <v/>
      </c>
      <c r="U1377" s="77">
        <f>P1377-Q1377</f>
        <v/>
      </c>
      <c r="V1377" s="77">
        <f>ABS(U1377)</f>
        <v/>
      </c>
      <c r="W1377" s="78">
        <f>T1377/L1377</f>
        <v/>
      </c>
      <c r="X1377" s="79">
        <f>ABS(W1377)</f>
        <v/>
      </c>
    </row>
    <row r="1378" ht="11.4" customHeight="1">
      <c r="A1378" s="67" t="inlineStr">
        <is>
          <t>8073</t>
        </is>
      </c>
      <c r="B1378" s="67" t="inlineStr">
        <is>
          <t>1071</t>
        </is>
      </c>
      <c r="C1378" s="67" t="inlineStr">
        <is>
          <t>1614</t>
        </is>
      </c>
      <c r="D1378" s="68" t="inlineStr">
        <is>
          <t>21</t>
        </is>
      </c>
      <c r="E1378" s="68" t="inlineStr">
        <is>
          <t>Kiosk-LHI</t>
        </is>
      </c>
      <c r="F1378" s="68" t="inlineStr">
        <is>
          <t>独立甜品站装修</t>
        </is>
      </c>
      <c r="G1378" s="68" t="inlineStr">
        <is>
          <t>独立甜品站装修</t>
        </is>
      </c>
      <c r="H1378" s="68" t="inlineStr">
        <is>
          <t>独立甜品站-空调</t>
        </is>
      </c>
      <c r="I1378" s="69" t="inlineStr">
        <is>
          <t>1000022004</t>
        </is>
      </c>
      <c r="J1378" s="69" t="inlineStr">
        <is>
          <t>回风箱1200mm</t>
        </is>
      </c>
      <c r="K1378" s="70" t="n"/>
      <c r="L1378" s="70" t="n"/>
      <c r="M1378" s="71" t="inlineStr">
        <is>
          <t>只</t>
        </is>
      </c>
      <c r="N1378" s="72" t="n">
        <v>1315.9</v>
      </c>
      <c r="O1378" s="72">
        <f>ROUND(N1378*(1+$F$10),2)</f>
        <v/>
      </c>
      <c r="P1378" s="73">
        <f>ROUND(K1378*N1378,2)</f>
        <v/>
      </c>
      <c r="Q1378" s="74">
        <f>ROUND(L1378*N1378,2)</f>
        <v/>
      </c>
      <c r="R1378" s="75" t="n"/>
      <c r="S1378" s="76" t="n"/>
      <c r="T1378" s="77">
        <f>K1378-L1378</f>
        <v/>
      </c>
      <c r="U1378" s="77">
        <f>P1378-Q1378</f>
        <v/>
      </c>
      <c r="V1378" s="77">
        <f>ABS(U1378)</f>
        <v/>
      </c>
      <c r="W1378" s="78">
        <f>T1378/L1378</f>
        <v/>
      </c>
      <c r="X1378" s="79">
        <f>ABS(W1378)</f>
        <v/>
      </c>
    </row>
    <row r="1379" ht="11.4" customHeight="1">
      <c r="A1379" s="67" t="inlineStr">
        <is>
          <t>8073</t>
        </is>
      </c>
      <c r="B1379" s="67" t="inlineStr">
        <is>
          <t>1071</t>
        </is>
      </c>
      <c r="C1379" s="67" t="inlineStr">
        <is>
          <t>1614</t>
        </is>
      </c>
      <c r="D1379" s="68" t="inlineStr">
        <is>
          <t>21</t>
        </is>
      </c>
      <c r="E1379" s="68" t="inlineStr">
        <is>
          <t>Kiosk-LHI</t>
        </is>
      </c>
      <c r="F1379" s="68" t="inlineStr">
        <is>
          <t>独立甜品站装修</t>
        </is>
      </c>
      <c r="G1379" s="68" t="inlineStr">
        <is>
          <t>独立甜品站装修</t>
        </is>
      </c>
      <c r="H1379" s="68" t="inlineStr">
        <is>
          <t>独立甜品站-空调</t>
        </is>
      </c>
      <c r="I1379" s="69" t="inlineStr">
        <is>
          <t>1000022022</t>
        </is>
      </c>
      <c r="J1379" s="69" t="inlineStr">
        <is>
          <t>600x600散流器</t>
        </is>
      </c>
      <c r="K1379" s="70" t="n"/>
      <c r="L1379" s="70" t="n"/>
      <c r="M1379" s="71" t="inlineStr">
        <is>
          <t>只</t>
        </is>
      </c>
      <c r="N1379" s="72" t="n">
        <v>418.43</v>
      </c>
      <c r="O1379" s="72">
        <f>ROUND(N1379*(1+$F$10),2)</f>
        <v/>
      </c>
      <c r="P1379" s="73">
        <f>ROUND(K1379*N1379,2)</f>
        <v/>
      </c>
      <c r="Q1379" s="74">
        <f>ROUND(L1379*N1379,2)</f>
        <v/>
      </c>
      <c r="R1379" s="75" t="n"/>
      <c r="S1379" s="76" t="n"/>
      <c r="T1379" s="77">
        <f>K1379-L1379</f>
        <v/>
      </c>
      <c r="U1379" s="77">
        <f>P1379-Q1379</f>
        <v/>
      </c>
      <c r="V1379" s="77">
        <f>ABS(U1379)</f>
        <v/>
      </c>
      <c r="W1379" s="78">
        <f>T1379/L1379</f>
        <v/>
      </c>
      <c r="X1379" s="79">
        <f>ABS(W1379)</f>
        <v/>
      </c>
    </row>
    <row r="1380" ht="11.4" customHeight="1">
      <c r="A1380" s="67" t="inlineStr">
        <is>
          <t>8073</t>
        </is>
      </c>
      <c r="B1380" s="67" t="inlineStr">
        <is>
          <t>1071</t>
        </is>
      </c>
      <c r="C1380" s="67" t="inlineStr">
        <is>
          <t>1614</t>
        </is>
      </c>
      <c r="D1380" s="68" t="inlineStr">
        <is>
          <t>21</t>
        </is>
      </c>
      <c r="E1380" s="68" t="inlineStr">
        <is>
          <t>Kiosk-LHI</t>
        </is>
      </c>
      <c r="F1380" s="68" t="inlineStr">
        <is>
          <t>独立甜品站装修</t>
        </is>
      </c>
      <c r="G1380" s="68" t="inlineStr">
        <is>
          <t>独立甜品站装修</t>
        </is>
      </c>
      <c r="H1380" s="68" t="inlineStr">
        <is>
          <t>独立甜品站-空调</t>
        </is>
      </c>
      <c r="I1380" s="69" t="inlineStr">
        <is>
          <t>1000022023</t>
        </is>
      </c>
      <c r="J1380" s="69" t="inlineStr">
        <is>
          <t>400x400散流器</t>
        </is>
      </c>
      <c r="K1380" s="70" t="n"/>
      <c r="L1380" s="70" t="n"/>
      <c r="M1380" s="71" t="inlineStr">
        <is>
          <t>只</t>
        </is>
      </c>
      <c r="N1380" s="72" t="n">
        <v>360.13</v>
      </c>
      <c r="O1380" s="72">
        <f>ROUND(N1380*(1+$F$10),2)</f>
        <v/>
      </c>
      <c r="P1380" s="73">
        <f>ROUND(K1380*N1380,2)</f>
        <v/>
      </c>
      <c r="Q1380" s="74">
        <f>ROUND(L1380*N1380,2)</f>
        <v/>
      </c>
      <c r="R1380" s="75" t="n"/>
      <c r="S1380" s="76" t="n"/>
      <c r="T1380" s="77">
        <f>K1380-L1380</f>
        <v/>
      </c>
      <c r="U1380" s="77">
        <f>P1380-Q1380</f>
        <v/>
      </c>
      <c r="V1380" s="77">
        <f>ABS(U1380)</f>
        <v/>
      </c>
      <c r="W1380" s="78">
        <f>T1380/L1380</f>
        <v/>
      </c>
      <c r="X1380" s="79">
        <f>ABS(W1380)</f>
        <v/>
      </c>
    </row>
    <row r="1381" ht="11.4" customHeight="1">
      <c r="A1381" s="67" t="inlineStr">
        <is>
          <t>8073</t>
        </is>
      </c>
      <c r="B1381" s="67" t="inlineStr">
        <is>
          <t>1071</t>
        </is>
      </c>
      <c r="C1381" s="67" t="inlineStr">
        <is>
          <t>1614</t>
        </is>
      </c>
      <c r="D1381" s="68" t="inlineStr">
        <is>
          <t>21</t>
        </is>
      </c>
      <c r="E1381" s="68" t="inlineStr">
        <is>
          <t>Kiosk-LHI</t>
        </is>
      </c>
      <c r="F1381" s="68" t="inlineStr">
        <is>
          <t>独立甜品站装修</t>
        </is>
      </c>
      <c r="G1381" s="68" t="inlineStr">
        <is>
          <t>独立甜品站装修</t>
        </is>
      </c>
      <c r="H1381" s="68" t="inlineStr">
        <is>
          <t>独立甜品站-空调</t>
        </is>
      </c>
      <c r="I1381" s="69" t="inlineStr">
        <is>
          <t>1000022024</t>
        </is>
      </c>
      <c r="J1381" s="69" t="inlineStr">
        <is>
          <t>300x300散流器</t>
        </is>
      </c>
      <c r="K1381" s="70" t="n"/>
      <c r="L1381" s="70" t="n"/>
      <c r="M1381" s="71" t="inlineStr">
        <is>
          <t>只</t>
        </is>
      </c>
      <c r="N1381" s="72" t="n">
        <v>297.43</v>
      </c>
      <c r="O1381" s="72">
        <f>ROUND(N1381*(1+$F$10),2)</f>
        <v/>
      </c>
      <c r="P1381" s="73">
        <f>ROUND(K1381*N1381,2)</f>
        <v/>
      </c>
      <c r="Q1381" s="74">
        <f>ROUND(L1381*N1381,2)</f>
        <v/>
      </c>
      <c r="R1381" s="75" t="n"/>
      <c r="S1381" s="76" t="n"/>
      <c r="T1381" s="77">
        <f>K1381-L1381</f>
        <v/>
      </c>
      <c r="U1381" s="77">
        <f>P1381-Q1381</f>
        <v/>
      </c>
      <c r="V1381" s="77">
        <f>ABS(U1381)</f>
        <v/>
      </c>
      <c r="W1381" s="78">
        <f>T1381/L1381</f>
        <v/>
      </c>
      <c r="X1381" s="79">
        <f>ABS(W1381)</f>
        <v/>
      </c>
    </row>
    <row r="1382" ht="11.4" customHeight="1">
      <c r="A1382" s="67" t="inlineStr">
        <is>
          <t>8073</t>
        </is>
      </c>
      <c r="B1382" s="67" t="inlineStr">
        <is>
          <t>1071</t>
        </is>
      </c>
      <c r="C1382" s="67" t="inlineStr">
        <is>
          <t>1614</t>
        </is>
      </c>
      <c r="D1382" s="68" t="inlineStr">
        <is>
          <t>21</t>
        </is>
      </c>
      <c r="E1382" s="68" t="inlineStr">
        <is>
          <t>Kiosk-LHI</t>
        </is>
      </c>
      <c r="F1382" s="68" t="inlineStr">
        <is>
          <t>独立甜品站装修</t>
        </is>
      </c>
      <c r="G1382" s="68" t="inlineStr">
        <is>
          <t>独立甜品站装修</t>
        </is>
      </c>
      <c r="H1382" s="68" t="inlineStr">
        <is>
          <t>独立甜品站-空调</t>
        </is>
      </c>
      <c r="I1382" s="69" t="inlineStr">
        <is>
          <t>1000022028</t>
        </is>
      </c>
      <c r="J1382" s="69" t="inlineStr">
        <is>
          <t>条形散流器</t>
        </is>
      </c>
      <c r="K1382" s="70" t="n"/>
      <c r="L1382" s="70" t="n"/>
      <c r="M1382" s="71" t="inlineStr">
        <is>
          <t>米</t>
        </is>
      </c>
      <c r="N1382" s="72" t="n">
        <v>212.29</v>
      </c>
      <c r="O1382" s="72">
        <f>ROUND(N1382*(1+$F$10),2)</f>
        <v/>
      </c>
      <c r="P1382" s="73">
        <f>ROUND(K1382*N1382,2)</f>
        <v/>
      </c>
      <c r="Q1382" s="74">
        <f>ROUND(L1382*N1382,2)</f>
        <v/>
      </c>
      <c r="R1382" s="75" t="n"/>
      <c r="S1382" s="76" t="n"/>
      <c r="T1382" s="77">
        <f>K1382-L1382</f>
        <v/>
      </c>
      <c r="U1382" s="77">
        <f>P1382-Q1382</f>
        <v/>
      </c>
      <c r="V1382" s="77">
        <f>ABS(U1382)</f>
        <v/>
      </c>
      <c r="W1382" s="78">
        <f>T1382/L1382</f>
        <v/>
      </c>
      <c r="X1382" s="79">
        <f>ABS(W1382)</f>
        <v/>
      </c>
    </row>
    <row r="1383" ht="11.4" customHeight="1">
      <c r="A1383" s="67" t="inlineStr">
        <is>
          <t>8073</t>
        </is>
      </c>
      <c r="B1383" s="67" t="inlineStr">
        <is>
          <t>1071</t>
        </is>
      </c>
      <c r="C1383" s="67" t="inlineStr">
        <is>
          <t>1614</t>
        </is>
      </c>
      <c r="D1383" s="68" t="inlineStr">
        <is>
          <t>21</t>
        </is>
      </c>
      <c r="E1383" s="68" t="inlineStr">
        <is>
          <t>Kiosk-LHI</t>
        </is>
      </c>
      <c r="F1383" s="68" t="inlineStr">
        <is>
          <t>独立甜品站装修</t>
        </is>
      </c>
      <c r="G1383" s="68" t="inlineStr">
        <is>
          <t>独立甜品站装修</t>
        </is>
      </c>
      <c r="H1383" s="68" t="inlineStr">
        <is>
          <t>独立甜品站-空调</t>
        </is>
      </c>
      <c r="I1383" s="69" t="inlineStr">
        <is>
          <t>1000022031</t>
        </is>
      </c>
      <c r="J1383" s="69" t="inlineStr">
        <is>
          <t>595x595带滤网回风百叶</t>
        </is>
      </c>
      <c r="K1383" s="70" t="n"/>
      <c r="L1383" s="70" t="n"/>
      <c r="M1383" s="71" t="inlineStr">
        <is>
          <t>只</t>
        </is>
      </c>
      <c r="N1383" s="72" t="n">
        <v>430.53</v>
      </c>
      <c r="O1383" s="72">
        <f>ROUND(N1383*(1+$F$10),2)</f>
        <v/>
      </c>
      <c r="P1383" s="73">
        <f>ROUND(K1383*N1383,2)</f>
        <v/>
      </c>
      <c r="Q1383" s="74">
        <f>ROUND(L1383*N1383,2)</f>
        <v/>
      </c>
      <c r="R1383" s="75" t="n"/>
      <c r="S1383" s="76" t="n"/>
      <c r="T1383" s="77">
        <f>K1383-L1383</f>
        <v/>
      </c>
      <c r="U1383" s="77">
        <f>P1383-Q1383</f>
        <v/>
      </c>
      <c r="V1383" s="77">
        <f>ABS(U1383)</f>
        <v/>
      </c>
      <c r="W1383" s="78">
        <f>T1383/L1383</f>
        <v/>
      </c>
      <c r="X1383" s="79">
        <f>ABS(W1383)</f>
        <v/>
      </c>
    </row>
    <row r="1384" ht="11.4" customHeight="1">
      <c r="A1384" s="67" t="inlineStr">
        <is>
          <t>8073</t>
        </is>
      </c>
      <c r="B1384" s="67" t="inlineStr">
        <is>
          <t>1071</t>
        </is>
      </c>
      <c r="C1384" s="67" t="inlineStr">
        <is>
          <t>1614</t>
        </is>
      </c>
      <c r="D1384" s="68" t="inlineStr">
        <is>
          <t>21</t>
        </is>
      </c>
      <c r="E1384" s="68" t="inlineStr">
        <is>
          <t>Kiosk-LHI</t>
        </is>
      </c>
      <c r="F1384" s="68" t="inlineStr">
        <is>
          <t>独立甜品站装修</t>
        </is>
      </c>
      <c r="G1384" s="68" t="inlineStr">
        <is>
          <t>独立甜品站装修</t>
        </is>
      </c>
      <c r="H1384" s="68" t="inlineStr">
        <is>
          <t>独立甜品站-空调</t>
        </is>
      </c>
      <c r="I1384" s="69" t="inlineStr">
        <is>
          <t>1000022033</t>
        </is>
      </c>
      <c r="J1384" s="69" t="inlineStr">
        <is>
          <t>防雨排风百叶(截面 ≤  0.25m2)</t>
        </is>
      </c>
      <c r="K1384" s="70" t="n"/>
      <c r="L1384" s="70" t="n"/>
      <c r="M1384" s="71" t="inlineStr">
        <is>
          <t>只</t>
        </is>
      </c>
      <c r="N1384" s="72" t="n">
        <v>358.38</v>
      </c>
      <c r="O1384" s="72">
        <f>ROUND(N1384*(1+$F$10),2)</f>
        <v/>
      </c>
      <c r="P1384" s="73">
        <f>ROUND(K1384*N1384,2)</f>
        <v/>
      </c>
      <c r="Q1384" s="74">
        <f>ROUND(L1384*N1384,2)</f>
        <v/>
      </c>
      <c r="R1384" s="75" t="n"/>
      <c r="S1384" s="76" t="n"/>
      <c r="T1384" s="77">
        <f>K1384-L1384</f>
        <v/>
      </c>
      <c r="U1384" s="77">
        <f>P1384-Q1384</f>
        <v/>
      </c>
      <c r="V1384" s="77">
        <f>ABS(U1384)</f>
        <v/>
      </c>
      <c r="W1384" s="78">
        <f>T1384/L1384</f>
        <v/>
      </c>
      <c r="X1384" s="79">
        <f>ABS(W1384)</f>
        <v/>
      </c>
    </row>
    <row r="1385" ht="11.4" customHeight="1">
      <c r="A1385" s="67" t="inlineStr">
        <is>
          <t>8073</t>
        </is>
      </c>
      <c r="B1385" s="67" t="inlineStr">
        <is>
          <t>1071</t>
        </is>
      </c>
      <c r="C1385" s="67" t="inlineStr">
        <is>
          <t>1614</t>
        </is>
      </c>
      <c r="D1385" s="68" t="inlineStr">
        <is>
          <t>21</t>
        </is>
      </c>
      <c r="E1385" s="68" t="inlineStr">
        <is>
          <t>Kiosk-LHI</t>
        </is>
      </c>
      <c r="F1385" s="68" t="inlineStr">
        <is>
          <t>独立甜品站装修</t>
        </is>
      </c>
      <c r="G1385" s="68" t="inlineStr">
        <is>
          <t>独立甜品站装修</t>
        </is>
      </c>
      <c r="H1385" s="68" t="inlineStr">
        <is>
          <t>独立甜品站-空调</t>
        </is>
      </c>
      <c r="I1385" s="69" t="inlineStr">
        <is>
          <t>1000022035</t>
        </is>
      </c>
      <c r="J1385" s="69" t="inlineStr">
        <is>
          <t>防雨新风百叶(截面 ≤  0.25m2)</t>
        </is>
      </c>
      <c r="K1385" s="70" t="n"/>
      <c r="L1385" s="70" t="n"/>
      <c r="M1385" s="71" t="inlineStr">
        <is>
          <t>只</t>
        </is>
      </c>
      <c r="N1385" s="72" t="n">
        <v>368.83</v>
      </c>
      <c r="O1385" s="72">
        <f>ROUND(N1385*(1+$F$10),2)</f>
        <v/>
      </c>
      <c r="P1385" s="73">
        <f>ROUND(K1385*N1385,2)</f>
        <v/>
      </c>
      <c r="Q1385" s="74">
        <f>ROUND(L1385*N1385,2)</f>
        <v/>
      </c>
      <c r="R1385" s="75" t="n"/>
      <c r="S1385" s="76" t="n"/>
      <c r="T1385" s="77">
        <f>K1385-L1385</f>
        <v/>
      </c>
      <c r="U1385" s="77">
        <f>P1385-Q1385</f>
        <v/>
      </c>
      <c r="V1385" s="77">
        <f>ABS(U1385)</f>
        <v/>
      </c>
      <c r="W1385" s="78">
        <f>T1385/L1385</f>
        <v/>
      </c>
      <c r="X1385" s="79">
        <f>ABS(W1385)</f>
        <v/>
      </c>
    </row>
    <row r="1386" ht="11.4" customHeight="1">
      <c r="A1386" s="67" t="inlineStr">
        <is>
          <t>8073</t>
        </is>
      </c>
      <c r="B1386" s="67" t="inlineStr">
        <is>
          <t>1071</t>
        </is>
      </c>
      <c r="C1386" s="67" t="inlineStr">
        <is>
          <t>1614</t>
        </is>
      </c>
      <c r="D1386" s="68" t="inlineStr">
        <is>
          <t>21</t>
        </is>
      </c>
      <c r="E1386" s="68" t="inlineStr">
        <is>
          <t>Kiosk-LHI</t>
        </is>
      </c>
      <c r="F1386" s="68" t="inlineStr">
        <is>
          <t>独立甜品站装修</t>
        </is>
      </c>
      <c r="G1386" s="68" t="inlineStr">
        <is>
          <t>独立甜品站装修</t>
        </is>
      </c>
      <c r="H1386" s="68" t="inlineStr">
        <is>
          <t>独立甜品站-空调</t>
        </is>
      </c>
      <c r="I1386" s="69" t="inlineStr">
        <is>
          <t>1000022039</t>
        </is>
      </c>
      <c r="J1386" s="69" t="inlineStr">
        <is>
          <t>300*300百叶排风</t>
        </is>
      </c>
      <c r="K1386" s="70" t="n"/>
      <c r="L1386" s="70" t="n"/>
      <c r="M1386" s="71" t="inlineStr">
        <is>
          <t>只</t>
        </is>
      </c>
      <c r="N1386" s="72" t="n">
        <v>232.43</v>
      </c>
      <c r="O1386" s="72">
        <f>ROUND(N1386*(1+$F$10),2)</f>
        <v/>
      </c>
      <c r="P1386" s="73">
        <f>ROUND(K1386*N1386,2)</f>
        <v/>
      </c>
      <c r="Q1386" s="74">
        <f>ROUND(L1386*N1386,2)</f>
        <v/>
      </c>
      <c r="R1386" s="75" t="n"/>
      <c r="S1386" s="76" t="n"/>
      <c r="T1386" s="77">
        <f>K1386-L1386</f>
        <v/>
      </c>
      <c r="U1386" s="77">
        <f>P1386-Q1386</f>
        <v/>
      </c>
      <c r="V1386" s="77">
        <f>ABS(U1386)</f>
        <v/>
      </c>
      <c r="W1386" s="78">
        <f>T1386/L1386</f>
        <v/>
      </c>
      <c r="X1386" s="79">
        <f>ABS(W1386)</f>
        <v/>
      </c>
    </row>
    <row r="1387" ht="11.4" customHeight="1">
      <c r="A1387" s="67" t="inlineStr">
        <is>
          <t>8073</t>
        </is>
      </c>
      <c r="B1387" s="67" t="inlineStr">
        <is>
          <t>1071</t>
        </is>
      </c>
      <c r="C1387" s="67" t="inlineStr">
        <is>
          <t>1614</t>
        </is>
      </c>
      <c r="D1387" s="68" t="inlineStr">
        <is>
          <t>21</t>
        </is>
      </c>
      <c r="E1387" s="68" t="inlineStr">
        <is>
          <t>Kiosk-LHI</t>
        </is>
      </c>
      <c r="F1387" s="68" t="inlineStr">
        <is>
          <t>独立甜品站装修</t>
        </is>
      </c>
      <c r="G1387" s="68" t="inlineStr">
        <is>
          <t>独立甜品站装修</t>
        </is>
      </c>
      <c r="H1387" s="68" t="inlineStr">
        <is>
          <t>独立甜品站-空调</t>
        </is>
      </c>
      <c r="I1387" s="69" t="inlineStr">
        <is>
          <t>1000022012</t>
        </is>
      </c>
      <c r="J1387" s="69" t="inlineStr">
        <is>
          <t>连接3匹空调内、外机的一对(两根)冷媒管</t>
        </is>
      </c>
      <c r="K1387" s="70" t="n"/>
      <c r="L1387" s="70" t="n"/>
      <c r="M1387" s="71" t="inlineStr">
        <is>
          <t>米</t>
        </is>
      </c>
      <c r="N1387" s="72" t="n">
        <v>122.2</v>
      </c>
      <c r="O1387" s="72">
        <f>ROUND(N1387*(1+$F$10),2)</f>
        <v/>
      </c>
      <c r="P1387" s="73">
        <f>ROUND(K1387*N1387,2)</f>
        <v/>
      </c>
      <c r="Q1387" s="74">
        <f>ROUND(L1387*N1387,2)</f>
        <v/>
      </c>
      <c r="R1387" s="75" t="n"/>
      <c r="S1387" s="76" t="n"/>
      <c r="T1387" s="77">
        <f>K1387-L1387</f>
        <v/>
      </c>
      <c r="U1387" s="77">
        <f>P1387-Q1387</f>
        <v/>
      </c>
      <c r="V1387" s="77">
        <f>ABS(U1387)</f>
        <v/>
      </c>
      <c r="W1387" s="78">
        <f>T1387/L1387</f>
        <v/>
      </c>
      <c r="X1387" s="79">
        <f>ABS(W1387)</f>
        <v/>
      </c>
    </row>
    <row r="1388" ht="11.4" customHeight="1">
      <c r="A1388" s="67" t="inlineStr">
        <is>
          <t>8086</t>
        </is>
      </c>
      <c r="B1388" s="67" t="inlineStr">
        <is>
          <t>1084</t>
        </is>
      </c>
      <c r="C1388" s="67" t="inlineStr">
        <is>
          <t>3791</t>
        </is>
      </c>
      <c r="D1388" s="68" t="inlineStr">
        <is>
          <t>21</t>
        </is>
      </c>
      <c r="E1388" s="68" t="inlineStr">
        <is>
          <t>Kiosk-ESSD</t>
        </is>
      </c>
      <c r="F1388" s="68" t="inlineStr">
        <is>
          <t>独立甜品站ESSD</t>
        </is>
      </c>
      <c r="G1388" s="68" t="inlineStr">
        <is>
          <t>独立甜品站招牌安装</t>
        </is>
      </c>
      <c r="H1388" s="68" t="inlineStr">
        <is>
          <t>独立甜品站-招牌安装</t>
        </is>
      </c>
      <c r="I1388" s="69" t="inlineStr">
        <is>
          <t>1000022054</t>
        </is>
      </c>
      <c r="J1388" s="69" t="inlineStr">
        <is>
          <t>门头招牌安装</t>
        </is>
      </c>
      <c r="K1388" s="70" t="n"/>
      <c r="L1388" s="70" t="n"/>
      <c r="M1388" s="71" t="inlineStr">
        <is>
          <t>m2</t>
        </is>
      </c>
      <c r="N1388" s="72" t="n">
        <v>438.66</v>
      </c>
      <c r="O1388" s="72">
        <f>ROUND(N1388*(1+$F$10),2)</f>
        <v/>
      </c>
      <c r="P1388" s="73">
        <f>ROUND(K1388*N1388,2)</f>
        <v/>
      </c>
      <c r="Q1388" s="74">
        <f>ROUND(L1388*N1388,2)</f>
        <v/>
      </c>
      <c r="R1388" s="75" t="n"/>
      <c r="S1388" s="76" t="n"/>
      <c r="T1388" s="77">
        <f>K1388-L1388</f>
        <v/>
      </c>
      <c r="U1388" s="77">
        <f>P1388-Q1388</f>
        <v/>
      </c>
      <c r="V1388" s="77">
        <f>ABS(U1388)</f>
        <v/>
      </c>
      <c r="W1388" s="78">
        <f>T1388/L1388</f>
        <v/>
      </c>
      <c r="X1388" s="79">
        <f>ABS(W1388)</f>
        <v/>
      </c>
    </row>
    <row r="1389" ht="11.4" customHeight="1">
      <c r="A1389" s="67" t="inlineStr">
        <is>
          <t>8086</t>
        </is>
      </c>
      <c r="B1389" s="67" t="inlineStr">
        <is>
          <t>1084</t>
        </is>
      </c>
      <c r="C1389" s="67" t="inlineStr">
        <is>
          <t>3791</t>
        </is>
      </c>
      <c r="D1389" s="68" t="inlineStr">
        <is>
          <t>21</t>
        </is>
      </c>
      <c r="E1389" s="68" t="inlineStr">
        <is>
          <t>Kiosk-ESSD</t>
        </is>
      </c>
      <c r="F1389" s="68" t="inlineStr">
        <is>
          <t>独立甜品站ESSD</t>
        </is>
      </c>
      <c r="G1389" s="68" t="inlineStr">
        <is>
          <t>独立甜品站招牌安装</t>
        </is>
      </c>
      <c r="H1389" s="68" t="inlineStr">
        <is>
          <t>独立甜品站-招牌安装</t>
        </is>
      </c>
      <c r="I1389" s="69" t="inlineStr">
        <is>
          <t>1000022134</t>
        </is>
      </c>
      <c r="J1389" s="69" t="inlineStr">
        <is>
          <t>甜品站-招牌安装</t>
        </is>
      </c>
      <c r="K1389" s="70" t="n"/>
      <c r="L1389" s="70" t="n"/>
      <c r="M1389" s="71" t="inlineStr">
        <is>
          <t>项</t>
        </is>
      </c>
      <c r="N1389" s="72" t="n">
        <v>674.38</v>
      </c>
      <c r="O1389" s="72">
        <f>ROUND(N1389*(1+$F$10),2)</f>
        <v/>
      </c>
      <c r="P1389" s="73">
        <f>ROUND(K1389*N1389,2)</f>
        <v/>
      </c>
      <c r="Q1389" s="74">
        <f>ROUND(L1389*N1389,2)</f>
        <v/>
      </c>
      <c r="R1389" s="75" t="n"/>
      <c r="S1389" s="76" t="n"/>
      <c r="T1389" s="77">
        <f>K1389-L1389</f>
        <v/>
      </c>
      <c r="U1389" s="77">
        <f>P1389-Q1389</f>
        <v/>
      </c>
      <c r="V1389" s="77">
        <f>ABS(U1389)</f>
        <v/>
      </c>
      <c r="W1389" s="78">
        <f>T1389/L1389</f>
        <v/>
      </c>
      <c r="X1389" s="79">
        <f>ABS(W1389)</f>
        <v/>
      </c>
    </row>
    <row r="1390" ht="11.4" customHeight="1">
      <c r="A1390" s="67" t="inlineStr">
        <is>
          <t>8086</t>
        </is>
      </c>
      <c r="B1390" s="67" t="inlineStr">
        <is>
          <t>1084</t>
        </is>
      </c>
      <c r="C1390" s="67" t="inlineStr">
        <is>
          <t>3791</t>
        </is>
      </c>
      <c r="D1390" s="68" t="inlineStr">
        <is>
          <t>21</t>
        </is>
      </c>
      <c r="E1390" s="68" t="inlineStr">
        <is>
          <t>Kiosk-ESSD</t>
        </is>
      </c>
      <c r="F1390" s="68" t="inlineStr">
        <is>
          <t>独立甜品站ESSD</t>
        </is>
      </c>
      <c r="G1390" s="68" t="inlineStr">
        <is>
          <t>独立甜品站招牌安装</t>
        </is>
      </c>
      <c r="H1390" s="68" t="inlineStr">
        <is>
          <t>独立甜品站-“大生”铝板吊顶安装</t>
        </is>
      </c>
      <c r="I1390" s="69" t="inlineStr">
        <is>
          <t>1000022135</t>
        </is>
      </c>
      <c r="J1390" s="69" t="inlineStr">
        <is>
          <t>甜品站-“大生”铝板吊顶安装</t>
        </is>
      </c>
      <c r="K1390" s="70" t="n"/>
      <c r="L1390" s="70" t="n"/>
      <c r="M1390" s="71" t="inlineStr">
        <is>
          <t>项</t>
        </is>
      </c>
      <c r="N1390" s="72" t="n">
        <v>761.5</v>
      </c>
      <c r="O1390" s="72">
        <f>ROUND(N1390*(1+$F$10),2)</f>
        <v/>
      </c>
      <c r="P1390" s="73">
        <f>ROUND(K1390*N1390,2)</f>
        <v/>
      </c>
      <c r="Q1390" s="74">
        <f>ROUND(L1390*N1390,2)</f>
        <v/>
      </c>
      <c r="R1390" s="75" t="n"/>
      <c r="S1390" s="76" t="n"/>
      <c r="T1390" s="77">
        <f>K1390-L1390</f>
        <v/>
      </c>
      <c r="U1390" s="77">
        <f>P1390-Q1390</f>
        <v/>
      </c>
      <c r="V1390" s="77">
        <f>ABS(U1390)</f>
        <v/>
      </c>
      <c r="W1390" s="78">
        <f>T1390/L1390</f>
        <v/>
      </c>
      <c r="X1390" s="79">
        <f>ABS(W1390)</f>
        <v/>
      </c>
    </row>
    <row r="1391" ht="11.4" customHeight="1">
      <c r="A1391" s="67" t="inlineStr">
        <is>
          <t>8086</t>
        </is>
      </c>
      <c r="B1391" s="67" t="inlineStr">
        <is>
          <t>1084</t>
        </is>
      </c>
      <c r="C1391" s="67" t="inlineStr">
        <is>
          <t>3791</t>
        </is>
      </c>
      <c r="D1391" s="68" t="inlineStr">
        <is>
          <t>21</t>
        </is>
      </c>
      <c r="E1391" s="68" t="inlineStr">
        <is>
          <t>Kiosk-ESSD</t>
        </is>
      </c>
      <c r="F1391" s="68" t="inlineStr">
        <is>
          <t>独立甜品站ESSD</t>
        </is>
      </c>
      <c r="G1391" s="68" t="inlineStr">
        <is>
          <t>独立甜品站招牌安装</t>
        </is>
      </c>
      <c r="H1391" s="68" t="inlineStr">
        <is>
          <t>独立甜品站-菜单牌安装</t>
        </is>
      </c>
      <c r="I1391" s="69" t="inlineStr">
        <is>
          <t>1000022136</t>
        </is>
      </c>
      <c r="J1391" s="69" t="inlineStr">
        <is>
          <t>甜品站-菜单牌安装</t>
        </is>
      </c>
      <c r="K1391" s="70" t="n"/>
      <c r="L1391" s="70" t="n"/>
      <c r="M1391" s="71" t="inlineStr">
        <is>
          <t>项</t>
        </is>
      </c>
      <c r="N1391" s="72" t="n">
        <v>137.5</v>
      </c>
      <c r="O1391" s="72">
        <f>ROUND(N1391*(1+$F$10),2)</f>
        <v/>
      </c>
      <c r="P1391" s="73">
        <f>ROUND(K1391*N1391,2)</f>
        <v/>
      </c>
      <c r="Q1391" s="74">
        <f>ROUND(L1391*N1391,2)</f>
        <v/>
      </c>
      <c r="R1391" s="75" t="n"/>
      <c r="S1391" s="76" t="n"/>
      <c r="T1391" s="77">
        <f>K1391-L1391</f>
        <v/>
      </c>
      <c r="U1391" s="77">
        <f>P1391-Q1391</f>
        <v/>
      </c>
      <c r="V1391" s="77">
        <f>ABS(U1391)</f>
        <v/>
      </c>
      <c r="W1391" s="78">
        <f>T1391/L1391</f>
        <v/>
      </c>
      <c r="X1391" s="79">
        <f>ABS(W1391)</f>
        <v/>
      </c>
    </row>
    <row r="1392" ht="11.4" customHeight="1">
      <c r="A1392" s="67" t="inlineStr">
        <is>
          <t>8086</t>
        </is>
      </c>
      <c r="B1392" s="67" t="inlineStr">
        <is>
          <t>1084</t>
        </is>
      </c>
      <c r="C1392" s="67" t="inlineStr">
        <is>
          <t>3791</t>
        </is>
      </c>
      <c r="D1392" s="68" t="inlineStr">
        <is>
          <t>21</t>
        </is>
      </c>
      <c r="E1392" s="68" t="inlineStr">
        <is>
          <t>Kiosk-ESSD</t>
        </is>
      </c>
      <c r="F1392" s="68" t="inlineStr">
        <is>
          <t>独立甜品站ESSD</t>
        </is>
      </c>
      <c r="G1392" s="68" t="inlineStr">
        <is>
          <t>独立甜品站招牌安装</t>
        </is>
      </c>
      <c r="H1392" s="68" t="inlineStr">
        <is>
          <t>独立甜品站-菜单牌安装</t>
        </is>
      </c>
      <c r="I1392" s="69" t="inlineStr">
        <is>
          <t>1000022137</t>
        </is>
      </c>
      <c r="J1392" s="69" t="inlineStr">
        <is>
          <t>甜品站-700*700灯箱安装</t>
        </is>
      </c>
      <c r="K1392" s="70" t="n"/>
      <c r="L1392" s="70" t="n"/>
      <c r="M1392" s="71" t="inlineStr">
        <is>
          <t>只</t>
        </is>
      </c>
      <c r="N1392" s="72" t="n">
        <v>158.95</v>
      </c>
      <c r="O1392" s="72">
        <f>ROUND(N1392*(1+$F$10),2)</f>
        <v/>
      </c>
      <c r="P1392" s="73">
        <f>ROUND(K1392*N1392,2)</f>
        <v/>
      </c>
      <c r="Q1392" s="74">
        <f>ROUND(L1392*N1392,2)</f>
        <v/>
      </c>
      <c r="R1392" s="75" t="n"/>
      <c r="S1392" s="76" t="n"/>
      <c r="T1392" s="77">
        <f>K1392-L1392</f>
        <v/>
      </c>
      <c r="U1392" s="77">
        <f>P1392-Q1392</f>
        <v/>
      </c>
      <c r="V1392" s="77">
        <f>ABS(U1392)</f>
        <v/>
      </c>
      <c r="W1392" s="78">
        <f>T1392/L1392</f>
        <v/>
      </c>
      <c r="X1392" s="79">
        <f>ABS(W1392)</f>
        <v/>
      </c>
    </row>
    <row r="1393" ht="11.4" customHeight="1">
      <c r="A1393" s="67" t="inlineStr">
        <is>
          <t>8086</t>
        </is>
      </c>
      <c r="B1393" s="67" t="inlineStr">
        <is>
          <t>1084</t>
        </is>
      </c>
      <c r="C1393" s="67" t="inlineStr">
        <is>
          <t>3791</t>
        </is>
      </c>
      <c r="D1393" s="68" t="inlineStr">
        <is>
          <t>21</t>
        </is>
      </c>
      <c r="E1393" s="68" t="inlineStr">
        <is>
          <t>Kiosk-ESSD</t>
        </is>
      </c>
      <c r="F1393" s="68" t="inlineStr">
        <is>
          <t>独立甜品站ESSD</t>
        </is>
      </c>
      <c r="G1393" s="68" t="inlineStr">
        <is>
          <t>独立甜品站招牌安装</t>
        </is>
      </c>
      <c r="H1393" s="68" t="inlineStr">
        <is>
          <t>独立甜品站-菜单牌安装</t>
        </is>
      </c>
      <c r="I1393" s="69" t="inlineStr">
        <is>
          <t>1000022138</t>
        </is>
      </c>
      <c r="J1393" s="69" t="inlineStr">
        <is>
          <t>定制展示柜灯箱安装</t>
        </is>
      </c>
      <c r="K1393" s="70" t="n"/>
      <c r="L1393" s="70" t="n"/>
      <c r="M1393" s="71" t="inlineStr">
        <is>
          <t>套</t>
        </is>
      </c>
      <c r="N1393" s="72" t="n">
        <v>1197.5</v>
      </c>
      <c r="O1393" s="72">
        <f>ROUND(N1393*(1+$F$10),2)</f>
        <v/>
      </c>
      <c r="P1393" s="73">
        <f>ROUND(K1393*N1393,2)</f>
        <v/>
      </c>
      <c r="Q1393" s="74">
        <f>ROUND(L1393*N1393,2)</f>
        <v/>
      </c>
      <c r="R1393" s="75" t="n"/>
      <c r="S1393" s="76" t="n"/>
      <c r="T1393" s="77">
        <f>K1393-L1393</f>
        <v/>
      </c>
      <c r="U1393" s="77">
        <f>P1393-Q1393</f>
        <v/>
      </c>
      <c r="V1393" s="77">
        <f>ABS(U1393)</f>
        <v/>
      </c>
      <c r="W1393" s="78">
        <f>T1393/L1393</f>
        <v/>
      </c>
      <c r="X1393" s="79">
        <f>ABS(W1393)</f>
        <v/>
      </c>
    </row>
    <row r="1394" ht="11.4" customHeight="1">
      <c r="A1394" s="67" t="inlineStr">
        <is>
          <t>8132</t>
        </is>
      </c>
      <c r="B1394" s="67" t="inlineStr">
        <is>
          <t>1130</t>
        </is>
      </c>
      <c r="C1394" s="67" t="inlineStr">
        <is>
          <t>8422</t>
        </is>
      </c>
      <c r="D1394" s="68" t="inlineStr">
        <is>
          <t>21</t>
        </is>
      </c>
      <c r="E1394" s="68" t="inlineStr">
        <is>
          <t>Kiosk-ESSD</t>
        </is>
      </c>
      <c r="F1394" s="68" t="inlineStr">
        <is>
          <t>独立甜品站ESSD</t>
        </is>
      </c>
      <c r="G1394" s="68" t="inlineStr">
        <is>
          <t>独立甜品站本地采购设备</t>
        </is>
      </c>
      <c r="H1394" s="68" t="inlineStr">
        <is>
          <t>独立甜品站-音响</t>
        </is>
      </c>
      <c r="I1394" s="69" t="inlineStr">
        <is>
          <t>1000021603</t>
        </is>
      </c>
      <c r="J1394" s="69" t="inlineStr">
        <is>
          <t>Honeywell甜品站-音响（含无线耳麦话筒）</t>
        </is>
      </c>
      <c r="K1394" s="70" t="n"/>
      <c r="L1394" s="70" t="n"/>
      <c r="M1394" s="71" t="inlineStr">
        <is>
          <t>项</t>
        </is>
      </c>
      <c r="N1394" s="72" t="n">
        <v>3741.96</v>
      </c>
      <c r="O1394" s="72">
        <f>ROUND(N1394*(1+$F$10),2)</f>
        <v/>
      </c>
      <c r="P1394" s="73">
        <f>ROUND(K1394*N1394,2)</f>
        <v/>
      </c>
      <c r="Q1394" s="74">
        <f>ROUND(L1394*N1394,2)</f>
        <v/>
      </c>
      <c r="R1394" s="75" t="n"/>
      <c r="S1394" s="76" t="n"/>
      <c r="T1394" s="77">
        <f>K1394-L1394</f>
        <v/>
      </c>
      <c r="U1394" s="77">
        <f>P1394-Q1394</f>
        <v/>
      </c>
      <c r="V1394" s="77">
        <f>ABS(U1394)</f>
        <v/>
      </c>
      <c r="W1394" s="78">
        <f>T1394/L1394</f>
        <v/>
      </c>
      <c r="X1394" s="79">
        <f>ABS(W1394)</f>
        <v/>
      </c>
    </row>
    <row r="1395" ht="11.4" customHeight="1">
      <c r="A1395" s="67" t="inlineStr">
        <is>
          <t>8132</t>
        </is>
      </c>
      <c r="B1395" s="67" t="inlineStr">
        <is>
          <t>1130</t>
        </is>
      </c>
      <c r="C1395" s="67" t="inlineStr">
        <is>
          <t>8422</t>
        </is>
      </c>
      <c r="D1395" s="68" t="inlineStr">
        <is>
          <t>21</t>
        </is>
      </c>
      <c r="E1395" s="68" t="inlineStr">
        <is>
          <t>Kiosk-ESSD</t>
        </is>
      </c>
      <c r="F1395" s="68" t="inlineStr">
        <is>
          <t>独立甜品站ESSD</t>
        </is>
      </c>
      <c r="G1395" s="68" t="inlineStr">
        <is>
          <t>独立甜品站本地采购设备</t>
        </is>
      </c>
      <c r="H1395" s="68" t="inlineStr">
        <is>
          <t>独立甜品站-音响</t>
        </is>
      </c>
      <c r="I1395" s="69" t="inlineStr">
        <is>
          <t>1000021604</t>
        </is>
      </c>
      <c r="J1395" s="69" t="inlineStr">
        <is>
          <t>BOSCH甜品站-音响（含无线耳麦话筒）</t>
        </is>
      </c>
      <c r="K1395" s="70" t="n"/>
      <c r="L1395" s="70" t="n"/>
      <c r="M1395" s="71" t="inlineStr">
        <is>
          <t>项</t>
        </is>
      </c>
      <c r="N1395" s="72" t="n">
        <v>3867.36</v>
      </c>
      <c r="O1395" s="72">
        <f>ROUND(N1395*(1+$F$10),2)</f>
        <v/>
      </c>
      <c r="P1395" s="73">
        <f>ROUND(K1395*N1395,2)</f>
        <v/>
      </c>
      <c r="Q1395" s="74">
        <f>ROUND(L1395*N1395,2)</f>
        <v/>
      </c>
      <c r="R1395" s="75" t="n"/>
      <c r="S1395" s="76" t="n"/>
      <c r="T1395" s="77">
        <f>K1395-L1395</f>
        <v/>
      </c>
      <c r="U1395" s="77">
        <f>P1395-Q1395</f>
        <v/>
      </c>
      <c r="V1395" s="77">
        <f>ABS(U1395)</f>
        <v/>
      </c>
      <c r="W1395" s="78">
        <f>T1395/L1395</f>
        <v/>
      </c>
      <c r="X1395" s="79">
        <f>ABS(W1395)</f>
        <v/>
      </c>
    </row>
    <row r="1396" ht="11.4" customHeight="1">
      <c r="A1396" s="67" t="inlineStr">
        <is>
          <t>8132</t>
        </is>
      </c>
      <c r="B1396" s="67" t="inlineStr">
        <is>
          <t>1130</t>
        </is>
      </c>
      <c r="C1396" s="67" t="inlineStr">
        <is>
          <t>8422</t>
        </is>
      </c>
      <c r="D1396" s="68" t="inlineStr">
        <is>
          <t>21</t>
        </is>
      </c>
      <c r="E1396" s="68" t="inlineStr">
        <is>
          <t>Kiosk-ESSD</t>
        </is>
      </c>
      <c r="F1396" s="68" t="inlineStr">
        <is>
          <t>店内甜品站ESSD</t>
        </is>
      </c>
      <c r="G1396" s="68" t="inlineStr">
        <is>
          <t>店内甜品站本地采购设备</t>
        </is>
      </c>
      <c r="H1396" s="68" t="inlineStr">
        <is>
          <t>店内甜品站-音响</t>
        </is>
      </c>
      <c r="I1396" s="69" t="inlineStr">
        <is>
          <t>1000022170</t>
        </is>
      </c>
      <c r="J1396" s="69" t="inlineStr">
        <is>
          <t>甜品站-音响布线及安装</t>
        </is>
      </c>
      <c r="K1396" s="70" t="n"/>
      <c r="L1396" s="70" t="n"/>
      <c r="M1396" s="71" t="inlineStr">
        <is>
          <t>项</t>
        </is>
      </c>
      <c r="N1396" s="72" t="n">
        <v>791.76</v>
      </c>
      <c r="O1396" s="72">
        <f>ROUND(N1396*(1+$F$10),2)</f>
        <v/>
      </c>
      <c r="P1396" s="73">
        <f>ROUND(K1396*N1396,2)</f>
        <v/>
      </c>
      <c r="Q1396" s="74">
        <f>ROUND(L1396*N1396,2)</f>
        <v/>
      </c>
      <c r="R1396" s="75" t="n"/>
      <c r="S1396" s="76" t="n"/>
      <c r="T1396" s="77">
        <f>K1396-L1396</f>
        <v/>
      </c>
      <c r="U1396" s="77">
        <f>P1396-Q1396</f>
        <v/>
      </c>
      <c r="V1396" s="77">
        <f>ABS(U1396)</f>
        <v/>
      </c>
      <c r="W1396" s="78">
        <f>T1396/L1396</f>
        <v/>
      </c>
      <c r="X1396" s="79">
        <f>ABS(W1396)</f>
        <v/>
      </c>
    </row>
    <row r="1397" ht="11.4" customHeight="1">
      <c r="A1397" s="67" t="inlineStr">
        <is>
          <t>8133</t>
        </is>
      </c>
      <c r="B1397" s="67" t="inlineStr">
        <is>
          <t>1131</t>
        </is>
      </c>
      <c r="C1397" s="67" t="inlineStr">
        <is>
          <t>8424</t>
        </is>
      </c>
      <c r="D1397" s="68" t="inlineStr">
        <is>
          <t>21</t>
        </is>
      </c>
      <c r="E1397" s="68" t="inlineStr">
        <is>
          <t>Kiosk-ESSD</t>
        </is>
      </c>
      <c r="F1397" s="68" t="inlineStr">
        <is>
          <t>独立甜品站ESSD</t>
        </is>
      </c>
      <c r="G1397" s="68" t="inlineStr">
        <is>
          <t>独立甜品站本地采购设备</t>
        </is>
      </c>
      <c r="H1397" s="68" t="inlineStr">
        <is>
          <t>独立独立甜品站-监控</t>
        </is>
      </c>
      <c r="I1397" s="69" t="inlineStr">
        <is>
          <t>1000022151</t>
        </is>
      </c>
      <c r="J1397" s="69" t="inlineStr">
        <is>
          <t>独立甜品站-监控</t>
        </is>
      </c>
      <c r="K1397" s="70" t="n"/>
      <c r="L1397" s="70" t="n"/>
      <c r="M1397" s="71" t="inlineStr">
        <is>
          <t>项</t>
        </is>
      </c>
      <c r="N1397" s="72" t="n">
        <v>6070.89</v>
      </c>
      <c r="O1397" s="72">
        <f>ROUND(N1397*(1+$F$10),2)</f>
        <v/>
      </c>
      <c r="P1397" s="73">
        <f>ROUND(K1397*N1397,2)</f>
        <v/>
      </c>
      <c r="Q1397" s="74">
        <f>ROUND(L1397*N1397,2)</f>
        <v/>
      </c>
      <c r="R1397" s="75" t="n"/>
      <c r="S1397" s="76" t="n"/>
      <c r="T1397" s="77">
        <f>K1397-L1397</f>
        <v/>
      </c>
      <c r="U1397" s="77">
        <f>P1397-Q1397</f>
        <v/>
      </c>
      <c r="V1397" s="77">
        <f>ABS(U1397)</f>
        <v/>
      </c>
      <c r="W1397" s="78">
        <f>T1397/L1397</f>
        <v/>
      </c>
      <c r="X1397" s="79">
        <f>ABS(W1397)</f>
        <v/>
      </c>
    </row>
    <row r="1398" ht="11.4" customHeight="1">
      <c r="A1398" s="67" t="inlineStr">
        <is>
          <t>8133</t>
        </is>
      </c>
      <c r="B1398" s="67" t="inlineStr">
        <is>
          <t>1131</t>
        </is>
      </c>
      <c r="C1398" s="67" t="inlineStr">
        <is>
          <t>8424</t>
        </is>
      </c>
      <c r="D1398" s="68" t="inlineStr">
        <is>
          <t>21</t>
        </is>
      </c>
      <c r="E1398" s="68" t="inlineStr">
        <is>
          <t>Kiosk-ESSD</t>
        </is>
      </c>
      <c r="F1398" s="68" t="inlineStr">
        <is>
          <t>独立甜品站ESSD</t>
        </is>
      </c>
      <c r="G1398" s="68" t="inlineStr">
        <is>
          <t>独立甜品站本地采购设备</t>
        </is>
      </c>
      <c r="H1398" s="68" t="inlineStr">
        <is>
          <t>独立独立甜品站-110报警</t>
        </is>
      </c>
      <c r="I1398" s="69" t="inlineStr">
        <is>
          <t>1000040118</t>
        </is>
      </c>
      <c r="J1398" s="69" t="inlineStr">
        <is>
          <t>独立甜品站-110报警</t>
        </is>
      </c>
      <c r="K1398" s="70" t="n"/>
      <c r="L1398" s="70" t="n"/>
      <c r="M1398" s="71" t="inlineStr">
        <is>
          <t>项</t>
        </is>
      </c>
      <c r="N1398" s="72" t="n"/>
      <c r="O1398" s="72">
        <f>ROUND(N1398*(1+$F$10),2)</f>
        <v/>
      </c>
      <c r="P1398" s="73">
        <f>ROUND(K1398*N1398,2)</f>
        <v/>
      </c>
      <c r="Q1398" s="74">
        <f>ROUND(L1398*N1398,2)</f>
        <v/>
      </c>
      <c r="R1398" s="75" t="n"/>
      <c r="S1398" s="76" t="n"/>
      <c r="T1398" s="77">
        <f>K1398-L1398</f>
        <v/>
      </c>
      <c r="U1398" s="77">
        <f>P1398-Q1398</f>
        <v/>
      </c>
      <c r="V1398" s="77">
        <f>ABS(U1398)</f>
        <v/>
      </c>
      <c r="W1398" s="78">
        <f>T1398/L1398</f>
        <v/>
      </c>
      <c r="X1398" s="79">
        <f>ABS(W1398)</f>
        <v/>
      </c>
    </row>
    <row r="1399" ht="11.4" customHeight="1">
      <c r="A1399" s="67" t="inlineStr">
        <is>
          <t>8144</t>
        </is>
      </c>
      <c r="B1399" s="67" t="inlineStr">
        <is>
          <t>1150</t>
        </is>
      </c>
      <c r="C1399" s="67" t="inlineStr">
        <is>
          <t>8491</t>
        </is>
      </c>
      <c r="D1399" s="68" t="inlineStr">
        <is>
          <t>21</t>
        </is>
      </c>
      <c r="E1399" s="68" t="inlineStr">
        <is>
          <t>Kiosk-ESSD</t>
        </is>
      </c>
      <c r="F1399" s="68" t="inlineStr">
        <is>
          <t>独立甜品站ESSD</t>
        </is>
      </c>
      <c r="G1399" s="68" t="inlineStr">
        <is>
          <t>独立甜品站承包商供应施工材料和设备</t>
        </is>
      </c>
      <c r="H1399" s="68" t="inlineStr">
        <is>
          <t>独立甜品站-空调设备和控制系统</t>
        </is>
      </c>
      <c r="I1399" s="69" t="inlineStr">
        <is>
          <t>1000021660</t>
        </is>
      </c>
      <c r="J1399" s="69" t="inlineStr">
        <is>
          <t>供应(不含安装) 松下小型排风扇</t>
        </is>
      </c>
      <c r="K1399" s="70" t="n"/>
      <c r="L1399" s="70" t="n"/>
      <c r="M1399" s="71" t="inlineStr">
        <is>
          <t>台</t>
        </is>
      </c>
      <c r="N1399" s="72" t="n">
        <v>670.89</v>
      </c>
      <c r="O1399" s="72">
        <f>ROUND(N1399*(1+$F$10),2)</f>
        <v/>
      </c>
      <c r="P1399" s="73">
        <f>ROUND(K1399*N1399,2)</f>
        <v/>
      </c>
      <c r="Q1399" s="74">
        <f>ROUND(L1399*N1399,2)</f>
        <v/>
      </c>
      <c r="R1399" s="75" t="n"/>
      <c r="S1399" s="76" t="n"/>
      <c r="T1399" s="77">
        <f>K1399-L1399</f>
        <v/>
      </c>
      <c r="U1399" s="77">
        <f>P1399-Q1399</f>
        <v/>
      </c>
      <c r="V1399" s="77">
        <f>ABS(U1399)</f>
        <v/>
      </c>
      <c r="W1399" s="78">
        <f>T1399/L1399</f>
        <v/>
      </c>
      <c r="X1399" s="79">
        <f>ABS(W1399)</f>
        <v/>
      </c>
    </row>
    <row r="1400" ht="11.4" customHeight="1">
      <c r="A1400" s="67" t="inlineStr">
        <is>
          <t>8144</t>
        </is>
      </c>
      <c r="B1400" s="67" t="inlineStr">
        <is>
          <t>1150</t>
        </is>
      </c>
      <c r="C1400" s="67" t="inlineStr">
        <is>
          <t>8491</t>
        </is>
      </c>
      <c r="D1400" s="68" t="inlineStr">
        <is>
          <t>21</t>
        </is>
      </c>
      <c r="E1400" s="68" t="inlineStr">
        <is>
          <t>Kiosk-ESSD</t>
        </is>
      </c>
      <c r="F1400" s="68" t="inlineStr">
        <is>
          <t>独立甜品站ESSD</t>
        </is>
      </c>
      <c r="G1400" s="68" t="inlineStr">
        <is>
          <t>独立甜品站承包商供应施工材料和设备</t>
        </is>
      </c>
      <c r="H1400" s="68" t="inlineStr">
        <is>
          <t>独立甜品站-空调设备和控制系统</t>
        </is>
      </c>
      <c r="I1400" s="69" t="inlineStr">
        <is>
          <t>1000021587</t>
        </is>
      </c>
      <c r="J1400" s="69" t="inlineStr">
        <is>
          <t>供应(不含安装) 风幕机</t>
        </is>
      </c>
      <c r="K1400" s="70" t="n"/>
      <c r="L1400" s="70" t="n"/>
      <c r="M1400" s="71" t="inlineStr">
        <is>
          <t>台</t>
        </is>
      </c>
      <c r="N1400" s="72" t="n">
        <v>1413.32</v>
      </c>
      <c r="O1400" s="72">
        <f>ROUND(N1400*(1+$F$10),2)</f>
        <v/>
      </c>
      <c r="P1400" s="73">
        <f>ROUND(K1400*N1400,2)</f>
        <v/>
      </c>
      <c r="Q1400" s="74">
        <f>ROUND(L1400*N1400,2)</f>
        <v/>
      </c>
      <c r="R1400" s="75" t="n"/>
      <c r="S1400" s="76" t="n"/>
      <c r="T1400" s="77">
        <f>K1400-L1400</f>
        <v/>
      </c>
      <c r="U1400" s="77">
        <f>P1400-Q1400</f>
        <v/>
      </c>
      <c r="V1400" s="77">
        <f>ABS(U1400)</f>
        <v/>
      </c>
      <c r="W1400" s="78">
        <f>T1400/L1400</f>
        <v/>
      </c>
      <c r="X1400" s="79">
        <f>ABS(W1400)</f>
        <v/>
      </c>
    </row>
    <row r="1401" ht="11.4" customHeight="1">
      <c r="A1401" s="67" t="inlineStr">
        <is>
          <t>8144</t>
        </is>
      </c>
      <c r="B1401" s="67" t="inlineStr">
        <is>
          <t>1150</t>
        </is>
      </c>
      <c r="C1401" s="67" t="inlineStr">
        <is>
          <t>8491</t>
        </is>
      </c>
      <c r="D1401" s="68" t="inlineStr">
        <is>
          <t>21</t>
        </is>
      </c>
      <c r="E1401" s="68" t="inlineStr">
        <is>
          <t>Kiosk-ESSD</t>
        </is>
      </c>
      <c r="F1401" s="68" t="inlineStr">
        <is>
          <t>独立甜品站ESSD</t>
        </is>
      </c>
      <c r="G1401" s="68" t="inlineStr">
        <is>
          <t>独立甜品站承包商供应施工材料和设备</t>
        </is>
      </c>
      <c r="H1401" s="68" t="inlineStr">
        <is>
          <t>独立甜品站-空调设备和控制系统</t>
        </is>
      </c>
      <c r="I1401" s="69" t="inlineStr">
        <is>
          <t>1000021588</t>
        </is>
      </c>
      <c r="J1401" s="69" t="inlineStr">
        <is>
          <t>供应(不含安装) 电加热型 风幕机</t>
        </is>
      </c>
      <c r="K1401" s="70" t="n"/>
      <c r="L1401" s="70" t="n"/>
      <c r="M1401" s="71" t="inlineStr">
        <is>
          <t>只</t>
        </is>
      </c>
      <c r="N1401" s="72" t="n">
        <v>2295.13</v>
      </c>
      <c r="O1401" s="72">
        <f>ROUND(N1401*(1+$F$10),2)</f>
        <v/>
      </c>
      <c r="P1401" s="73">
        <f>ROUND(K1401*N1401,2)</f>
        <v/>
      </c>
      <c r="Q1401" s="74">
        <f>ROUND(L1401*N1401,2)</f>
        <v/>
      </c>
      <c r="R1401" s="75" t="n"/>
      <c r="S1401" s="76" t="n"/>
      <c r="T1401" s="77">
        <f>K1401-L1401</f>
        <v/>
      </c>
      <c r="U1401" s="77">
        <f>P1401-Q1401</f>
        <v/>
      </c>
      <c r="V1401" s="77">
        <f>ABS(U1401)</f>
        <v/>
      </c>
      <c r="W1401" s="78">
        <f>T1401/L1401</f>
        <v/>
      </c>
      <c r="X1401" s="79">
        <f>ABS(W1401)</f>
        <v/>
      </c>
    </row>
    <row r="1402" ht="11.4" customHeight="1">
      <c r="A1402" s="67" t="inlineStr">
        <is>
          <t>8145</t>
        </is>
      </c>
      <c r="B1402" s="67" t="inlineStr">
        <is>
          <t>1151</t>
        </is>
      </c>
      <c r="C1402" s="67" t="inlineStr">
        <is>
          <t>8492</t>
        </is>
      </c>
      <c r="D1402" s="68" t="inlineStr">
        <is>
          <t>21</t>
        </is>
      </c>
      <c r="E1402" s="68" t="inlineStr">
        <is>
          <t>Kiosk-ESSD</t>
        </is>
      </c>
      <c r="F1402" s="68" t="inlineStr">
        <is>
          <t>独立甜品站ESSD</t>
        </is>
      </c>
      <c r="G1402" s="68" t="inlineStr">
        <is>
          <t>独立甜品站承包商供应施工材料和设备</t>
        </is>
      </c>
      <c r="H1402" s="68" t="inlineStr">
        <is>
          <t>独立甜品站-热水器</t>
        </is>
      </c>
      <c r="I1402" s="69" t="inlineStr">
        <is>
          <t>1000021593</t>
        </is>
      </c>
      <c r="J1402" s="69" t="inlineStr">
        <is>
          <t>供应(不含安装) 史密斯60升电热水器</t>
        </is>
      </c>
      <c r="K1402" s="70" t="n"/>
      <c r="L1402" s="70" t="n"/>
      <c r="M1402" s="71" t="inlineStr">
        <is>
          <t>台</t>
        </is>
      </c>
      <c r="N1402" s="72" t="n">
        <v>1399.38</v>
      </c>
      <c r="O1402" s="72">
        <f>ROUND(N1402*(1+$F$10),2)</f>
        <v/>
      </c>
      <c r="P1402" s="73">
        <f>ROUND(K1402*N1402,2)</f>
        <v/>
      </c>
      <c r="Q1402" s="74">
        <f>ROUND(L1402*N1402,2)</f>
        <v/>
      </c>
      <c r="R1402" s="75" t="n"/>
      <c r="S1402" s="76" t="n"/>
      <c r="T1402" s="77">
        <f>K1402-L1402</f>
        <v/>
      </c>
      <c r="U1402" s="77">
        <f>P1402-Q1402</f>
        <v/>
      </c>
      <c r="V1402" s="77">
        <f>ABS(U1402)</f>
        <v/>
      </c>
      <c r="W1402" s="78">
        <f>T1402/L1402</f>
        <v/>
      </c>
      <c r="X1402" s="79">
        <f>ABS(W1402)</f>
        <v/>
      </c>
    </row>
    <row r="1403" ht="11.4" customHeight="1">
      <c r="A1403" s="67" t="inlineStr">
        <is>
          <t>8145</t>
        </is>
      </c>
      <c r="B1403" s="67" t="inlineStr">
        <is>
          <t>1151</t>
        </is>
      </c>
      <c r="C1403" s="67" t="inlineStr">
        <is>
          <t>8492</t>
        </is>
      </c>
      <c r="D1403" s="68" t="inlineStr">
        <is>
          <t>21</t>
        </is>
      </c>
      <c r="E1403" s="68" t="inlineStr">
        <is>
          <t>Kiosk-ESSD</t>
        </is>
      </c>
      <c r="F1403" s="68" t="inlineStr">
        <is>
          <t>独立甜品站ESSD</t>
        </is>
      </c>
      <c r="G1403" s="68" t="inlineStr">
        <is>
          <t>独立甜品站承包商供应施工材料和设备</t>
        </is>
      </c>
      <c r="H1403" s="68" t="inlineStr">
        <is>
          <t>独立甜品站-热水器</t>
        </is>
      </c>
      <c r="I1403" s="69" t="inlineStr">
        <is>
          <t>1000040123</t>
        </is>
      </c>
      <c r="J1403" s="69" t="inlineStr">
        <is>
          <t>供应(不含安装) 瑞美60升电热水器</t>
        </is>
      </c>
      <c r="K1403" s="70" t="n"/>
      <c r="L1403" s="70" t="n"/>
      <c r="M1403" s="71" t="inlineStr">
        <is>
          <t>台</t>
        </is>
      </c>
      <c r="N1403" s="72" t="n">
        <v>1400</v>
      </c>
      <c r="O1403" s="72">
        <f>ROUND(N1403*(1+$F$10),2)</f>
        <v/>
      </c>
      <c r="P1403" s="73">
        <f>ROUND(K1403*N1403,2)</f>
        <v/>
      </c>
      <c r="Q1403" s="74">
        <f>ROUND(L1403*N1403,2)</f>
        <v/>
      </c>
      <c r="R1403" s="75" t="n"/>
      <c r="S1403" s="76" t="n"/>
      <c r="T1403" s="77">
        <f>K1403-L1403</f>
        <v/>
      </c>
      <c r="U1403" s="77">
        <f>P1403-Q1403</f>
        <v/>
      </c>
      <c r="V1403" s="77">
        <f>ABS(U1403)</f>
        <v/>
      </c>
      <c r="W1403" s="78">
        <f>T1403/L1403</f>
        <v/>
      </c>
      <c r="X1403" s="79">
        <f>ABS(W1403)</f>
        <v/>
      </c>
    </row>
    <row r="1404" ht="11.4" customHeight="1">
      <c r="A1404" s="67" t="inlineStr">
        <is>
          <t>8138</t>
        </is>
      </c>
      <c r="B1404" s="67" t="inlineStr">
        <is>
          <t>1136</t>
        </is>
      </c>
      <c r="C1404" s="67" t="inlineStr">
        <is>
          <t>8456</t>
        </is>
      </c>
      <c r="D1404" s="68" t="inlineStr">
        <is>
          <t>21</t>
        </is>
      </c>
      <c r="E1404" s="68" t="inlineStr">
        <is>
          <t>Kiosk-ESSD</t>
        </is>
      </c>
      <c r="F1404" s="68" t="inlineStr">
        <is>
          <t>独立甜品站ESSD</t>
        </is>
      </c>
      <c r="G1404" s="68" t="inlineStr">
        <is>
          <t>独立甜品站承包商供应施工材料和设备</t>
        </is>
      </c>
      <c r="H1404" s="68" t="inlineStr">
        <is>
          <t>其他厨房工具</t>
        </is>
      </c>
      <c r="I1404" s="69" t="inlineStr">
        <is>
          <t>1000021586</t>
        </is>
      </c>
      <c r="J1404" s="69" t="inlineStr">
        <is>
          <t>灭蝇灯（大堂位置，科凌）</t>
        </is>
      </c>
      <c r="K1404" s="70" t="n"/>
      <c r="L1404" s="70" t="n"/>
      <c r="M1404" s="71" t="inlineStr">
        <is>
          <t>个</t>
        </is>
      </c>
      <c r="N1404" s="72" t="n">
        <v>262.5</v>
      </c>
      <c r="O1404" s="72">
        <f>ROUND(N1404*(1+$F$10),2)</f>
        <v/>
      </c>
      <c r="P1404" s="73">
        <f>ROUND(K1404*N1404,2)</f>
        <v/>
      </c>
      <c r="Q1404" s="74">
        <f>ROUND(L1404*N1404,2)</f>
        <v/>
      </c>
      <c r="R1404" s="75" t="n"/>
      <c r="S1404" s="76" t="n"/>
      <c r="T1404" s="77">
        <f>K1404-L1404</f>
        <v/>
      </c>
      <c r="U1404" s="77">
        <f>P1404-Q1404</f>
        <v/>
      </c>
      <c r="V1404" s="77">
        <f>ABS(U1404)</f>
        <v/>
      </c>
      <c r="W1404" s="78">
        <f>T1404/L1404</f>
        <v/>
      </c>
      <c r="X1404" s="79">
        <f>ABS(W1404)</f>
        <v/>
      </c>
    </row>
    <row r="1405" ht="11.4" customHeight="1">
      <c r="A1405" s="67" t="inlineStr">
        <is>
          <t>8138</t>
        </is>
      </c>
      <c r="B1405" s="67" t="inlineStr">
        <is>
          <t>1136</t>
        </is>
      </c>
      <c r="C1405" s="67" t="inlineStr">
        <is>
          <t>8456</t>
        </is>
      </c>
      <c r="D1405" s="68" t="inlineStr">
        <is>
          <t>21</t>
        </is>
      </c>
      <c r="E1405" s="68" t="inlineStr">
        <is>
          <t>Kiosk-ESSD</t>
        </is>
      </c>
      <c r="F1405" s="68" t="inlineStr">
        <is>
          <t>独立甜品站ESSD</t>
        </is>
      </c>
      <c r="G1405" s="68" t="inlineStr">
        <is>
          <t>独立甜品站承包商供应施工材料和设备</t>
        </is>
      </c>
      <c r="H1405" s="68" t="inlineStr">
        <is>
          <t>其他厨房工具</t>
        </is>
      </c>
      <c r="I1405" s="69" t="inlineStr">
        <is>
          <t>1000040127</t>
        </is>
      </c>
      <c r="J1405" s="69" t="inlineStr">
        <is>
          <t>灭蝇灯（厨房位置，景隆）</t>
        </is>
      </c>
      <c r="K1405" s="70" t="n"/>
      <c r="L1405" s="70" t="n"/>
      <c r="M1405" s="71" t="inlineStr">
        <is>
          <t>个</t>
        </is>
      </c>
      <c r="N1405" s="72" t="n">
        <v>220.5</v>
      </c>
      <c r="O1405" s="72">
        <f>ROUND(N1405*(1+$F$10),2)</f>
        <v/>
      </c>
      <c r="P1405" s="73">
        <f>ROUND(K1405*N1405,2)</f>
        <v/>
      </c>
      <c r="Q1405" s="74">
        <f>ROUND(L1405*N1405,2)</f>
        <v/>
      </c>
      <c r="R1405" s="75" t="n"/>
      <c r="S1405" s="76" t="n"/>
      <c r="T1405" s="77">
        <f>K1405-L1405</f>
        <v/>
      </c>
      <c r="U1405" s="77">
        <f>P1405-Q1405</f>
        <v/>
      </c>
      <c r="V1405" s="77">
        <f>ABS(U1405)</f>
        <v/>
      </c>
      <c r="W1405" s="78">
        <f>T1405/L1405</f>
        <v/>
      </c>
      <c r="X1405" s="79">
        <f>ABS(W1405)</f>
        <v/>
      </c>
    </row>
    <row r="1406" ht="11.4" customHeight="1">
      <c r="A1406" s="67" t="inlineStr">
        <is>
          <t>8138</t>
        </is>
      </c>
      <c r="B1406" s="67" t="inlineStr">
        <is>
          <t>1136</t>
        </is>
      </c>
      <c r="C1406" s="67" t="inlineStr">
        <is>
          <t>8454</t>
        </is>
      </c>
      <c r="D1406" s="68" t="inlineStr">
        <is>
          <t>21</t>
        </is>
      </c>
      <c r="E1406" s="68" t="inlineStr">
        <is>
          <t>Kiosk-ESSD</t>
        </is>
      </c>
      <c r="F1406" s="68" t="inlineStr">
        <is>
          <t>独立甜品站ESSD</t>
        </is>
      </c>
      <c r="G1406" s="68" t="inlineStr">
        <is>
          <t>独立甜品站承包商供应施工材料和设备</t>
        </is>
      </c>
      <c r="H1406" s="68" t="inlineStr">
        <is>
          <t>其他厨房工具</t>
        </is>
      </c>
      <c r="I1406" s="69" t="inlineStr">
        <is>
          <t>1000021585</t>
        </is>
      </c>
      <c r="J1406" s="69" t="inlineStr">
        <is>
          <t>松下烘手器</t>
        </is>
      </c>
      <c r="K1406" s="70" t="n"/>
      <c r="L1406" s="70" t="n"/>
      <c r="M1406" s="71" t="inlineStr">
        <is>
          <t>台</t>
        </is>
      </c>
      <c r="N1406" s="72" t="n">
        <v>1133.63</v>
      </c>
      <c r="O1406" s="72">
        <f>ROUND(N1406*(1+$F$10),2)</f>
        <v/>
      </c>
      <c r="P1406" s="73">
        <f>ROUND(K1406*N1406,2)</f>
        <v/>
      </c>
      <c r="Q1406" s="74">
        <f>ROUND(L1406*N1406,2)</f>
        <v/>
      </c>
      <c r="R1406" s="75" t="n"/>
      <c r="S1406" s="76" t="n"/>
      <c r="T1406" s="77">
        <f>K1406-L1406</f>
        <v/>
      </c>
      <c r="U1406" s="77">
        <f>P1406-Q1406</f>
        <v/>
      </c>
      <c r="V1406" s="77">
        <f>ABS(U1406)</f>
        <v/>
      </c>
      <c r="W1406" s="78">
        <f>T1406/L1406</f>
        <v/>
      </c>
      <c r="X1406" s="79">
        <f>ABS(W1406)</f>
        <v/>
      </c>
    </row>
    <row r="1407" ht="11.4" customHeight="1">
      <c r="A1407" s="67" t="inlineStr">
        <is>
          <t>8150</t>
        </is>
      </c>
      <c r="B1407" s="67" t="inlineStr">
        <is>
          <t>1156</t>
        </is>
      </c>
      <c r="C1407" s="67" t="inlineStr">
        <is>
          <t>8497</t>
        </is>
      </c>
      <c r="D1407" s="68" t="inlineStr">
        <is>
          <t>21</t>
        </is>
      </c>
      <c r="E1407" s="68" t="inlineStr">
        <is>
          <t>Kiosk-ESSD</t>
        </is>
      </c>
      <c r="F1407" s="68" t="inlineStr">
        <is>
          <t>独立甜品站ESSD</t>
        </is>
      </c>
      <c r="G1407" s="68" t="inlineStr">
        <is>
          <t>独立甜品站承包商供应施工材料和设备</t>
        </is>
      </c>
      <c r="H1407" s="68" t="inlineStr">
        <is>
          <t>卷帘门</t>
        </is>
      </c>
      <c r="I1407" s="69" t="inlineStr">
        <is>
          <t>1000022079</t>
        </is>
      </c>
      <c r="J1407" s="69" t="inlineStr">
        <is>
          <t>防盗卷帘门连门框及全部配件</t>
        </is>
      </c>
      <c r="K1407" s="70" t="n"/>
      <c r="L1407" s="70" t="n"/>
      <c r="M1407" s="71" t="inlineStr">
        <is>
          <t>m2</t>
        </is>
      </c>
      <c r="N1407" s="72" t="n">
        <v>298</v>
      </c>
      <c r="O1407" s="72">
        <f>ROUND(N1407*(1+$F$10),2)</f>
        <v/>
      </c>
      <c r="P1407" s="73">
        <f>ROUND(K1407*N1407,2)</f>
        <v/>
      </c>
      <c r="Q1407" s="74">
        <f>ROUND(L1407*N1407,2)</f>
        <v/>
      </c>
      <c r="R1407" s="75" t="n"/>
      <c r="S1407" s="76" t="n"/>
      <c r="T1407" s="77">
        <f>K1407-L1407</f>
        <v/>
      </c>
      <c r="U1407" s="77">
        <f>P1407-Q1407</f>
        <v/>
      </c>
      <c r="V1407" s="77">
        <f>ABS(U1407)</f>
        <v/>
      </c>
      <c r="W1407" s="78">
        <f>T1407/L1407</f>
        <v/>
      </c>
      <c r="X1407" s="79">
        <f>ABS(W1407)</f>
        <v/>
      </c>
    </row>
    <row r="1408" ht="11.4" customHeight="1">
      <c r="A1408" s="67" t="inlineStr">
        <is>
          <t>8150</t>
        </is>
      </c>
      <c r="B1408" s="67" t="inlineStr">
        <is>
          <t>1156</t>
        </is>
      </c>
      <c r="C1408" s="67" t="inlineStr">
        <is>
          <t>8497</t>
        </is>
      </c>
      <c r="D1408" s="68" t="inlineStr">
        <is>
          <t>21</t>
        </is>
      </c>
      <c r="E1408" s="68" t="inlineStr">
        <is>
          <t>Kiosk-ESSD</t>
        </is>
      </c>
      <c r="F1408" s="68" t="inlineStr">
        <is>
          <t>独立甜品站ESSD</t>
        </is>
      </c>
      <c r="G1408" s="68" t="inlineStr">
        <is>
          <t>独立甜品站承包商供应施工材料和设备</t>
        </is>
      </c>
      <c r="H1408" s="68" t="inlineStr">
        <is>
          <t>卷帘门</t>
        </is>
      </c>
      <c r="I1408" s="69" t="inlineStr">
        <is>
          <t>1000022080</t>
        </is>
      </c>
      <c r="J1408" s="69" t="inlineStr">
        <is>
          <t>防盗卷帘门电机系统及全部配件</t>
        </is>
      </c>
      <c r="K1408" s="70" t="n"/>
      <c r="L1408" s="70" t="n"/>
      <c r="M1408" s="71" t="inlineStr">
        <is>
          <t>台</t>
        </is>
      </c>
      <c r="N1408" s="72" t="n">
        <v>2330</v>
      </c>
      <c r="O1408" s="72">
        <f>ROUND(N1408*(1+$F$10),2)</f>
        <v/>
      </c>
      <c r="P1408" s="73">
        <f>ROUND(K1408*N1408,2)</f>
        <v/>
      </c>
      <c r="Q1408" s="74">
        <f>ROUND(L1408*N1408,2)</f>
        <v/>
      </c>
      <c r="R1408" s="75" t="n"/>
      <c r="S1408" s="76" t="n"/>
      <c r="T1408" s="77">
        <f>K1408-L1408</f>
        <v/>
      </c>
      <c r="U1408" s="77">
        <f>P1408-Q1408</f>
        <v/>
      </c>
      <c r="V1408" s="77">
        <f>ABS(U1408)</f>
        <v/>
      </c>
      <c r="W1408" s="78">
        <f>T1408/L1408</f>
        <v/>
      </c>
      <c r="X1408" s="79">
        <f>ABS(W1408)</f>
        <v/>
      </c>
    </row>
    <row r="1409" ht="11.4" customHeight="1">
      <c r="A1409" s="67" t="inlineStr">
        <is>
          <t>9057</t>
        </is>
      </c>
      <c r="B1409" s="67" t="inlineStr">
        <is>
          <t>1055</t>
        </is>
      </c>
      <c r="C1409" s="67" t="inlineStr">
        <is>
          <t>1611</t>
        </is>
      </c>
      <c r="D1409" s="68" t="inlineStr">
        <is>
          <t>02</t>
        </is>
      </c>
      <c r="E1409" s="68" t="inlineStr">
        <is>
          <t>MDS</t>
        </is>
      </c>
      <c r="F1409" s="68" t="inlineStr">
        <is>
          <t>MDS</t>
        </is>
      </c>
      <c r="G1409" s="68" t="inlineStr">
        <is>
          <t>MDS装饰</t>
        </is>
      </c>
      <c r="H1409" s="68" t="inlineStr">
        <is>
          <t>MDS装饰</t>
        </is>
      </c>
      <c r="I1409" s="69" t="inlineStr">
        <is>
          <t>1000022153</t>
        </is>
      </c>
      <c r="J1409" s="69" t="inlineStr">
        <is>
          <t>MDS窗口</t>
        </is>
      </c>
      <c r="K1409" s="70" t="n"/>
      <c r="L1409" s="70" t="n"/>
      <c r="M1409" s="71" t="inlineStr">
        <is>
          <t>个</t>
        </is>
      </c>
      <c r="N1409" s="72" t="n">
        <v>626.33</v>
      </c>
      <c r="O1409" s="72">
        <f>ROUND(N1409*(1+$F$10),2)</f>
        <v/>
      </c>
      <c r="P1409" s="73">
        <f>ROUND(K1409*N1409,2)</f>
        <v/>
      </c>
      <c r="Q1409" s="74">
        <f>ROUND(L1409*N1409,2)</f>
        <v/>
      </c>
      <c r="R1409" s="75" t="n"/>
      <c r="S1409" s="76" t="n"/>
      <c r="T1409" s="77">
        <f>K1409-L1409</f>
        <v/>
      </c>
      <c r="U1409" s="77">
        <f>P1409-Q1409</f>
        <v/>
      </c>
      <c r="V1409" s="77">
        <f>ABS(U1409)</f>
        <v/>
      </c>
      <c r="W1409" s="78">
        <f>T1409/L1409</f>
        <v/>
      </c>
      <c r="X1409" s="79">
        <f>ABS(W1409)</f>
        <v/>
      </c>
    </row>
    <row r="1410" ht="11.4" customHeight="1">
      <c r="A1410" s="67" t="inlineStr">
        <is>
          <t>9057</t>
        </is>
      </c>
      <c r="B1410" s="67" t="inlineStr">
        <is>
          <t>1055</t>
        </is>
      </c>
      <c r="C1410" s="67" t="inlineStr">
        <is>
          <t>1611</t>
        </is>
      </c>
      <c r="D1410" s="68" t="inlineStr">
        <is>
          <t>02</t>
        </is>
      </c>
      <c r="E1410" s="68" t="inlineStr">
        <is>
          <t>MDS</t>
        </is>
      </c>
      <c r="F1410" s="68" t="inlineStr">
        <is>
          <t>MDS</t>
        </is>
      </c>
      <c r="G1410" s="68" t="inlineStr">
        <is>
          <t>MDS装饰</t>
        </is>
      </c>
      <c r="H1410" s="68" t="inlineStr">
        <is>
          <t>MDS装饰</t>
        </is>
      </c>
      <c r="I1410" s="69" t="inlineStr">
        <is>
          <t>1000021605</t>
        </is>
      </c>
      <c r="J1410" s="69" t="inlineStr">
        <is>
          <t>MDS柜</t>
        </is>
      </c>
      <c r="K1410" s="70" t="n"/>
      <c r="L1410" s="70" t="n"/>
      <c r="M1410" s="71" t="inlineStr">
        <is>
          <t>组</t>
        </is>
      </c>
      <c r="N1410" s="72" t="n">
        <v>4984.35</v>
      </c>
      <c r="O1410" s="72">
        <f>ROUND(N1410*(1+$F$10),2)</f>
        <v/>
      </c>
      <c r="P1410" s="73">
        <f>ROUND(K1410*N1410,2)</f>
        <v/>
      </c>
      <c r="Q1410" s="74">
        <f>ROUND(L1410*N1410,2)</f>
        <v/>
      </c>
      <c r="R1410" s="75" t="n"/>
      <c r="S1410" s="76" t="n"/>
      <c r="T1410" s="77">
        <f>K1410-L1410</f>
        <v/>
      </c>
      <c r="U1410" s="77">
        <f>P1410-Q1410</f>
        <v/>
      </c>
      <c r="V1410" s="77">
        <f>ABS(U1410)</f>
        <v/>
      </c>
      <c r="W1410" s="78">
        <f>T1410/L1410</f>
        <v/>
      </c>
      <c r="X1410" s="79">
        <f>ABS(W1410)</f>
        <v/>
      </c>
    </row>
    <row r="1411" ht="11.4" customHeight="1">
      <c r="A1411" s="67" t="inlineStr">
        <is>
          <t>9057</t>
        </is>
      </c>
      <c r="B1411" s="67" t="inlineStr">
        <is>
          <t>1055</t>
        </is>
      </c>
      <c r="C1411" s="67" t="inlineStr">
        <is>
          <t>1611</t>
        </is>
      </c>
      <c r="D1411" s="68" t="inlineStr">
        <is>
          <t>02</t>
        </is>
      </c>
      <c r="E1411" s="68" t="inlineStr">
        <is>
          <t>MDS</t>
        </is>
      </c>
      <c r="F1411" s="68" t="inlineStr">
        <is>
          <t>MDS</t>
        </is>
      </c>
      <c r="G1411" s="68" t="inlineStr">
        <is>
          <t>MDS装饰</t>
        </is>
      </c>
      <c r="H1411" s="68" t="inlineStr">
        <is>
          <t>MDS装饰</t>
        </is>
      </c>
      <c r="I1411" s="69" t="inlineStr">
        <is>
          <t>1000022152</t>
        </is>
      </c>
      <c r="J1411" s="69" t="inlineStr">
        <is>
          <t>MDS柜安装</t>
        </is>
      </c>
      <c r="K1411" s="70" t="n"/>
      <c r="L1411" s="70" t="n"/>
      <c r="M1411" s="71" t="inlineStr">
        <is>
          <t>项</t>
        </is>
      </c>
      <c r="N1411" s="72" t="n">
        <v>291.62</v>
      </c>
      <c r="O1411" s="72">
        <f>ROUND(N1411*(1+$F$10),2)</f>
        <v/>
      </c>
      <c r="P1411" s="73">
        <f>ROUND(K1411*N1411,2)</f>
        <v/>
      </c>
      <c r="Q1411" s="74">
        <f>ROUND(L1411*N1411,2)</f>
        <v/>
      </c>
      <c r="R1411" s="75" t="n"/>
      <c r="S1411" s="76" t="n"/>
      <c r="T1411" s="77">
        <f>K1411-L1411</f>
        <v/>
      </c>
      <c r="U1411" s="77">
        <f>P1411-Q1411</f>
        <v/>
      </c>
      <c r="V1411" s="77">
        <f>ABS(U1411)</f>
        <v/>
      </c>
      <c r="W1411" s="78">
        <f>T1411/L1411</f>
        <v/>
      </c>
      <c r="X1411" s="79">
        <f>ABS(W1411)</f>
        <v/>
      </c>
    </row>
    <row r="1412" ht="11.4" customHeight="1">
      <c r="A1412" s="67" t="inlineStr">
        <is>
          <t>9057</t>
        </is>
      </c>
      <c r="B1412" s="67" t="inlineStr">
        <is>
          <t>1055</t>
        </is>
      </c>
      <c r="C1412" s="67" t="inlineStr">
        <is>
          <t>1611</t>
        </is>
      </c>
      <c r="D1412" s="68" t="inlineStr">
        <is>
          <t>02</t>
        </is>
      </c>
      <c r="E1412" s="68" t="inlineStr">
        <is>
          <t>MDS</t>
        </is>
      </c>
      <c r="F1412" s="68" t="inlineStr">
        <is>
          <t>MDS</t>
        </is>
      </c>
      <c r="G1412" s="68" t="inlineStr">
        <is>
          <t>MDS装饰</t>
        </is>
      </c>
      <c r="H1412" s="68" t="inlineStr">
        <is>
          <t>MDS装饰</t>
        </is>
      </c>
      <c r="I1412" s="69" t="inlineStr">
        <is>
          <t>1000045087</t>
        </is>
      </c>
      <c r="J1412" s="69" t="inlineStr">
        <is>
          <t>MDS智能取餐柜下货及安装（含洞口收口）</t>
        </is>
      </c>
      <c r="K1412" s="70" t="n">
        <v>1</v>
      </c>
      <c r="L1412" s="70" t="n">
        <v>1</v>
      </c>
      <c r="M1412" s="71" t="inlineStr">
        <is>
          <t>项</t>
        </is>
      </c>
      <c r="N1412" s="72" t="n">
        <v>1193.65</v>
      </c>
      <c r="O1412" s="72">
        <f>ROUND(N1412*(1+$F$10),2)</f>
        <v/>
      </c>
      <c r="P1412" s="73">
        <f>ROUND(K1412*N1412,2)</f>
        <v/>
      </c>
      <c r="Q1412" s="74">
        <f>ROUND(L1412*N1412,2)</f>
        <v/>
      </c>
      <c r="R1412" s="75" t="n"/>
      <c r="S1412" s="76" t="n"/>
      <c r="T1412" s="77">
        <f>K1412-L1412</f>
        <v/>
      </c>
      <c r="U1412" s="77">
        <f>P1412-Q1412</f>
        <v/>
      </c>
      <c r="V1412" s="77">
        <f>ABS(U1412)</f>
        <v/>
      </c>
      <c r="W1412" s="78">
        <f>T1412/L1412</f>
        <v/>
      </c>
      <c r="X1412" s="79">
        <f>ABS(W1412)</f>
        <v/>
      </c>
    </row>
    <row r="1413" ht="11.4" customHeight="1">
      <c r="A1413" s="67" t="inlineStr">
        <is>
          <t>9058</t>
        </is>
      </c>
      <c r="B1413" s="67" t="inlineStr">
        <is>
          <t>1056</t>
        </is>
      </c>
      <c r="C1413" s="67" t="inlineStr">
        <is>
          <t>1611</t>
        </is>
      </c>
      <c r="D1413" s="68" t="inlineStr">
        <is>
          <t>02</t>
        </is>
      </c>
      <c r="E1413" s="68" t="inlineStr">
        <is>
          <t>MDS</t>
        </is>
      </c>
      <c r="F1413" s="68" t="inlineStr">
        <is>
          <t>MDS</t>
        </is>
      </c>
      <c r="G1413" s="68" t="inlineStr">
        <is>
          <t>MDS装饰</t>
        </is>
      </c>
      <c r="H1413" s="68" t="inlineStr">
        <is>
          <t>MDS装饰</t>
        </is>
      </c>
      <c r="I1413" s="69" t="inlineStr">
        <is>
          <t>1000021781</t>
        </is>
      </c>
      <c r="J1413" s="69" t="inlineStr">
        <is>
          <t>轻钢龙骨石膏板叠级天花（含收口凹槽）</t>
        </is>
      </c>
      <c r="K1413" s="70" t="n"/>
      <c r="L1413" s="70" t="n"/>
      <c r="M1413" s="71" t="inlineStr">
        <is>
          <t>m2</t>
        </is>
      </c>
      <c r="N1413" s="72" t="n">
        <v>250.08</v>
      </c>
      <c r="O1413" s="72">
        <f>ROUND(N1413*(1+$F$10),2)</f>
        <v/>
      </c>
      <c r="P1413" s="73">
        <f>ROUND(K1413*N1413,2)</f>
        <v/>
      </c>
      <c r="Q1413" s="74">
        <f>ROUND(L1413*N1413,2)</f>
        <v/>
      </c>
      <c r="R1413" s="75" t="n"/>
      <c r="S1413" s="76" t="n"/>
      <c r="T1413" s="77">
        <f>K1413-L1413</f>
        <v/>
      </c>
      <c r="U1413" s="77">
        <f>P1413-Q1413</f>
        <v/>
      </c>
      <c r="V1413" s="77">
        <f>ABS(U1413)</f>
        <v/>
      </c>
      <c r="W1413" s="78">
        <f>T1413/L1413</f>
        <v/>
      </c>
      <c r="X1413" s="79">
        <f>ABS(W1413)</f>
        <v/>
      </c>
    </row>
    <row r="1414" ht="11.4" customHeight="1">
      <c r="A1414" s="67" t="inlineStr">
        <is>
          <t>9058</t>
        </is>
      </c>
      <c r="B1414" s="67" t="inlineStr">
        <is>
          <t>1056</t>
        </is>
      </c>
      <c r="C1414" s="67" t="inlineStr">
        <is>
          <t>1611</t>
        </is>
      </c>
      <c r="D1414" s="68" t="inlineStr">
        <is>
          <t>02</t>
        </is>
      </c>
      <c r="E1414" s="68" t="inlineStr">
        <is>
          <t>MDS</t>
        </is>
      </c>
      <c r="F1414" s="68" t="inlineStr">
        <is>
          <t>MDS</t>
        </is>
      </c>
      <c r="G1414" s="68" t="inlineStr">
        <is>
          <t>MDS装饰</t>
        </is>
      </c>
      <c r="H1414" s="68" t="inlineStr">
        <is>
          <t>MDS装饰</t>
        </is>
      </c>
      <c r="I1414" s="69" t="inlineStr">
        <is>
          <t>1000021782</t>
        </is>
      </c>
      <c r="J1414" s="69" t="inlineStr">
        <is>
          <t>轻钢龙骨石膏板天花</t>
        </is>
      </c>
      <c r="K1414" s="70" t="n"/>
      <c r="L1414" s="70" t="n"/>
      <c r="M1414" s="71" t="inlineStr">
        <is>
          <t>m2</t>
        </is>
      </c>
      <c r="N1414" s="72" t="n">
        <v>139.73</v>
      </c>
      <c r="O1414" s="72">
        <f>ROUND(N1414*(1+$F$10),2)</f>
        <v/>
      </c>
      <c r="P1414" s="73">
        <f>ROUND(K1414*N1414,2)</f>
        <v/>
      </c>
      <c r="Q1414" s="74">
        <f>ROUND(L1414*N1414,2)</f>
        <v/>
      </c>
      <c r="R1414" s="75" t="n"/>
      <c r="S1414" s="76" t="n"/>
      <c r="T1414" s="77">
        <f>K1414-L1414</f>
        <v/>
      </c>
      <c r="U1414" s="77">
        <f>P1414-Q1414</f>
        <v/>
      </c>
      <c r="V1414" s="77">
        <f>ABS(U1414)</f>
        <v/>
      </c>
      <c r="W1414" s="78">
        <f>T1414/L1414</f>
        <v/>
      </c>
      <c r="X1414" s="79">
        <f>ABS(W1414)</f>
        <v/>
      </c>
    </row>
    <row r="1415" ht="11.4" customHeight="1">
      <c r="A1415" s="67" t="inlineStr">
        <is>
          <t>9058</t>
        </is>
      </c>
      <c r="B1415" s="67" t="inlineStr">
        <is>
          <t>1056</t>
        </is>
      </c>
      <c r="C1415" s="67" t="inlineStr">
        <is>
          <t>1611</t>
        </is>
      </c>
      <c r="D1415" s="68" t="inlineStr">
        <is>
          <t>02</t>
        </is>
      </c>
      <c r="E1415" s="68" t="inlineStr">
        <is>
          <t>MDS</t>
        </is>
      </c>
      <c r="F1415" s="68" t="inlineStr">
        <is>
          <t>MDS</t>
        </is>
      </c>
      <c r="G1415" s="68" t="inlineStr">
        <is>
          <t>MDS装饰</t>
        </is>
      </c>
      <c r="H1415" s="68" t="inlineStr">
        <is>
          <t>MDS装饰</t>
        </is>
      </c>
      <c r="I1415" s="69" t="inlineStr">
        <is>
          <t>1000021483</t>
        </is>
      </c>
      <c r="J1415" s="69" t="inlineStr">
        <is>
          <t>室内深色乳胶漆（含批搪，可擦洗）</t>
        </is>
      </c>
      <c r="K1415" s="70" t="n"/>
      <c r="L1415" s="70" t="n"/>
      <c r="M1415" s="71" t="inlineStr">
        <is>
          <t>m2</t>
        </is>
      </c>
      <c r="N1415" s="72" t="n">
        <v>62.19</v>
      </c>
      <c r="O1415" s="72">
        <f>ROUND(N1415*(1+$F$10),2)</f>
        <v/>
      </c>
      <c r="P1415" s="73">
        <f>ROUND(K1415*N1415,2)</f>
        <v/>
      </c>
      <c r="Q1415" s="74">
        <f>ROUND(L1415*N1415,2)</f>
        <v/>
      </c>
      <c r="R1415" s="75" t="n"/>
      <c r="S1415" s="76" t="n"/>
      <c r="T1415" s="77">
        <f>K1415-L1415</f>
        <v/>
      </c>
      <c r="U1415" s="77">
        <f>P1415-Q1415</f>
        <v/>
      </c>
      <c r="V1415" s="77">
        <f>ABS(U1415)</f>
        <v/>
      </c>
      <c r="W1415" s="78">
        <f>T1415/L1415</f>
        <v/>
      </c>
      <c r="X1415" s="79">
        <f>ABS(W1415)</f>
        <v/>
      </c>
    </row>
    <row r="1416" ht="11.4" customHeight="1">
      <c r="A1416" s="67" t="inlineStr">
        <is>
          <t>9056</t>
        </is>
      </c>
      <c r="B1416" s="67" t="inlineStr">
        <is>
          <t>1054</t>
        </is>
      </c>
      <c r="C1416" s="67" t="inlineStr">
        <is>
          <t>1611</t>
        </is>
      </c>
      <c r="D1416" s="68" t="inlineStr">
        <is>
          <t>02</t>
        </is>
      </c>
      <c r="E1416" s="68" t="inlineStr">
        <is>
          <t>MDS</t>
        </is>
      </c>
      <c r="F1416" s="68" t="inlineStr">
        <is>
          <t>MDS</t>
        </is>
      </c>
      <c r="G1416" s="68" t="inlineStr">
        <is>
          <t>MDS装饰</t>
        </is>
      </c>
      <c r="H1416" s="68" t="inlineStr">
        <is>
          <t>MDS装饰</t>
        </is>
      </c>
      <c r="I1416" s="69" t="inlineStr">
        <is>
          <t>1000021456</t>
        </is>
      </c>
      <c r="J1416" s="69" t="inlineStr">
        <is>
          <t>国产同质砖（琛雄，含不超过50mm厚的找平层）</t>
        </is>
      </c>
      <c r="K1416" s="70" t="n"/>
      <c r="L1416" s="70" t="n"/>
      <c r="M1416" s="71" t="inlineStr">
        <is>
          <t>m2</t>
        </is>
      </c>
      <c r="N1416" s="72" t="n">
        <v>180.78</v>
      </c>
      <c r="O1416" s="72">
        <f>ROUND(N1416*(1+$F$10),2)</f>
        <v/>
      </c>
      <c r="P1416" s="73">
        <f>ROUND(K1416*N1416,2)</f>
        <v/>
      </c>
      <c r="Q1416" s="74">
        <f>ROUND(L1416*N1416,2)</f>
        <v/>
      </c>
      <c r="R1416" s="75" t="n"/>
      <c r="S1416" s="76" t="n"/>
      <c r="T1416" s="77">
        <f>K1416-L1416</f>
        <v/>
      </c>
      <c r="U1416" s="77">
        <f>P1416-Q1416</f>
        <v/>
      </c>
      <c r="V1416" s="77">
        <f>ABS(U1416)</f>
        <v/>
      </c>
      <c r="W1416" s="78">
        <f>T1416/L1416</f>
        <v/>
      </c>
      <c r="X1416" s="79">
        <f>ABS(W1416)</f>
        <v/>
      </c>
    </row>
    <row r="1417" ht="11.4" customHeight="1">
      <c r="A1417" s="67" t="inlineStr">
        <is>
          <t>9056</t>
        </is>
      </c>
      <c r="B1417" s="67" t="inlineStr">
        <is>
          <t>1054</t>
        </is>
      </c>
      <c r="C1417" s="67" t="inlineStr">
        <is>
          <t>1611</t>
        </is>
      </c>
      <c r="D1417" s="68" t="inlineStr">
        <is>
          <t>02</t>
        </is>
      </c>
      <c r="E1417" s="68" t="inlineStr">
        <is>
          <t>MDS</t>
        </is>
      </c>
      <c r="F1417" s="68" t="inlineStr">
        <is>
          <t>MDS</t>
        </is>
      </c>
      <c r="G1417" s="68" t="inlineStr">
        <is>
          <t>MDS装饰</t>
        </is>
      </c>
      <c r="H1417" s="68" t="inlineStr">
        <is>
          <t>MDS装饰</t>
        </is>
      </c>
      <c r="I1417" s="69" t="inlineStr">
        <is>
          <t>1000021457</t>
        </is>
      </c>
      <c r="J1417" s="69" t="inlineStr">
        <is>
          <t>国产同质砖踢脚（琛雄）</t>
        </is>
      </c>
      <c r="K1417" s="70" t="n"/>
      <c r="L1417" s="70" t="n"/>
      <c r="M1417" s="71" t="inlineStr">
        <is>
          <t>米</t>
        </is>
      </c>
      <c r="N1417" s="72" t="n">
        <v>41.36</v>
      </c>
      <c r="O1417" s="72">
        <f>ROUND(N1417*(1+$F$10),2)</f>
        <v/>
      </c>
      <c r="P1417" s="73">
        <f>ROUND(K1417*N1417,2)</f>
        <v/>
      </c>
      <c r="Q1417" s="74">
        <f>ROUND(L1417*N1417,2)</f>
        <v/>
      </c>
      <c r="R1417" s="75" t="n"/>
      <c r="S1417" s="76" t="n"/>
      <c r="T1417" s="77">
        <f>K1417-L1417</f>
        <v/>
      </c>
      <c r="U1417" s="77">
        <f>P1417-Q1417</f>
        <v/>
      </c>
      <c r="V1417" s="77">
        <f>ABS(U1417)</f>
        <v/>
      </c>
      <c r="W1417" s="78">
        <f>T1417/L1417</f>
        <v/>
      </c>
      <c r="X1417" s="79">
        <f>ABS(W1417)</f>
        <v/>
      </c>
    </row>
    <row r="1418" ht="11.4" customHeight="1">
      <c r="A1418" s="67" t="inlineStr">
        <is>
          <t>9056</t>
        </is>
      </c>
      <c r="B1418" s="67" t="inlineStr">
        <is>
          <t>1054</t>
        </is>
      </c>
      <c r="C1418" s="67" t="inlineStr">
        <is>
          <t>1611</t>
        </is>
      </c>
      <c r="D1418" s="68" t="inlineStr">
        <is>
          <t>02</t>
        </is>
      </c>
      <c r="E1418" s="68" t="inlineStr">
        <is>
          <t>MDS</t>
        </is>
      </c>
      <c r="F1418" s="68" t="inlineStr">
        <is>
          <t>MDS</t>
        </is>
      </c>
      <c r="G1418" s="68" t="inlineStr">
        <is>
          <t>MDS装饰</t>
        </is>
      </c>
      <c r="H1418" s="68" t="inlineStr">
        <is>
          <t>MDS装饰</t>
        </is>
      </c>
      <c r="I1418" s="69" t="inlineStr">
        <is>
          <t>1000021643</t>
        </is>
      </c>
      <c r="J1418" s="69" t="inlineStr">
        <is>
          <t>国产同质砖（共荣，含不超过50mm厚的找平层）</t>
        </is>
      </c>
      <c r="K1418" s="70" t="n"/>
      <c r="L1418" s="70" t="n"/>
      <c r="M1418" s="71" t="inlineStr">
        <is>
          <t>m2</t>
        </is>
      </c>
      <c r="N1418" s="72" t="n">
        <v>160.21</v>
      </c>
      <c r="O1418" s="72">
        <f>ROUND(N1418*(1+$F$10),2)</f>
        <v/>
      </c>
      <c r="P1418" s="73">
        <f>ROUND(K1418*N1418,2)</f>
        <v/>
      </c>
      <c r="Q1418" s="74">
        <f>ROUND(L1418*N1418,2)</f>
        <v/>
      </c>
      <c r="R1418" s="75" t="n"/>
      <c r="S1418" s="76" t="n"/>
      <c r="T1418" s="77">
        <f>K1418-L1418</f>
        <v/>
      </c>
      <c r="U1418" s="77">
        <f>P1418-Q1418</f>
        <v/>
      </c>
      <c r="V1418" s="77">
        <f>ABS(U1418)</f>
        <v/>
      </c>
      <c r="W1418" s="78">
        <f>T1418/L1418</f>
        <v/>
      </c>
      <c r="X1418" s="79">
        <f>ABS(W1418)</f>
        <v/>
      </c>
    </row>
    <row r="1419" ht="11.4" customHeight="1">
      <c r="A1419" s="67" t="inlineStr">
        <is>
          <t>9056</t>
        </is>
      </c>
      <c r="B1419" s="67" t="inlineStr">
        <is>
          <t>1054</t>
        </is>
      </c>
      <c r="C1419" s="67" t="inlineStr">
        <is>
          <t>1611</t>
        </is>
      </c>
      <c r="D1419" s="68" t="inlineStr">
        <is>
          <t>02</t>
        </is>
      </c>
      <c r="E1419" s="68" t="inlineStr">
        <is>
          <t>MDS</t>
        </is>
      </c>
      <c r="F1419" s="68" t="inlineStr">
        <is>
          <t>MDS</t>
        </is>
      </c>
      <c r="G1419" s="68" t="inlineStr">
        <is>
          <t>MDS装饰</t>
        </is>
      </c>
      <c r="H1419" s="68" t="inlineStr">
        <is>
          <t>MDS装饰</t>
        </is>
      </c>
      <c r="I1419" s="69" t="inlineStr">
        <is>
          <t>1000021644</t>
        </is>
      </c>
      <c r="J1419" s="69" t="inlineStr">
        <is>
          <t>国产同质砖踢脚（共荣）</t>
        </is>
      </c>
      <c r="K1419" s="70" t="n"/>
      <c r="L1419" s="70" t="n"/>
      <c r="M1419" s="71" t="inlineStr">
        <is>
          <t>米</t>
        </is>
      </c>
      <c r="N1419" s="72" t="n">
        <v>38.94</v>
      </c>
      <c r="O1419" s="72">
        <f>ROUND(N1419*(1+$F$10),2)</f>
        <v/>
      </c>
      <c r="P1419" s="73">
        <f>ROUND(K1419*N1419,2)</f>
        <v/>
      </c>
      <c r="Q1419" s="74">
        <f>ROUND(L1419*N1419,2)</f>
        <v/>
      </c>
      <c r="R1419" s="75" t="n"/>
      <c r="S1419" s="76" t="n"/>
      <c r="T1419" s="77">
        <f>K1419-L1419</f>
        <v/>
      </c>
      <c r="U1419" s="77">
        <f>P1419-Q1419</f>
        <v/>
      </c>
      <c r="V1419" s="77">
        <f>ABS(U1419)</f>
        <v/>
      </c>
      <c r="W1419" s="78">
        <f>T1419/L1419</f>
        <v/>
      </c>
      <c r="X1419" s="79">
        <f>ABS(W1419)</f>
        <v/>
      </c>
    </row>
    <row r="1420" ht="11.4" customHeight="1">
      <c r="A1420" s="67" t="inlineStr">
        <is>
          <t>9056</t>
        </is>
      </c>
      <c r="B1420" s="67" t="inlineStr">
        <is>
          <t>1054</t>
        </is>
      </c>
      <c r="C1420" s="67" t="inlineStr">
        <is>
          <t>1611</t>
        </is>
      </c>
      <c r="D1420" s="68" t="inlineStr">
        <is>
          <t>02</t>
        </is>
      </c>
      <c r="E1420" s="68" t="inlineStr">
        <is>
          <t>MDS</t>
        </is>
      </c>
      <c r="F1420" s="68" t="inlineStr">
        <is>
          <t>MDS</t>
        </is>
      </c>
      <c r="G1420" s="68" t="inlineStr">
        <is>
          <t>MDS装饰</t>
        </is>
      </c>
      <c r="H1420" s="68" t="inlineStr">
        <is>
          <t>MDS装饰</t>
        </is>
      </c>
      <c r="I1420" s="69" t="inlineStr">
        <is>
          <t>1000021622</t>
        </is>
      </c>
      <c r="J1420" s="69" t="inlineStr">
        <is>
          <t>国产同质砖（冠军，含不超过50mm厚的找平层）</t>
        </is>
      </c>
      <c r="K1420" s="70" t="n"/>
      <c r="L1420" s="70" t="n"/>
      <c r="M1420" s="71" t="inlineStr">
        <is>
          <t>m2</t>
        </is>
      </c>
      <c r="N1420" s="72" t="n">
        <v>181.99</v>
      </c>
      <c r="O1420" s="72">
        <f>ROUND(N1420*(1+$F$10),2)</f>
        <v/>
      </c>
      <c r="P1420" s="73">
        <f>ROUND(K1420*N1420,2)</f>
        <v/>
      </c>
      <c r="Q1420" s="74">
        <f>ROUND(L1420*N1420,2)</f>
        <v/>
      </c>
      <c r="R1420" s="75" t="n"/>
      <c r="S1420" s="76" t="n"/>
      <c r="T1420" s="77">
        <f>K1420-L1420</f>
        <v/>
      </c>
      <c r="U1420" s="77">
        <f>P1420-Q1420</f>
        <v/>
      </c>
      <c r="V1420" s="77">
        <f>ABS(U1420)</f>
        <v/>
      </c>
      <c r="W1420" s="78">
        <f>T1420/L1420</f>
        <v/>
      </c>
      <c r="X1420" s="79">
        <f>ABS(W1420)</f>
        <v/>
      </c>
    </row>
    <row r="1421" ht="11.4" customHeight="1">
      <c r="A1421" s="67" t="inlineStr">
        <is>
          <t>9056</t>
        </is>
      </c>
      <c r="B1421" s="67" t="inlineStr">
        <is>
          <t>1054</t>
        </is>
      </c>
      <c r="C1421" s="67" t="inlineStr">
        <is>
          <t>1611</t>
        </is>
      </c>
      <c r="D1421" s="68" t="inlineStr">
        <is>
          <t>02</t>
        </is>
      </c>
      <c r="E1421" s="68" t="inlineStr">
        <is>
          <t>MDS</t>
        </is>
      </c>
      <c r="F1421" s="68" t="inlineStr">
        <is>
          <t>MDS</t>
        </is>
      </c>
      <c r="G1421" s="68" t="inlineStr">
        <is>
          <t>MDS装饰</t>
        </is>
      </c>
      <c r="H1421" s="68" t="inlineStr">
        <is>
          <t>MDS装饰</t>
        </is>
      </c>
      <c r="I1421" s="69" t="inlineStr">
        <is>
          <t>1000021623</t>
        </is>
      </c>
      <c r="J1421" s="69" t="inlineStr">
        <is>
          <t>国产同质砖踢脚（冠军）</t>
        </is>
      </c>
      <c r="K1421" s="70" t="n"/>
      <c r="L1421" s="70" t="n"/>
      <c r="M1421" s="71" t="inlineStr">
        <is>
          <t>米</t>
        </is>
      </c>
      <c r="N1421" s="72" t="n">
        <v>42.57</v>
      </c>
      <c r="O1421" s="72">
        <f>ROUND(N1421*(1+$F$10),2)</f>
        <v/>
      </c>
      <c r="P1421" s="73">
        <f>ROUND(K1421*N1421,2)</f>
        <v/>
      </c>
      <c r="Q1421" s="74">
        <f>ROUND(L1421*N1421,2)</f>
        <v/>
      </c>
      <c r="R1421" s="75" t="n"/>
      <c r="S1421" s="76" t="n"/>
      <c r="T1421" s="77">
        <f>K1421-L1421</f>
        <v/>
      </c>
      <c r="U1421" s="77">
        <f>P1421-Q1421</f>
        <v/>
      </c>
      <c r="V1421" s="77">
        <f>ABS(U1421)</f>
        <v/>
      </c>
      <c r="W1421" s="78">
        <f>T1421/L1421</f>
        <v/>
      </c>
      <c r="X1421" s="79">
        <f>ABS(W1421)</f>
        <v/>
      </c>
    </row>
    <row r="1422" ht="11.4" customHeight="1">
      <c r="A1422" s="67" t="inlineStr">
        <is>
          <t>9056</t>
        </is>
      </c>
      <c r="B1422" s="67" t="inlineStr">
        <is>
          <t>1054</t>
        </is>
      </c>
      <c r="C1422" s="67" t="inlineStr">
        <is>
          <t>1611</t>
        </is>
      </c>
      <c r="D1422" s="68" t="inlineStr">
        <is>
          <t>02</t>
        </is>
      </c>
      <c r="E1422" s="68" t="inlineStr">
        <is>
          <t>MDS</t>
        </is>
      </c>
      <c r="F1422" s="68" t="inlineStr">
        <is>
          <t>MDS</t>
        </is>
      </c>
      <c r="G1422" s="68" t="inlineStr">
        <is>
          <t>MDS装饰</t>
        </is>
      </c>
      <c r="H1422" s="68" t="inlineStr">
        <is>
          <t>MDS装饰</t>
        </is>
      </c>
      <c r="I1422" s="69" t="inlineStr">
        <is>
          <t>1000051755</t>
        </is>
      </c>
      <c r="J1422" s="69" t="inlineStr">
        <is>
          <t>600*600mm灰色水泥地砖（琛雄，含不超过50mm厚的找平层）</t>
        </is>
      </c>
      <c r="K1422" s="70" t="n"/>
      <c r="L1422" s="70" t="n"/>
      <c r="M1422" s="71" t="inlineStr">
        <is>
          <t>m2</t>
        </is>
      </c>
      <c r="N1422" s="72" t="n">
        <v>187.98</v>
      </c>
      <c r="O1422" s="72">
        <f>ROUND(N1422*(1+$F$10),2)</f>
        <v/>
      </c>
      <c r="P1422" s="73">
        <f>ROUND(K1422*N1422,2)</f>
        <v/>
      </c>
      <c r="Q1422" s="74">
        <f>ROUND(L1422*N1422,2)</f>
        <v/>
      </c>
      <c r="R1422" s="75" t="n"/>
      <c r="S1422" s="76" t="n"/>
      <c r="T1422" s="77">
        <f>K1422-L1422</f>
        <v/>
      </c>
      <c r="U1422" s="77">
        <f>P1422-Q1422</f>
        <v/>
      </c>
      <c r="V1422" s="77">
        <f>ABS(U1422)</f>
        <v/>
      </c>
      <c r="W1422" s="78">
        <f>T1422/L1422</f>
        <v/>
      </c>
      <c r="X1422" s="79">
        <f>ABS(W1422)</f>
        <v/>
      </c>
    </row>
    <row r="1423" ht="11.4" customHeight="1">
      <c r="A1423" s="67" t="inlineStr">
        <is>
          <t>9056</t>
        </is>
      </c>
      <c r="B1423" s="67" t="inlineStr">
        <is>
          <t>1054</t>
        </is>
      </c>
      <c r="C1423" s="67" t="inlineStr">
        <is>
          <t>1611</t>
        </is>
      </c>
      <c r="D1423" s="68" t="inlineStr">
        <is>
          <t>02</t>
        </is>
      </c>
      <c r="E1423" s="68" t="inlineStr">
        <is>
          <t>MDS</t>
        </is>
      </c>
      <c r="F1423" s="68" t="inlineStr">
        <is>
          <t>MDS</t>
        </is>
      </c>
      <c r="G1423" s="68" t="inlineStr">
        <is>
          <t>MDS装饰</t>
        </is>
      </c>
      <c r="H1423" s="68" t="inlineStr">
        <is>
          <t>MDS装饰</t>
        </is>
      </c>
      <c r="I1423" s="69" t="inlineStr">
        <is>
          <t>1000051756</t>
        </is>
      </c>
      <c r="J1423" s="69" t="inlineStr">
        <is>
          <t>600*600mm灰色水泥地砖（共荣，含不超过50mm厚的找平层）</t>
        </is>
      </c>
      <c r="K1423" s="70" t="n"/>
      <c r="L1423" s="70" t="n"/>
      <c r="M1423" s="71" t="inlineStr">
        <is>
          <t>m2</t>
        </is>
      </c>
      <c r="N1423" s="72" t="n">
        <v>171.66</v>
      </c>
      <c r="O1423" s="72">
        <f>ROUND(N1423*(1+$F$10),2)</f>
        <v/>
      </c>
      <c r="P1423" s="73">
        <f>ROUND(K1423*N1423,2)</f>
        <v/>
      </c>
      <c r="Q1423" s="74">
        <f>ROUND(L1423*N1423,2)</f>
        <v/>
      </c>
      <c r="R1423" s="75" t="n"/>
      <c r="S1423" s="76" t="n"/>
      <c r="T1423" s="77">
        <f>K1423-L1423</f>
        <v/>
      </c>
      <c r="U1423" s="77">
        <f>P1423-Q1423</f>
        <v/>
      </c>
      <c r="V1423" s="77">
        <f>ABS(U1423)</f>
        <v/>
      </c>
      <c r="W1423" s="78">
        <f>T1423/L1423</f>
        <v/>
      </c>
      <c r="X1423" s="79">
        <f>ABS(W1423)</f>
        <v/>
      </c>
    </row>
    <row r="1424" ht="11.4" customHeight="1">
      <c r="A1424" s="67" t="inlineStr">
        <is>
          <t>9056</t>
        </is>
      </c>
      <c r="B1424" s="67" t="inlineStr">
        <is>
          <t>1054</t>
        </is>
      </c>
      <c r="C1424" s="67" t="inlineStr">
        <is>
          <t>1611</t>
        </is>
      </c>
      <c r="D1424" s="68" t="inlineStr">
        <is>
          <t>02</t>
        </is>
      </c>
      <c r="E1424" s="68" t="inlineStr">
        <is>
          <t>MDS</t>
        </is>
      </c>
      <c r="F1424" s="68" t="inlineStr">
        <is>
          <t>MDS</t>
        </is>
      </c>
      <c r="G1424" s="68" t="inlineStr">
        <is>
          <t>MDS装饰</t>
        </is>
      </c>
      <c r="H1424" s="68" t="inlineStr">
        <is>
          <t>MDS装饰</t>
        </is>
      </c>
      <c r="I1424" s="69" t="inlineStr">
        <is>
          <t>1000051757</t>
        </is>
      </c>
      <c r="J1424" s="69" t="inlineStr">
        <is>
          <t>600*600mm灰色水泥地砖（冠军，含不超过50mm厚的找平层）</t>
        </is>
      </c>
      <c r="K1424" s="70" t="n"/>
      <c r="L1424" s="70" t="n"/>
      <c r="M1424" s="71" t="inlineStr">
        <is>
          <t>m2</t>
        </is>
      </c>
      <c r="N1424" s="72" t="n">
        <v>189.15</v>
      </c>
      <c r="O1424" s="72">
        <f>ROUND(N1424*(1+$F$10),2)</f>
        <v/>
      </c>
      <c r="P1424" s="73">
        <f>ROUND(K1424*N1424,2)</f>
        <v/>
      </c>
      <c r="Q1424" s="74">
        <f>ROUND(L1424*N1424,2)</f>
        <v/>
      </c>
      <c r="R1424" s="75" t="n"/>
      <c r="S1424" s="76" t="n"/>
      <c r="T1424" s="77">
        <f>K1424-L1424</f>
        <v/>
      </c>
      <c r="U1424" s="77">
        <f>P1424-Q1424</f>
        <v/>
      </c>
      <c r="V1424" s="77">
        <f>ABS(U1424)</f>
        <v/>
      </c>
      <c r="W1424" s="78">
        <f>T1424/L1424</f>
        <v/>
      </c>
      <c r="X1424" s="79">
        <f>ABS(W1424)</f>
        <v/>
      </c>
    </row>
    <row r="1425" ht="11.4" customHeight="1">
      <c r="A1425" s="67" t="inlineStr">
        <is>
          <t>9056</t>
        </is>
      </c>
      <c r="B1425" s="67" t="inlineStr">
        <is>
          <t>1054</t>
        </is>
      </c>
      <c r="C1425" s="67" t="inlineStr">
        <is>
          <t>1611</t>
        </is>
      </c>
      <c r="D1425" s="68" t="inlineStr">
        <is>
          <t>02</t>
        </is>
      </c>
      <c r="E1425" s="68" t="inlineStr">
        <is>
          <t>MDS</t>
        </is>
      </c>
      <c r="F1425" s="68" t="inlineStr">
        <is>
          <t>MDS</t>
        </is>
      </c>
      <c r="G1425" s="68" t="inlineStr">
        <is>
          <t>MDS装饰</t>
        </is>
      </c>
      <c r="H1425" s="68" t="inlineStr">
        <is>
          <t>MDS装饰</t>
        </is>
      </c>
      <c r="I1425" s="69" t="inlineStr">
        <is>
          <t>1000053612</t>
        </is>
      </c>
      <c r="J1425" s="69" t="inlineStr">
        <is>
          <t>灰色水泥纹踢脚（琛雄）</t>
        </is>
      </c>
      <c r="K1425" s="70" t="n"/>
      <c r="L1425" s="70" t="n"/>
      <c r="M1425" s="71" t="inlineStr">
        <is>
          <t>米</t>
        </is>
      </c>
      <c r="N1425" s="72" t="n">
        <v>41.36</v>
      </c>
      <c r="O1425" s="72">
        <f>ROUND(N1425*(1+$F$10),2)</f>
        <v/>
      </c>
      <c r="P1425" s="73">
        <f>ROUND(K1425*N1425,2)</f>
        <v/>
      </c>
      <c r="Q1425" s="74">
        <f>ROUND(L1425*N1425,2)</f>
        <v/>
      </c>
      <c r="R1425" s="75" t="n"/>
      <c r="S1425" s="76" t="n"/>
      <c r="T1425" s="77">
        <f>K1425-L1425</f>
        <v/>
      </c>
      <c r="U1425" s="77">
        <f>P1425-Q1425</f>
        <v/>
      </c>
      <c r="V1425" s="77">
        <f>ABS(U1425)</f>
        <v/>
      </c>
      <c r="W1425" s="78">
        <f>T1425/L1425</f>
        <v/>
      </c>
      <c r="X1425" s="79">
        <f>ABS(W1425)</f>
        <v/>
      </c>
    </row>
    <row r="1426" ht="11.4" customHeight="1">
      <c r="A1426" s="67" t="inlineStr">
        <is>
          <t>9056</t>
        </is>
      </c>
      <c r="B1426" s="67" t="inlineStr">
        <is>
          <t>1054</t>
        </is>
      </c>
      <c r="C1426" s="67" t="inlineStr">
        <is>
          <t>1611</t>
        </is>
      </c>
      <c r="D1426" s="68" t="inlineStr">
        <is>
          <t>02</t>
        </is>
      </c>
      <c r="E1426" s="68" t="inlineStr">
        <is>
          <t>MDS</t>
        </is>
      </c>
      <c r="F1426" s="68" t="inlineStr">
        <is>
          <t>MDS</t>
        </is>
      </c>
      <c r="G1426" s="68" t="inlineStr">
        <is>
          <t>MDS装饰</t>
        </is>
      </c>
      <c r="H1426" s="68" t="inlineStr">
        <is>
          <t>MDS装饰</t>
        </is>
      </c>
      <c r="I1426" s="69" t="inlineStr">
        <is>
          <t>1000053613</t>
        </is>
      </c>
      <c r="J1426" s="69" t="inlineStr">
        <is>
          <t>灰色水泥纹踢脚（共荣）</t>
        </is>
      </c>
      <c r="K1426" s="70" t="n"/>
      <c r="L1426" s="70" t="n"/>
      <c r="M1426" s="71" t="inlineStr">
        <is>
          <t>米</t>
        </is>
      </c>
      <c r="N1426" s="72" t="n">
        <v>38.94</v>
      </c>
      <c r="O1426" s="72">
        <f>ROUND(N1426*(1+$F$10),2)</f>
        <v/>
      </c>
      <c r="P1426" s="73">
        <f>ROUND(K1426*N1426,2)</f>
        <v/>
      </c>
      <c r="Q1426" s="74">
        <f>ROUND(L1426*N1426,2)</f>
        <v/>
      </c>
      <c r="R1426" s="75" t="n"/>
      <c r="S1426" s="76" t="n"/>
      <c r="T1426" s="77">
        <f>K1426-L1426</f>
        <v/>
      </c>
      <c r="U1426" s="77">
        <f>P1426-Q1426</f>
        <v/>
      </c>
      <c r="V1426" s="77">
        <f>ABS(U1426)</f>
        <v/>
      </c>
      <c r="W1426" s="78">
        <f>T1426/L1426</f>
        <v/>
      </c>
      <c r="X1426" s="79">
        <f>ABS(W1426)</f>
        <v/>
      </c>
    </row>
    <row r="1427" ht="11.4" customHeight="1">
      <c r="A1427" s="67" t="inlineStr">
        <is>
          <t>9056</t>
        </is>
      </c>
      <c r="B1427" s="67" t="inlineStr">
        <is>
          <t>1054</t>
        </is>
      </c>
      <c r="C1427" s="67" t="inlineStr">
        <is>
          <t>1611</t>
        </is>
      </c>
      <c r="D1427" s="68" t="inlineStr">
        <is>
          <t>02</t>
        </is>
      </c>
      <c r="E1427" s="68" t="inlineStr">
        <is>
          <t>MDS</t>
        </is>
      </c>
      <c r="F1427" s="68" t="inlineStr">
        <is>
          <t>MDS</t>
        </is>
      </c>
      <c r="G1427" s="68" t="inlineStr">
        <is>
          <t>MDS装饰</t>
        </is>
      </c>
      <c r="H1427" s="68" t="inlineStr">
        <is>
          <t>MDS装饰</t>
        </is>
      </c>
      <c r="I1427" s="69" t="inlineStr">
        <is>
          <t>1000053614</t>
        </is>
      </c>
      <c r="J1427" s="69" t="inlineStr">
        <is>
          <t>灰色水泥纹踢脚（冠军）</t>
        </is>
      </c>
      <c r="K1427" s="70" t="n"/>
      <c r="L1427" s="70" t="n"/>
      <c r="M1427" s="71" t="inlineStr">
        <is>
          <t>米</t>
        </is>
      </c>
      <c r="N1427" s="72" t="n">
        <v>40.15</v>
      </c>
      <c r="O1427" s="72">
        <f>ROUND(N1427*(1+$F$10),2)</f>
        <v/>
      </c>
      <c r="P1427" s="73">
        <f>ROUND(K1427*N1427,2)</f>
        <v/>
      </c>
      <c r="Q1427" s="74">
        <f>ROUND(L1427*N1427,2)</f>
        <v/>
      </c>
      <c r="R1427" s="75" t="n"/>
      <c r="S1427" s="76" t="n"/>
      <c r="T1427" s="77">
        <f>K1427-L1427</f>
        <v/>
      </c>
      <c r="U1427" s="77">
        <f>P1427-Q1427</f>
        <v/>
      </c>
      <c r="V1427" s="77">
        <f>ABS(U1427)</f>
        <v/>
      </c>
      <c r="W1427" s="78">
        <f>T1427/L1427</f>
        <v/>
      </c>
      <c r="X1427" s="79">
        <f>ABS(W1427)</f>
        <v/>
      </c>
    </row>
    <row r="1428" ht="11.4" customHeight="1">
      <c r="A1428" s="67" t="inlineStr">
        <is>
          <t>9056</t>
        </is>
      </c>
      <c r="B1428" s="67" t="inlineStr">
        <is>
          <t>1054</t>
        </is>
      </c>
      <c r="C1428" s="67" t="inlineStr">
        <is>
          <t>1611</t>
        </is>
      </c>
      <c r="D1428" s="68" t="inlineStr">
        <is>
          <t>02</t>
        </is>
      </c>
      <c r="E1428" s="68" t="inlineStr">
        <is>
          <t>MDS</t>
        </is>
      </c>
      <c r="F1428" s="68" t="inlineStr">
        <is>
          <t>MDS</t>
        </is>
      </c>
      <c r="G1428" s="68" t="inlineStr">
        <is>
          <t>MDS装饰</t>
        </is>
      </c>
      <c r="H1428" s="68" t="inlineStr">
        <is>
          <t>MDS装饰</t>
        </is>
      </c>
      <c r="I1428" s="69" t="inlineStr">
        <is>
          <t>1000021679</t>
        </is>
      </c>
      <c r="J1428" s="69" t="inlineStr">
        <is>
          <t>混凝土地面砖（琛雄，人字形拼接）</t>
        </is>
      </c>
      <c r="K1428" s="70" t="n"/>
      <c r="L1428" s="70" t="n"/>
      <c r="M1428" s="71" t="inlineStr">
        <is>
          <t>m2</t>
        </is>
      </c>
      <c r="N1428" s="72" t="n">
        <v>219.86</v>
      </c>
      <c r="O1428" s="72">
        <f>ROUND(N1428*(1+$F$10),2)</f>
        <v/>
      </c>
      <c r="P1428" s="73">
        <f>ROUND(K1428*N1428,2)</f>
        <v/>
      </c>
      <c r="Q1428" s="74">
        <f>ROUND(L1428*N1428,2)</f>
        <v/>
      </c>
      <c r="R1428" s="75" t="n"/>
      <c r="S1428" s="76" t="n"/>
      <c r="T1428" s="77">
        <f>K1428-L1428</f>
        <v/>
      </c>
      <c r="U1428" s="77">
        <f>P1428-Q1428</f>
        <v/>
      </c>
      <c r="V1428" s="77">
        <f>ABS(U1428)</f>
        <v/>
      </c>
      <c r="W1428" s="78">
        <f>T1428/L1428</f>
        <v/>
      </c>
      <c r="X1428" s="79">
        <f>ABS(W1428)</f>
        <v/>
      </c>
    </row>
    <row r="1429" ht="11.4" customHeight="1">
      <c r="A1429" s="67" t="inlineStr">
        <is>
          <t>9056</t>
        </is>
      </c>
      <c r="B1429" s="67" t="inlineStr">
        <is>
          <t>1054</t>
        </is>
      </c>
      <c r="C1429" s="67" t="inlineStr">
        <is>
          <t>1611</t>
        </is>
      </c>
      <c r="D1429" s="68" t="inlineStr">
        <is>
          <t>02</t>
        </is>
      </c>
      <c r="E1429" s="68" t="inlineStr">
        <is>
          <t>MDS</t>
        </is>
      </c>
      <c r="F1429" s="68" t="inlineStr">
        <is>
          <t>MDS</t>
        </is>
      </c>
      <c r="G1429" s="68" t="inlineStr">
        <is>
          <t>MDS装饰</t>
        </is>
      </c>
      <c r="H1429" s="68" t="inlineStr">
        <is>
          <t>MDS装饰</t>
        </is>
      </c>
      <c r="I1429" s="69" t="inlineStr">
        <is>
          <t>1000021678</t>
        </is>
      </c>
      <c r="J1429" s="69" t="inlineStr">
        <is>
          <t>混凝土地面砖（共荣，人字形拼接）</t>
        </is>
      </c>
      <c r="K1429" s="70" t="n"/>
      <c r="L1429" s="70" t="n"/>
      <c r="M1429" s="71" t="inlineStr">
        <is>
          <t>m2</t>
        </is>
      </c>
      <c r="N1429" s="72" t="n">
        <v>203.42</v>
      </c>
      <c r="O1429" s="72">
        <f>ROUND(N1429*(1+$F$10),2)</f>
        <v/>
      </c>
      <c r="P1429" s="73">
        <f>ROUND(K1429*N1429,2)</f>
        <v/>
      </c>
      <c r="Q1429" s="74">
        <f>ROUND(L1429*N1429,2)</f>
        <v/>
      </c>
      <c r="R1429" s="75" t="n"/>
      <c r="S1429" s="76" t="n"/>
      <c r="T1429" s="77">
        <f>K1429-L1429</f>
        <v/>
      </c>
      <c r="U1429" s="77">
        <f>P1429-Q1429</f>
        <v/>
      </c>
      <c r="V1429" s="77">
        <f>ABS(U1429)</f>
        <v/>
      </c>
      <c r="W1429" s="78">
        <f>T1429/L1429</f>
        <v/>
      </c>
      <c r="X1429" s="79">
        <f>ABS(W1429)</f>
        <v/>
      </c>
    </row>
    <row r="1430" ht="11.4" customHeight="1">
      <c r="A1430" s="67" t="inlineStr">
        <is>
          <t>9056</t>
        </is>
      </c>
      <c r="B1430" s="67" t="inlineStr">
        <is>
          <t>1054</t>
        </is>
      </c>
      <c r="C1430" s="67" t="inlineStr">
        <is>
          <t>1611</t>
        </is>
      </c>
      <c r="D1430" s="68" t="inlineStr">
        <is>
          <t>02</t>
        </is>
      </c>
      <c r="E1430" s="68" t="inlineStr">
        <is>
          <t>MDS</t>
        </is>
      </c>
      <c r="F1430" s="68" t="inlineStr">
        <is>
          <t>MDS</t>
        </is>
      </c>
      <c r="G1430" s="68" t="inlineStr">
        <is>
          <t>MDS装饰</t>
        </is>
      </c>
      <c r="H1430" s="68" t="inlineStr">
        <is>
          <t>MDS装饰</t>
        </is>
      </c>
      <c r="I1430" s="69" t="inlineStr">
        <is>
          <t>1000021460</t>
        </is>
      </c>
      <c r="J1430" s="69" t="inlineStr">
        <is>
          <t>混凝土地面砖（冠军，人字形拼接）</t>
        </is>
      </c>
      <c r="K1430" s="70" t="n"/>
      <c r="L1430" s="70" t="n"/>
      <c r="M1430" s="71" t="inlineStr">
        <is>
          <t>m2</t>
        </is>
      </c>
      <c r="N1430" s="72" t="n">
        <v>222.39</v>
      </c>
      <c r="O1430" s="72">
        <f>ROUND(N1430*(1+$F$10),2)</f>
        <v/>
      </c>
      <c r="P1430" s="73">
        <f>ROUND(K1430*N1430,2)</f>
        <v/>
      </c>
      <c r="Q1430" s="74">
        <f>ROUND(L1430*N1430,2)</f>
        <v/>
      </c>
      <c r="R1430" s="75" t="n"/>
      <c r="S1430" s="76" t="n"/>
      <c r="T1430" s="77">
        <f>K1430-L1430</f>
        <v/>
      </c>
      <c r="U1430" s="77">
        <f>P1430-Q1430</f>
        <v/>
      </c>
      <c r="V1430" s="77">
        <f>ABS(U1430)</f>
        <v/>
      </c>
      <c r="W1430" s="78">
        <f>T1430/L1430</f>
        <v/>
      </c>
      <c r="X1430" s="79">
        <f>ABS(W1430)</f>
        <v/>
      </c>
    </row>
    <row r="1431" ht="11.4" customHeight="1">
      <c r="A1431" s="67" t="inlineStr">
        <is>
          <t>9056</t>
        </is>
      </c>
      <c r="B1431" s="67" t="inlineStr">
        <is>
          <t>1054</t>
        </is>
      </c>
      <c r="C1431" s="67" t="inlineStr">
        <is>
          <t>1611</t>
        </is>
      </c>
      <c r="D1431" s="68" t="inlineStr">
        <is>
          <t>02</t>
        </is>
      </c>
      <c r="E1431" s="68" t="inlineStr">
        <is>
          <t>MDS</t>
        </is>
      </c>
      <c r="F1431" s="68" t="inlineStr">
        <is>
          <t>MDS</t>
        </is>
      </c>
      <c r="G1431" s="68" t="inlineStr">
        <is>
          <t>MDS装饰</t>
        </is>
      </c>
      <c r="H1431" s="68" t="inlineStr">
        <is>
          <t>MDS装饰</t>
        </is>
      </c>
      <c r="I1431" s="69" t="inlineStr">
        <is>
          <t>1000041810</t>
        </is>
      </c>
      <c r="J1431" s="69" t="inlineStr">
        <is>
          <t>黑色踢脚（琛雄，Geometry）</t>
        </is>
      </c>
      <c r="K1431" s="70" t="n"/>
      <c r="L1431" s="70" t="n"/>
      <c r="M1431" s="71" t="inlineStr">
        <is>
          <t>米</t>
        </is>
      </c>
      <c r="N1431" s="72" t="n">
        <v>41.36</v>
      </c>
      <c r="O1431" s="72">
        <f>ROUND(N1431*(1+$F$10),2)</f>
        <v/>
      </c>
      <c r="P1431" s="73">
        <f>ROUND(K1431*N1431,2)</f>
        <v/>
      </c>
      <c r="Q1431" s="74">
        <f>ROUND(L1431*N1431,2)</f>
        <v/>
      </c>
      <c r="R1431" s="75" t="n"/>
      <c r="S1431" s="76" t="n"/>
      <c r="T1431" s="77">
        <f>K1431-L1431</f>
        <v/>
      </c>
      <c r="U1431" s="77">
        <f>P1431-Q1431</f>
        <v/>
      </c>
      <c r="V1431" s="77">
        <f>ABS(U1431)</f>
        <v/>
      </c>
      <c r="W1431" s="78">
        <f>T1431/L1431</f>
        <v/>
      </c>
      <c r="X1431" s="79">
        <f>ABS(W1431)</f>
        <v/>
      </c>
    </row>
    <row r="1432" ht="11.4" customHeight="1">
      <c r="A1432" s="67" t="inlineStr">
        <is>
          <t>9056</t>
        </is>
      </c>
      <c r="B1432" s="67" t="inlineStr">
        <is>
          <t>1054</t>
        </is>
      </c>
      <c r="C1432" s="67" t="inlineStr">
        <is>
          <t>1611</t>
        </is>
      </c>
      <c r="D1432" s="68" t="inlineStr">
        <is>
          <t>02</t>
        </is>
      </c>
      <c r="E1432" s="68" t="inlineStr">
        <is>
          <t>MDS</t>
        </is>
      </c>
      <c r="F1432" s="68" t="inlineStr">
        <is>
          <t>MDS</t>
        </is>
      </c>
      <c r="G1432" s="68" t="inlineStr">
        <is>
          <t>MDS装饰</t>
        </is>
      </c>
      <c r="H1432" s="68" t="inlineStr">
        <is>
          <t>MDS装饰</t>
        </is>
      </c>
      <c r="I1432" s="69" t="inlineStr">
        <is>
          <t>1000041812</t>
        </is>
      </c>
      <c r="J1432" s="69" t="inlineStr">
        <is>
          <t>黑色踢脚（共荣，Geometry）</t>
        </is>
      </c>
      <c r="K1432" s="70" t="n"/>
      <c r="L1432" s="70" t="n"/>
      <c r="M1432" s="71" t="inlineStr">
        <is>
          <t>米</t>
        </is>
      </c>
      <c r="N1432" s="72" t="n">
        <v>40.15</v>
      </c>
      <c r="O1432" s="72">
        <f>ROUND(N1432*(1+$F$10),2)</f>
        <v/>
      </c>
      <c r="P1432" s="73">
        <f>ROUND(K1432*N1432,2)</f>
        <v/>
      </c>
      <c r="Q1432" s="74">
        <f>ROUND(L1432*N1432,2)</f>
        <v/>
      </c>
      <c r="R1432" s="75" t="n"/>
      <c r="S1432" s="76" t="n"/>
      <c r="T1432" s="77">
        <f>K1432-L1432</f>
        <v/>
      </c>
      <c r="U1432" s="77">
        <f>P1432-Q1432</f>
        <v/>
      </c>
      <c r="V1432" s="77">
        <f>ABS(U1432)</f>
        <v/>
      </c>
      <c r="W1432" s="78">
        <f>T1432/L1432</f>
        <v/>
      </c>
      <c r="X1432" s="79">
        <f>ABS(W1432)</f>
        <v/>
      </c>
    </row>
    <row r="1433" ht="11.4" customHeight="1">
      <c r="A1433" s="67" t="inlineStr">
        <is>
          <t>9056</t>
        </is>
      </c>
      <c r="B1433" s="67" t="inlineStr">
        <is>
          <t>1054</t>
        </is>
      </c>
      <c r="C1433" s="67" t="inlineStr">
        <is>
          <t>1611</t>
        </is>
      </c>
      <c r="D1433" s="68" t="inlineStr">
        <is>
          <t>02</t>
        </is>
      </c>
      <c r="E1433" s="68" t="inlineStr">
        <is>
          <t>MDS</t>
        </is>
      </c>
      <c r="F1433" s="68" t="inlineStr">
        <is>
          <t>MDS</t>
        </is>
      </c>
      <c r="G1433" s="68" t="inlineStr">
        <is>
          <t>MDS装饰</t>
        </is>
      </c>
      <c r="H1433" s="68" t="inlineStr">
        <is>
          <t>MDS装饰</t>
        </is>
      </c>
      <c r="I1433" s="69" t="inlineStr">
        <is>
          <t>1000041818</t>
        </is>
      </c>
      <c r="J1433" s="69" t="inlineStr">
        <is>
          <t>黑色踢脚（冠军，Geometry）</t>
        </is>
      </c>
      <c r="K1433" s="70" t="n"/>
      <c r="L1433" s="70" t="n"/>
      <c r="M1433" s="71" t="inlineStr">
        <is>
          <t>米</t>
        </is>
      </c>
      <c r="N1433" s="72" t="n">
        <v>41.36</v>
      </c>
      <c r="O1433" s="72">
        <f>ROUND(N1433*(1+$F$10),2)</f>
        <v/>
      </c>
      <c r="P1433" s="73">
        <f>ROUND(K1433*N1433,2)</f>
        <v/>
      </c>
      <c r="Q1433" s="74">
        <f>ROUND(L1433*N1433,2)</f>
        <v/>
      </c>
      <c r="R1433" s="75" t="n"/>
      <c r="S1433" s="76" t="n"/>
      <c r="T1433" s="77">
        <f>K1433-L1433</f>
        <v/>
      </c>
      <c r="U1433" s="77">
        <f>P1433-Q1433</f>
        <v/>
      </c>
      <c r="V1433" s="77">
        <f>ABS(U1433)</f>
        <v/>
      </c>
      <c r="W1433" s="78">
        <f>T1433/L1433</f>
        <v/>
      </c>
      <c r="X1433" s="79">
        <f>ABS(W1433)</f>
        <v/>
      </c>
    </row>
    <row r="1434" ht="11.4" customHeight="1">
      <c r="A1434" s="67" t="inlineStr">
        <is>
          <t>9056</t>
        </is>
      </c>
      <c r="B1434" s="67" t="inlineStr">
        <is>
          <t>1054</t>
        </is>
      </c>
      <c r="C1434" s="67" t="inlineStr">
        <is>
          <t>1611</t>
        </is>
      </c>
      <c r="D1434" s="68" t="inlineStr">
        <is>
          <t>02</t>
        </is>
      </c>
      <c r="E1434" s="68" t="inlineStr">
        <is>
          <t>MDS</t>
        </is>
      </c>
      <c r="F1434" s="68" t="inlineStr">
        <is>
          <t>MDS</t>
        </is>
      </c>
      <c r="G1434" s="68" t="inlineStr">
        <is>
          <t>MDS装饰</t>
        </is>
      </c>
      <c r="H1434" s="68" t="inlineStr">
        <is>
          <t>MDS装饰</t>
        </is>
      </c>
      <c r="I1434" s="69" t="inlineStr">
        <is>
          <t>1000021666</t>
        </is>
      </c>
      <c r="J1434" s="69" t="inlineStr">
        <is>
          <t>600*600mm水磨石地砖（琛雄，含不超过50mm厚的找平层）</t>
        </is>
      </c>
      <c r="K1434" s="70" t="n"/>
      <c r="L1434" s="70" t="n"/>
      <c r="M1434" s="71" t="inlineStr">
        <is>
          <t>m2</t>
        </is>
      </c>
      <c r="N1434" s="72" t="n">
        <v>196.14</v>
      </c>
      <c r="O1434" s="72">
        <f>ROUND(N1434*(1+$F$10),2)</f>
        <v/>
      </c>
      <c r="P1434" s="73">
        <f>ROUND(K1434*N1434,2)</f>
        <v/>
      </c>
      <c r="Q1434" s="74">
        <f>ROUND(L1434*N1434,2)</f>
        <v/>
      </c>
      <c r="R1434" s="75" t="n"/>
      <c r="S1434" s="76" t="n"/>
      <c r="T1434" s="77">
        <f>K1434-L1434</f>
        <v/>
      </c>
      <c r="U1434" s="77">
        <f>P1434-Q1434</f>
        <v/>
      </c>
      <c r="V1434" s="77">
        <f>ABS(U1434)</f>
        <v/>
      </c>
      <c r="W1434" s="78">
        <f>T1434/L1434</f>
        <v/>
      </c>
      <c r="X1434" s="79">
        <f>ABS(W1434)</f>
        <v/>
      </c>
    </row>
    <row r="1435" ht="11.4" customHeight="1">
      <c r="A1435" s="67" t="inlineStr">
        <is>
          <t>9056</t>
        </is>
      </c>
      <c r="B1435" s="67" t="inlineStr">
        <is>
          <t>1054</t>
        </is>
      </c>
      <c r="C1435" s="67" t="inlineStr">
        <is>
          <t>1611</t>
        </is>
      </c>
      <c r="D1435" s="68" t="inlineStr">
        <is>
          <t>02</t>
        </is>
      </c>
      <c r="E1435" s="68" t="inlineStr">
        <is>
          <t>MDS</t>
        </is>
      </c>
      <c r="F1435" s="68" t="inlineStr">
        <is>
          <t>MDS</t>
        </is>
      </c>
      <c r="G1435" s="68" t="inlineStr">
        <is>
          <t>MDS装饰</t>
        </is>
      </c>
      <c r="H1435" s="68" t="inlineStr">
        <is>
          <t>MDS装饰</t>
        </is>
      </c>
      <c r="I1435" s="69" t="inlineStr">
        <is>
          <t>1000021667</t>
        </is>
      </c>
      <c r="J1435" s="69" t="inlineStr">
        <is>
          <t>琛雄水磨石踢脚</t>
        </is>
      </c>
      <c r="K1435" s="70" t="n"/>
      <c r="L1435" s="70" t="n"/>
      <c r="M1435" s="71" t="inlineStr">
        <is>
          <t>米</t>
        </is>
      </c>
      <c r="N1435" s="72" t="n">
        <v>41.47</v>
      </c>
      <c r="O1435" s="72">
        <f>ROUND(N1435*(1+$F$10),2)</f>
        <v/>
      </c>
      <c r="P1435" s="73">
        <f>ROUND(K1435*N1435,2)</f>
        <v/>
      </c>
      <c r="Q1435" s="74">
        <f>ROUND(L1435*N1435,2)</f>
        <v/>
      </c>
      <c r="R1435" s="75" t="n"/>
      <c r="S1435" s="76" t="n"/>
      <c r="T1435" s="77">
        <f>K1435-L1435</f>
        <v/>
      </c>
      <c r="U1435" s="77">
        <f>P1435-Q1435</f>
        <v/>
      </c>
      <c r="V1435" s="77">
        <f>ABS(U1435)</f>
        <v/>
      </c>
      <c r="W1435" s="78">
        <f>T1435/L1435</f>
        <v/>
      </c>
      <c r="X1435" s="79">
        <f>ABS(W1435)</f>
        <v/>
      </c>
    </row>
    <row r="1436" ht="11.4" customHeight="1">
      <c r="A1436" s="67" t="inlineStr">
        <is>
          <t>9056</t>
        </is>
      </c>
      <c r="B1436" s="67" t="inlineStr">
        <is>
          <t>1054</t>
        </is>
      </c>
      <c r="C1436" s="67" t="inlineStr">
        <is>
          <t>1611</t>
        </is>
      </c>
      <c r="D1436" s="68" t="inlineStr">
        <is>
          <t>02</t>
        </is>
      </c>
      <c r="E1436" s="68" t="inlineStr">
        <is>
          <t>MDS</t>
        </is>
      </c>
      <c r="F1436" s="68" t="inlineStr">
        <is>
          <t>MDS</t>
        </is>
      </c>
      <c r="G1436" s="68" t="inlineStr">
        <is>
          <t>MDS装饰</t>
        </is>
      </c>
      <c r="H1436" s="68" t="inlineStr">
        <is>
          <t>MDS装饰</t>
        </is>
      </c>
      <c r="I1436" s="69" t="inlineStr">
        <is>
          <t>1000021462</t>
        </is>
      </c>
      <c r="J1436" s="69" t="inlineStr">
        <is>
          <t>600*600mm水磨石地砖（共荣，含不超过50mm厚的找平层）</t>
        </is>
      </c>
      <c r="K1436" s="70" t="n"/>
      <c r="L1436" s="70" t="n"/>
      <c r="M1436" s="71" t="inlineStr">
        <is>
          <t>m2</t>
        </is>
      </c>
      <c r="N1436" s="72" t="n">
        <v>179.82</v>
      </c>
      <c r="O1436" s="72">
        <f>ROUND(N1436*(1+$F$10),2)</f>
        <v/>
      </c>
      <c r="P1436" s="73">
        <f>ROUND(K1436*N1436,2)</f>
        <v/>
      </c>
      <c r="Q1436" s="74">
        <f>ROUND(L1436*N1436,2)</f>
        <v/>
      </c>
      <c r="R1436" s="75" t="n"/>
      <c r="S1436" s="76" t="n"/>
      <c r="T1436" s="77">
        <f>K1436-L1436</f>
        <v/>
      </c>
      <c r="U1436" s="77">
        <f>P1436-Q1436</f>
        <v/>
      </c>
      <c r="V1436" s="77">
        <f>ABS(U1436)</f>
        <v/>
      </c>
      <c r="W1436" s="78">
        <f>T1436/L1436</f>
        <v/>
      </c>
      <c r="X1436" s="79">
        <f>ABS(W1436)</f>
        <v/>
      </c>
    </row>
    <row r="1437" ht="11.4" customHeight="1">
      <c r="A1437" s="67" t="inlineStr">
        <is>
          <t>9056</t>
        </is>
      </c>
      <c r="B1437" s="67" t="inlineStr">
        <is>
          <t>1054</t>
        </is>
      </c>
      <c r="C1437" s="67" t="inlineStr">
        <is>
          <t>1611</t>
        </is>
      </c>
      <c r="D1437" s="68" t="inlineStr">
        <is>
          <t>02</t>
        </is>
      </c>
      <c r="E1437" s="68" t="inlineStr">
        <is>
          <t>MDS</t>
        </is>
      </c>
      <c r="F1437" s="68" t="inlineStr">
        <is>
          <t>MDS</t>
        </is>
      </c>
      <c r="G1437" s="68" t="inlineStr">
        <is>
          <t>MDS装饰</t>
        </is>
      </c>
      <c r="H1437" s="68" t="inlineStr">
        <is>
          <t>MDS装饰</t>
        </is>
      </c>
      <c r="I1437" s="69" t="inlineStr">
        <is>
          <t>1000021463</t>
        </is>
      </c>
      <c r="J1437" s="69" t="inlineStr">
        <is>
          <t>共荣水磨石踢脚</t>
        </is>
      </c>
      <c r="K1437" s="70" t="n"/>
      <c r="L1437" s="70" t="n"/>
      <c r="M1437" s="71" t="inlineStr">
        <is>
          <t>米</t>
        </is>
      </c>
      <c r="N1437" s="72" t="n">
        <v>37.84</v>
      </c>
      <c r="O1437" s="72">
        <f>ROUND(N1437*(1+$F$10),2)</f>
        <v/>
      </c>
      <c r="P1437" s="73">
        <f>ROUND(K1437*N1437,2)</f>
        <v/>
      </c>
      <c r="Q1437" s="74">
        <f>ROUND(L1437*N1437,2)</f>
        <v/>
      </c>
      <c r="R1437" s="75" t="n"/>
      <c r="S1437" s="76" t="n"/>
      <c r="T1437" s="77">
        <f>K1437-L1437</f>
        <v/>
      </c>
      <c r="U1437" s="77">
        <f>P1437-Q1437</f>
        <v/>
      </c>
      <c r="V1437" s="77">
        <f>ABS(U1437)</f>
        <v/>
      </c>
      <c r="W1437" s="78">
        <f>T1437/L1437</f>
        <v/>
      </c>
      <c r="X1437" s="79">
        <f>ABS(W1437)</f>
        <v/>
      </c>
    </row>
    <row r="1438" ht="11.4" customHeight="1">
      <c r="A1438" s="67" t="inlineStr">
        <is>
          <t>9056</t>
        </is>
      </c>
      <c r="B1438" s="67" t="inlineStr">
        <is>
          <t>1054</t>
        </is>
      </c>
      <c r="C1438" s="67" t="inlineStr">
        <is>
          <t>1611</t>
        </is>
      </c>
      <c r="D1438" s="68" t="inlineStr">
        <is>
          <t>02</t>
        </is>
      </c>
      <c r="E1438" s="68" t="inlineStr">
        <is>
          <t>MDS</t>
        </is>
      </c>
      <c r="F1438" s="68" t="inlineStr">
        <is>
          <t>MDS</t>
        </is>
      </c>
      <c r="G1438" s="68" t="inlineStr">
        <is>
          <t>MDS装饰</t>
        </is>
      </c>
      <c r="H1438" s="68" t="inlineStr">
        <is>
          <t>MDS装饰</t>
        </is>
      </c>
      <c r="I1438" s="69" t="inlineStr">
        <is>
          <t>1000021668</t>
        </is>
      </c>
      <c r="J1438" s="69" t="inlineStr">
        <is>
          <t>600*600mm水磨石地砖（冠军，含不超过50mm厚的找平层）</t>
        </is>
      </c>
      <c r="K1438" s="70" t="n"/>
      <c r="L1438" s="70" t="n"/>
      <c r="M1438" s="71" t="inlineStr">
        <is>
          <t>m2</t>
        </is>
      </c>
      <c r="N1438" s="72" t="n">
        <v>193.81</v>
      </c>
      <c r="O1438" s="72">
        <f>ROUND(N1438*(1+$F$10),2)</f>
        <v/>
      </c>
      <c r="P1438" s="73">
        <f>ROUND(K1438*N1438,2)</f>
        <v/>
      </c>
      <c r="Q1438" s="74">
        <f>ROUND(L1438*N1438,2)</f>
        <v/>
      </c>
      <c r="R1438" s="75" t="n"/>
      <c r="S1438" s="76" t="n"/>
      <c r="T1438" s="77">
        <f>K1438-L1438</f>
        <v/>
      </c>
      <c r="U1438" s="77">
        <f>P1438-Q1438</f>
        <v/>
      </c>
      <c r="V1438" s="77">
        <f>ABS(U1438)</f>
        <v/>
      </c>
      <c r="W1438" s="78">
        <f>T1438/L1438</f>
        <v/>
      </c>
      <c r="X1438" s="79">
        <f>ABS(W1438)</f>
        <v/>
      </c>
    </row>
    <row r="1439" ht="11.4" customHeight="1">
      <c r="A1439" s="67" t="inlineStr">
        <is>
          <t>9056</t>
        </is>
      </c>
      <c r="B1439" s="67" t="inlineStr">
        <is>
          <t>1054</t>
        </is>
      </c>
      <c r="C1439" s="67" t="inlineStr">
        <is>
          <t>1611</t>
        </is>
      </c>
      <c r="D1439" s="68" t="inlineStr">
        <is>
          <t>02</t>
        </is>
      </c>
      <c r="E1439" s="68" t="inlineStr">
        <is>
          <t>MDS</t>
        </is>
      </c>
      <c r="F1439" s="68" t="inlineStr">
        <is>
          <t>MDS</t>
        </is>
      </c>
      <c r="G1439" s="68" t="inlineStr">
        <is>
          <t>MDS装饰</t>
        </is>
      </c>
      <c r="H1439" s="68" t="inlineStr">
        <is>
          <t>MDS装饰</t>
        </is>
      </c>
      <c r="I1439" s="69" t="inlineStr">
        <is>
          <t>1000021669</t>
        </is>
      </c>
      <c r="J1439" s="69" t="inlineStr">
        <is>
          <t>冠军水磨石踢脚</t>
        </is>
      </c>
      <c r="K1439" s="70" t="n"/>
      <c r="L1439" s="70" t="n"/>
      <c r="M1439" s="71" t="inlineStr">
        <is>
          <t>米</t>
        </is>
      </c>
      <c r="N1439" s="72" t="n">
        <v>39.05</v>
      </c>
      <c r="O1439" s="72">
        <f>ROUND(N1439*(1+$F$10),2)</f>
        <v/>
      </c>
      <c r="P1439" s="73">
        <f>ROUND(K1439*N1439,2)</f>
        <v/>
      </c>
      <c r="Q1439" s="74">
        <f>ROUND(L1439*N1439,2)</f>
        <v/>
      </c>
      <c r="R1439" s="75" t="n"/>
      <c r="S1439" s="76" t="n"/>
      <c r="T1439" s="77">
        <f>K1439-L1439</f>
        <v/>
      </c>
      <c r="U1439" s="77">
        <f>P1439-Q1439</f>
        <v/>
      </c>
      <c r="V1439" s="77">
        <f>ABS(U1439)</f>
        <v/>
      </c>
      <c r="W1439" s="78">
        <f>T1439/L1439</f>
        <v/>
      </c>
      <c r="X1439" s="79">
        <f>ABS(W1439)</f>
        <v/>
      </c>
    </row>
    <row r="1440" ht="11.4" customHeight="1">
      <c r="A1440" s="67" t="inlineStr">
        <is>
          <t>9056</t>
        </is>
      </c>
      <c r="B1440" s="67" t="inlineStr">
        <is>
          <t>1054</t>
        </is>
      </c>
      <c r="C1440" s="67" t="inlineStr">
        <is>
          <t>1611</t>
        </is>
      </c>
      <c r="D1440" s="68" t="inlineStr">
        <is>
          <t>02</t>
        </is>
      </c>
      <c r="E1440" s="68" t="inlineStr">
        <is>
          <t>MDS</t>
        </is>
      </c>
      <c r="F1440" s="68" t="inlineStr">
        <is>
          <t>MDS</t>
        </is>
      </c>
      <c r="G1440" s="68" t="inlineStr">
        <is>
          <t>MDS装饰</t>
        </is>
      </c>
      <c r="H1440" s="68" t="inlineStr">
        <is>
          <t>MDS装饰</t>
        </is>
      </c>
      <c r="I1440" s="69" t="inlineStr">
        <is>
          <t>1000021670</t>
        </is>
      </c>
      <c r="J1440" s="69" t="inlineStr">
        <is>
          <t>木纹砖(琛雄，含不超过50mm厚的找平层)</t>
        </is>
      </c>
      <c r="K1440" s="70" t="n"/>
      <c r="L1440" s="70" t="n"/>
      <c r="M1440" s="71" t="inlineStr">
        <is>
          <t>m2</t>
        </is>
      </c>
      <c r="N1440" s="72" t="n">
        <v>178.2</v>
      </c>
      <c r="O1440" s="72">
        <f>ROUND(N1440*(1+$F$10),2)</f>
        <v/>
      </c>
      <c r="P1440" s="73">
        <f>ROUND(K1440*N1440,2)</f>
        <v/>
      </c>
      <c r="Q1440" s="74">
        <f>ROUND(L1440*N1440,2)</f>
        <v/>
      </c>
      <c r="R1440" s="75" t="n"/>
      <c r="S1440" s="76" t="n"/>
      <c r="T1440" s="77">
        <f>K1440-L1440</f>
        <v/>
      </c>
      <c r="U1440" s="77">
        <f>P1440-Q1440</f>
        <v/>
      </c>
      <c r="V1440" s="77">
        <f>ABS(U1440)</f>
        <v/>
      </c>
      <c r="W1440" s="78">
        <f>T1440/L1440</f>
        <v/>
      </c>
      <c r="X1440" s="79">
        <f>ABS(W1440)</f>
        <v/>
      </c>
    </row>
    <row r="1441" ht="11.4" customHeight="1">
      <c r="A1441" s="67" t="inlineStr">
        <is>
          <t>9056</t>
        </is>
      </c>
      <c r="B1441" s="67" t="inlineStr">
        <is>
          <t>1054</t>
        </is>
      </c>
      <c r="C1441" s="67" t="inlineStr">
        <is>
          <t>1611</t>
        </is>
      </c>
      <c r="D1441" s="68" t="inlineStr">
        <is>
          <t>02</t>
        </is>
      </c>
      <c r="E1441" s="68" t="inlineStr">
        <is>
          <t>MDS</t>
        </is>
      </c>
      <c r="F1441" s="68" t="inlineStr">
        <is>
          <t>MDS</t>
        </is>
      </c>
      <c r="G1441" s="68" t="inlineStr">
        <is>
          <t>MDS装饰</t>
        </is>
      </c>
      <c r="H1441" s="68" t="inlineStr">
        <is>
          <t>MDS装饰</t>
        </is>
      </c>
      <c r="I1441" s="69" t="inlineStr">
        <is>
          <t>1000021464</t>
        </is>
      </c>
      <c r="J1441" s="69" t="inlineStr">
        <is>
          <t>木纹砖（共荣，含不超过50mm厚的找平层）</t>
        </is>
      </c>
      <c r="K1441" s="70" t="n"/>
      <c r="L1441" s="70" t="n"/>
      <c r="M1441" s="71" t="inlineStr">
        <is>
          <t>m2</t>
        </is>
      </c>
      <c r="N1441" s="72" t="n">
        <v>170.67</v>
      </c>
      <c r="O1441" s="72">
        <f>ROUND(N1441*(1+$F$10),2)</f>
        <v/>
      </c>
      <c r="P1441" s="73">
        <f>ROUND(K1441*N1441,2)</f>
        <v/>
      </c>
      <c r="Q1441" s="74">
        <f>ROUND(L1441*N1441,2)</f>
        <v/>
      </c>
      <c r="R1441" s="75" t="n"/>
      <c r="S1441" s="76" t="n"/>
      <c r="T1441" s="77">
        <f>K1441-L1441</f>
        <v/>
      </c>
      <c r="U1441" s="77">
        <f>P1441-Q1441</f>
        <v/>
      </c>
      <c r="V1441" s="77">
        <f>ABS(U1441)</f>
        <v/>
      </c>
      <c r="W1441" s="78">
        <f>T1441/L1441</f>
        <v/>
      </c>
      <c r="X1441" s="79">
        <f>ABS(W1441)</f>
        <v/>
      </c>
    </row>
    <row r="1442" ht="11.4" customHeight="1">
      <c r="A1442" s="67" t="inlineStr">
        <is>
          <t>9056</t>
        </is>
      </c>
      <c r="B1442" s="67" t="inlineStr">
        <is>
          <t>1054</t>
        </is>
      </c>
      <c r="C1442" s="67" t="inlineStr">
        <is>
          <t>1611</t>
        </is>
      </c>
      <c r="D1442" s="68" t="inlineStr">
        <is>
          <t>02</t>
        </is>
      </c>
      <c r="E1442" s="68" t="inlineStr">
        <is>
          <t>MDS</t>
        </is>
      </c>
      <c r="F1442" s="68" t="inlineStr">
        <is>
          <t>MDS</t>
        </is>
      </c>
      <c r="G1442" s="68" t="inlineStr">
        <is>
          <t>MDS装饰</t>
        </is>
      </c>
      <c r="H1442" s="68" t="inlineStr">
        <is>
          <t>MDS装饰</t>
        </is>
      </c>
      <c r="I1442" s="69" t="inlineStr">
        <is>
          <t>1000021671</t>
        </is>
      </c>
      <c r="J1442" s="69" t="inlineStr">
        <is>
          <t>木纹砖(冠军，含不超过50mm厚的找平层)</t>
        </is>
      </c>
      <c r="K1442" s="70" t="n"/>
      <c r="L1442" s="70" t="n"/>
      <c r="M1442" s="71" t="inlineStr">
        <is>
          <t>m2</t>
        </is>
      </c>
      <c r="N1442" s="72" t="n">
        <v>181.7</v>
      </c>
      <c r="O1442" s="72">
        <f>ROUND(N1442*(1+$F$10),2)</f>
        <v/>
      </c>
      <c r="P1442" s="73">
        <f>ROUND(K1442*N1442,2)</f>
        <v/>
      </c>
      <c r="Q1442" s="74">
        <f>ROUND(L1442*N1442,2)</f>
        <v/>
      </c>
      <c r="R1442" s="75" t="n"/>
      <c r="S1442" s="76" t="n"/>
      <c r="T1442" s="77">
        <f>K1442-L1442</f>
        <v/>
      </c>
      <c r="U1442" s="77">
        <f>P1442-Q1442</f>
        <v/>
      </c>
      <c r="V1442" s="77">
        <f>ABS(U1442)</f>
        <v/>
      </c>
      <c r="W1442" s="78">
        <f>T1442/L1442</f>
        <v/>
      </c>
      <c r="X1442" s="79">
        <f>ABS(W1442)</f>
        <v/>
      </c>
    </row>
    <row r="1443" ht="11.4" customHeight="1">
      <c r="A1443" s="67" t="inlineStr">
        <is>
          <t>9056</t>
        </is>
      </c>
      <c r="B1443" s="67" t="inlineStr">
        <is>
          <t>1054</t>
        </is>
      </c>
      <c r="C1443" s="67" t="inlineStr">
        <is>
          <t>1611</t>
        </is>
      </c>
      <c r="D1443" s="68" t="inlineStr">
        <is>
          <t>02</t>
        </is>
      </c>
      <c r="E1443" s="68" t="inlineStr">
        <is>
          <t>MDS</t>
        </is>
      </c>
      <c r="F1443" s="68" t="inlineStr">
        <is>
          <t>MDS</t>
        </is>
      </c>
      <c r="G1443" s="68" t="inlineStr">
        <is>
          <t>MDS装饰</t>
        </is>
      </c>
      <c r="H1443" s="68" t="inlineStr">
        <is>
          <t>MDS装饰</t>
        </is>
      </c>
      <c r="I1443" s="69" t="inlineStr">
        <is>
          <t>1000021715</t>
        </is>
      </c>
      <c r="J1443" s="69" t="inlineStr">
        <is>
          <t>地面灰砖（琛雄，Luna）</t>
        </is>
      </c>
      <c r="K1443" s="70" t="n"/>
      <c r="L1443" s="70" t="n"/>
      <c r="M1443" s="71" t="inlineStr">
        <is>
          <t>m2</t>
        </is>
      </c>
      <c r="N1443" s="72" t="n">
        <v>180.78</v>
      </c>
      <c r="O1443" s="72">
        <f>ROUND(N1443*(1+$F$10),2)</f>
        <v/>
      </c>
      <c r="P1443" s="73">
        <f>ROUND(K1443*N1443,2)</f>
        <v/>
      </c>
      <c r="Q1443" s="74">
        <f>ROUND(L1443*N1443,2)</f>
        <v/>
      </c>
      <c r="R1443" s="75" t="n"/>
      <c r="S1443" s="76" t="n"/>
      <c r="T1443" s="77">
        <f>K1443-L1443</f>
        <v/>
      </c>
      <c r="U1443" s="77">
        <f>P1443-Q1443</f>
        <v/>
      </c>
      <c r="V1443" s="77">
        <f>ABS(U1443)</f>
        <v/>
      </c>
      <c r="W1443" s="78">
        <f>T1443/L1443</f>
        <v/>
      </c>
      <c r="X1443" s="79">
        <f>ABS(W1443)</f>
        <v/>
      </c>
    </row>
    <row r="1444" ht="11.4" customHeight="1">
      <c r="A1444" s="67" t="inlineStr">
        <is>
          <t>9056</t>
        </is>
      </c>
      <c r="B1444" s="67" t="inlineStr">
        <is>
          <t>1054</t>
        </is>
      </c>
      <c r="C1444" s="67" t="inlineStr">
        <is>
          <t>1611</t>
        </is>
      </c>
      <c r="D1444" s="68" t="inlineStr">
        <is>
          <t>02</t>
        </is>
      </c>
      <c r="E1444" s="68" t="inlineStr">
        <is>
          <t>MDS</t>
        </is>
      </c>
      <c r="F1444" s="68" t="inlineStr">
        <is>
          <t>MDS</t>
        </is>
      </c>
      <c r="G1444" s="68" t="inlineStr">
        <is>
          <t>MDS装饰</t>
        </is>
      </c>
      <c r="H1444" s="68" t="inlineStr">
        <is>
          <t>MDS装饰</t>
        </is>
      </c>
      <c r="I1444" s="69" t="inlineStr">
        <is>
          <t>1000041815</t>
        </is>
      </c>
      <c r="J1444" s="69" t="inlineStr">
        <is>
          <t>地面灰砖（共荣，Luna）</t>
        </is>
      </c>
      <c r="K1444" s="70" t="n"/>
      <c r="L1444" s="70" t="n"/>
      <c r="M1444" s="71" t="inlineStr">
        <is>
          <t>m2</t>
        </is>
      </c>
      <c r="N1444" s="72" t="n">
        <v>162.63</v>
      </c>
      <c r="O1444" s="72">
        <f>ROUND(N1444*(1+$F$10),2)</f>
        <v/>
      </c>
      <c r="P1444" s="73">
        <f>ROUND(K1444*N1444,2)</f>
        <v/>
      </c>
      <c r="Q1444" s="74">
        <f>ROUND(L1444*N1444,2)</f>
        <v/>
      </c>
      <c r="R1444" s="75" t="n"/>
      <c r="S1444" s="76" t="n"/>
      <c r="T1444" s="77">
        <f>K1444-L1444</f>
        <v/>
      </c>
      <c r="U1444" s="77">
        <f>P1444-Q1444</f>
        <v/>
      </c>
      <c r="V1444" s="77">
        <f>ABS(U1444)</f>
        <v/>
      </c>
      <c r="W1444" s="78">
        <f>T1444/L1444</f>
        <v/>
      </c>
      <c r="X1444" s="79">
        <f>ABS(W1444)</f>
        <v/>
      </c>
    </row>
    <row r="1445" ht="11.4" customHeight="1">
      <c r="A1445" s="67" t="inlineStr">
        <is>
          <t>9056</t>
        </is>
      </c>
      <c r="B1445" s="67" t="inlineStr">
        <is>
          <t>1054</t>
        </is>
      </c>
      <c r="C1445" s="67" t="inlineStr">
        <is>
          <t>1611</t>
        </is>
      </c>
      <c r="D1445" s="68" t="inlineStr">
        <is>
          <t>02</t>
        </is>
      </c>
      <c r="E1445" s="68" t="inlineStr">
        <is>
          <t>MDS</t>
        </is>
      </c>
      <c r="F1445" s="68" t="inlineStr">
        <is>
          <t>MDS</t>
        </is>
      </c>
      <c r="G1445" s="68" t="inlineStr">
        <is>
          <t>MDS装饰</t>
        </is>
      </c>
      <c r="H1445" s="68" t="inlineStr">
        <is>
          <t>MDS装饰</t>
        </is>
      </c>
      <c r="I1445" s="69" t="inlineStr">
        <is>
          <t>1000041821</t>
        </is>
      </c>
      <c r="J1445" s="69" t="inlineStr">
        <is>
          <t>地面灰砖（冠军，Luna）</t>
        </is>
      </c>
      <c r="K1445" s="70" t="n"/>
      <c r="L1445" s="70" t="n"/>
      <c r="M1445" s="71" t="inlineStr">
        <is>
          <t>m2</t>
        </is>
      </c>
      <c r="N1445" s="72" t="n">
        <v>183.2</v>
      </c>
      <c r="O1445" s="72">
        <f>ROUND(N1445*(1+$F$10),2)</f>
        <v/>
      </c>
      <c r="P1445" s="73">
        <f>ROUND(K1445*N1445,2)</f>
        <v/>
      </c>
      <c r="Q1445" s="74">
        <f>ROUND(L1445*N1445,2)</f>
        <v/>
      </c>
      <c r="R1445" s="75" t="n"/>
      <c r="S1445" s="76" t="n"/>
      <c r="T1445" s="77">
        <f>K1445-L1445</f>
        <v/>
      </c>
      <c r="U1445" s="77">
        <f>P1445-Q1445</f>
        <v/>
      </c>
      <c r="V1445" s="77">
        <f>ABS(U1445)</f>
        <v/>
      </c>
      <c r="W1445" s="78">
        <f>T1445/L1445</f>
        <v/>
      </c>
      <c r="X1445" s="79">
        <f>ABS(W1445)</f>
        <v/>
      </c>
    </row>
    <row r="1446" ht="11.4" customHeight="1">
      <c r="A1446" s="67" t="inlineStr">
        <is>
          <t>9056</t>
        </is>
      </c>
      <c r="B1446" s="67" t="inlineStr">
        <is>
          <t>1054</t>
        </is>
      </c>
      <c r="C1446" s="67" t="inlineStr">
        <is>
          <t>1611</t>
        </is>
      </c>
      <c r="D1446" s="68" t="inlineStr">
        <is>
          <t>02</t>
        </is>
      </c>
      <c r="E1446" s="68" t="inlineStr">
        <is>
          <t>MDS</t>
        </is>
      </c>
      <c r="F1446" s="68" t="inlineStr">
        <is>
          <t>MDS</t>
        </is>
      </c>
      <c r="G1446" s="68" t="inlineStr">
        <is>
          <t>MDS装饰</t>
        </is>
      </c>
      <c r="H1446" s="68" t="inlineStr">
        <is>
          <t>MDS装饰</t>
        </is>
      </c>
      <c r="I1446" s="69" t="inlineStr">
        <is>
          <t>1000021454</t>
        </is>
      </c>
      <c r="J1446" s="69" t="inlineStr">
        <is>
          <t>150x150mm灰色砖地面（琛雄，含不超过50mm厚的找平层）</t>
        </is>
      </c>
      <c r="K1446" s="70" t="n"/>
      <c r="L1446" s="70" t="n"/>
      <c r="M1446" s="71" t="inlineStr">
        <is>
          <t>m2</t>
        </is>
      </c>
      <c r="N1446" s="72" t="n">
        <v>203.87</v>
      </c>
      <c r="O1446" s="72">
        <f>ROUND(N1446*(1+$F$10),2)</f>
        <v/>
      </c>
      <c r="P1446" s="73">
        <f>ROUND(K1446*N1446,2)</f>
        <v/>
      </c>
      <c r="Q1446" s="74">
        <f>ROUND(L1446*N1446,2)</f>
        <v/>
      </c>
      <c r="R1446" s="75" t="n"/>
      <c r="S1446" s="76" t="n"/>
      <c r="T1446" s="77">
        <f>K1446-L1446</f>
        <v/>
      </c>
      <c r="U1446" s="77">
        <f>P1446-Q1446</f>
        <v/>
      </c>
      <c r="V1446" s="77">
        <f>ABS(U1446)</f>
        <v/>
      </c>
      <c r="W1446" s="78">
        <f>T1446/L1446</f>
        <v/>
      </c>
      <c r="X1446" s="79">
        <f>ABS(W1446)</f>
        <v/>
      </c>
    </row>
    <row r="1447" ht="11.4" customHeight="1">
      <c r="A1447" s="67" t="inlineStr">
        <is>
          <t>9056</t>
        </is>
      </c>
      <c r="B1447" s="67" t="inlineStr">
        <is>
          <t>1054</t>
        </is>
      </c>
      <c r="C1447" s="67" t="inlineStr">
        <is>
          <t>1611</t>
        </is>
      </c>
      <c r="D1447" s="68" t="inlineStr">
        <is>
          <t>02</t>
        </is>
      </c>
      <c r="E1447" s="68" t="inlineStr">
        <is>
          <t>MDS</t>
        </is>
      </c>
      <c r="F1447" s="68" t="inlineStr">
        <is>
          <t>MDS</t>
        </is>
      </c>
      <c r="G1447" s="68" t="inlineStr">
        <is>
          <t>MDS装饰</t>
        </is>
      </c>
      <c r="H1447" s="68" t="inlineStr">
        <is>
          <t>MDS装饰</t>
        </is>
      </c>
      <c r="I1447" s="69" t="inlineStr">
        <is>
          <t>1000021455</t>
        </is>
      </c>
      <c r="J1447" s="69" t="inlineStr">
        <is>
          <t>灰色砖踢脚（琛雄，含阴阳角）</t>
        </is>
      </c>
      <c r="K1447" s="70" t="n"/>
      <c r="L1447" s="70" t="n"/>
      <c r="M1447" s="71" t="inlineStr">
        <is>
          <t>米</t>
        </is>
      </c>
      <c r="N1447" s="72" t="n">
        <v>101.27</v>
      </c>
      <c r="O1447" s="72">
        <f>ROUND(N1447*(1+$F$10),2)</f>
        <v/>
      </c>
      <c r="P1447" s="73">
        <f>ROUND(K1447*N1447,2)</f>
        <v/>
      </c>
      <c r="Q1447" s="74">
        <f>ROUND(L1447*N1447,2)</f>
        <v/>
      </c>
      <c r="R1447" s="75" t="n"/>
      <c r="S1447" s="76" t="n"/>
      <c r="T1447" s="77">
        <f>K1447-L1447</f>
        <v/>
      </c>
      <c r="U1447" s="77">
        <f>P1447-Q1447</f>
        <v/>
      </c>
      <c r="V1447" s="77">
        <f>ABS(U1447)</f>
        <v/>
      </c>
      <c r="W1447" s="78">
        <f>T1447/L1447</f>
        <v/>
      </c>
      <c r="X1447" s="79">
        <f>ABS(W1447)</f>
        <v/>
      </c>
    </row>
    <row r="1448" ht="11.4" customHeight="1">
      <c r="A1448" s="67" t="inlineStr">
        <is>
          <t>9056</t>
        </is>
      </c>
      <c r="B1448" s="67" t="inlineStr">
        <is>
          <t>1054</t>
        </is>
      </c>
      <c r="C1448" s="67" t="inlineStr">
        <is>
          <t>1611</t>
        </is>
      </c>
      <c r="D1448" s="68" t="inlineStr">
        <is>
          <t>02</t>
        </is>
      </c>
      <c r="E1448" s="68" t="inlineStr">
        <is>
          <t>MDS</t>
        </is>
      </c>
      <c r="F1448" s="68" t="inlineStr">
        <is>
          <t>MDS</t>
        </is>
      </c>
      <c r="G1448" s="68" t="inlineStr">
        <is>
          <t>MDS装饰</t>
        </is>
      </c>
      <c r="H1448" s="68" t="inlineStr">
        <is>
          <t>MDS装饰</t>
        </is>
      </c>
      <c r="I1448" s="69" t="inlineStr">
        <is>
          <t>1000021654</t>
        </is>
      </c>
      <c r="J1448" s="69" t="inlineStr">
        <is>
          <t>150x150mm灰色砖地面（共荣，含不超过50mm厚的找平层）</t>
        </is>
      </c>
      <c r="K1448" s="70" t="n"/>
      <c r="L1448" s="70" t="n"/>
      <c r="M1448" s="71" t="inlineStr">
        <is>
          <t>m2</t>
        </is>
      </c>
      <c r="N1448" s="72" t="n">
        <v>194.19</v>
      </c>
      <c r="O1448" s="72">
        <f>ROUND(N1448*(1+$F$10),2)</f>
        <v/>
      </c>
      <c r="P1448" s="73">
        <f>ROUND(K1448*N1448,2)</f>
        <v/>
      </c>
      <c r="Q1448" s="74">
        <f>ROUND(L1448*N1448,2)</f>
        <v/>
      </c>
      <c r="R1448" s="75" t="n"/>
      <c r="S1448" s="76" t="n"/>
      <c r="T1448" s="77">
        <f>K1448-L1448</f>
        <v/>
      </c>
      <c r="U1448" s="77">
        <f>P1448-Q1448</f>
        <v/>
      </c>
      <c r="V1448" s="77">
        <f>ABS(U1448)</f>
        <v/>
      </c>
      <c r="W1448" s="78">
        <f>T1448/L1448</f>
        <v/>
      </c>
      <c r="X1448" s="79">
        <f>ABS(W1448)</f>
        <v/>
      </c>
    </row>
    <row r="1449" ht="11.4" customHeight="1">
      <c r="A1449" s="67" t="inlineStr">
        <is>
          <t>9056</t>
        </is>
      </c>
      <c r="B1449" s="67" t="inlineStr">
        <is>
          <t>1054</t>
        </is>
      </c>
      <c r="C1449" s="67" t="inlineStr">
        <is>
          <t>1611</t>
        </is>
      </c>
      <c r="D1449" s="68" t="inlineStr">
        <is>
          <t>02</t>
        </is>
      </c>
      <c r="E1449" s="68" t="inlineStr">
        <is>
          <t>MDS</t>
        </is>
      </c>
      <c r="F1449" s="68" t="inlineStr">
        <is>
          <t>MDS</t>
        </is>
      </c>
      <c r="G1449" s="68" t="inlineStr">
        <is>
          <t>MDS装饰</t>
        </is>
      </c>
      <c r="H1449" s="68" t="inlineStr">
        <is>
          <t>MDS装饰</t>
        </is>
      </c>
      <c r="I1449" s="69" t="inlineStr">
        <is>
          <t>1000021655</t>
        </is>
      </c>
      <c r="J1449" s="69" t="inlineStr">
        <is>
          <t>灰色砖踢脚（共荣，含阴阳角）</t>
        </is>
      </c>
      <c r="K1449" s="70" t="n"/>
      <c r="L1449" s="70" t="n"/>
      <c r="M1449" s="71" t="inlineStr">
        <is>
          <t>米</t>
        </is>
      </c>
      <c r="N1449" s="72" t="n">
        <v>83.12</v>
      </c>
      <c r="O1449" s="72">
        <f>ROUND(N1449*(1+$F$10),2)</f>
        <v/>
      </c>
      <c r="P1449" s="73">
        <f>ROUND(K1449*N1449,2)</f>
        <v/>
      </c>
      <c r="Q1449" s="74">
        <f>ROUND(L1449*N1449,2)</f>
        <v/>
      </c>
      <c r="R1449" s="75" t="n"/>
      <c r="S1449" s="76" t="n"/>
      <c r="T1449" s="77">
        <f>K1449-L1449</f>
        <v/>
      </c>
      <c r="U1449" s="77">
        <f>P1449-Q1449</f>
        <v/>
      </c>
      <c r="V1449" s="77">
        <f>ABS(U1449)</f>
        <v/>
      </c>
      <c r="W1449" s="78">
        <f>T1449/L1449</f>
        <v/>
      </c>
      <c r="X1449" s="79">
        <f>ABS(W1449)</f>
        <v/>
      </c>
    </row>
    <row r="1450" ht="11.4" customHeight="1">
      <c r="A1450" s="67" t="inlineStr">
        <is>
          <t>9056</t>
        </is>
      </c>
      <c r="B1450" s="67" t="inlineStr">
        <is>
          <t>1054</t>
        </is>
      </c>
      <c r="C1450" s="67" t="inlineStr">
        <is>
          <t>1611</t>
        </is>
      </c>
      <c r="D1450" s="68" t="inlineStr">
        <is>
          <t>02</t>
        </is>
      </c>
      <c r="E1450" s="68" t="inlineStr">
        <is>
          <t>MDS</t>
        </is>
      </c>
      <c r="F1450" s="68" t="inlineStr">
        <is>
          <t>MDS</t>
        </is>
      </c>
      <c r="G1450" s="68" t="inlineStr">
        <is>
          <t>MDS装饰</t>
        </is>
      </c>
      <c r="H1450" s="68" t="inlineStr">
        <is>
          <t>MDS装饰</t>
        </is>
      </c>
      <c r="I1450" s="69" t="inlineStr">
        <is>
          <t>1000021676</t>
        </is>
      </c>
      <c r="J1450" s="69" t="inlineStr">
        <is>
          <t>150x150mm灰色砖地面（冠军，含不超过50mm厚的找平层）</t>
        </is>
      </c>
      <c r="K1450" s="83" t="n">
        <v>3.73</v>
      </c>
      <c r="L1450" s="70" t="n"/>
      <c r="M1450" s="71" t="inlineStr">
        <is>
          <t>m2</t>
        </is>
      </c>
      <c r="N1450" s="72" t="n">
        <v>202.66</v>
      </c>
      <c r="O1450" s="72">
        <f>ROUND(N1450*(1+$F$10),2)</f>
        <v/>
      </c>
      <c r="P1450" s="73">
        <f>ROUND(K1450*N1450,2)</f>
        <v/>
      </c>
      <c r="Q1450" s="74">
        <f>ROUND(L1450*N1450,2)</f>
        <v/>
      </c>
      <c r="R1450" s="75" t="n"/>
      <c r="S1450" s="76" t="n"/>
      <c r="T1450" s="77">
        <f>K1450-L1450</f>
        <v/>
      </c>
      <c r="U1450" s="77">
        <f>P1450-Q1450</f>
        <v/>
      </c>
      <c r="V1450" s="77">
        <f>ABS(U1450)</f>
        <v/>
      </c>
      <c r="W1450" s="78">
        <f>T1450/L1450</f>
        <v/>
      </c>
      <c r="X1450" s="79">
        <f>ABS(W1450)</f>
        <v/>
      </c>
    </row>
    <row r="1451" ht="11.4" customHeight="1">
      <c r="A1451" s="67" t="inlineStr">
        <is>
          <t>9056</t>
        </is>
      </c>
      <c r="B1451" s="67" t="inlineStr">
        <is>
          <t>1054</t>
        </is>
      </c>
      <c r="C1451" s="67" t="inlineStr">
        <is>
          <t>1611</t>
        </is>
      </c>
      <c r="D1451" s="68" t="inlineStr">
        <is>
          <t>02</t>
        </is>
      </c>
      <c r="E1451" s="68" t="inlineStr">
        <is>
          <t>MDS</t>
        </is>
      </c>
      <c r="F1451" s="68" t="inlineStr">
        <is>
          <t>MDS</t>
        </is>
      </c>
      <c r="G1451" s="68" t="inlineStr">
        <is>
          <t>MDS装饰</t>
        </is>
      </c>
      <c r="H1451" s="68" t="inlineStr">
        <is>
          <t>MDS装饰</t>
        </is>
      </c>
      <c r="I1451" s="69" t="inlineStr">
        <is>
          <t>1000021677</t>
        </is>
      </c>
      <c r="J1451" s="82" t="inlineStr">
        <is>
          <t>灰色砖踢脚（冠军，含阴阳角）</t>
        </is>
      </c>
      <c r="K1451" s="70" t="n"/>
      <c r="L1451" s="70" t="n"/>
      <c r="M1451" s="71" t="inlineStr">
        <is>
          <t>米</t>
        </is>
      </c>
      <c r="N1451" s="72" t="n">
        <v>101.27</v>
      </c>
      <c r="O1451" s="72">
        <f>ROUND(N1451*(1+$F$10),2)</f>
        <v/>
      </c>
      <c r="P1451" s="73">
        <f>ROUND(K1451*N1451,2)</f>
        <v/>
      </c>
      <c r="Q1451" s="74">
        <f>ROUND(L1451*N1451,2)</f>
        <v/>
      </c>
      <c r="R1451" s="75" t="n"/>
      <c r="S1451" s="76" t="n"/>
      <c r="T1451" s="77">
        <f>K1451-L1451</f>
        <v/>
      </c>
      <c r="U1451" s="77">
        <f>P1451-Q1451</f>
        <v/>
      </c>
      <c r="V1451" s="77">
        <f>ABS(U1451)</f>
        <v/>
      </c>
      <c r="W1451" s="78">
        <f>T1451/L1451</f>
        <v/>
      </c>
      <c r="X1451" s="79">
        <f>ABS(W1451)</f>
        <v/>
      </c>
    </row>
    <row r="1452" ht="11.4" customHeight="1">
      <c r="A1452" s="67" t="inlineStr">
        <is>
          <t>9057</t>
        </is>
      </c>
      <c r="B1452" s="67" t="inlineStr">
        <is>
          <t>1055</t>
        </is>
      </c>
      <c r="C1452" s="67" t="inlineStr">
        <is>
          <t>1611</t>
        </is>
      </c>
      <c r="D1452" s="68" t="inlineStr">
        <is>
          <t>02</t>
        </is>
      </c>
      <c r="E1452" s="68" t="inlineStr">
        <is>
          <t>MDS</t>
        </is>
      </c>
      <c r="F1452" s="68" t="inlineStr">
        <is>
          <t>MDS</t>
        </is>
      </c>
      <c r="G1452" s="68" t="inlineStr">
        <is>
          <t>MDS装饰</t>
        </is>
      </c>
      <c r="H1452" s="68" t="inlineStr">
        <is>
          <t>MDS装饰</t>
        </is>
      </c>
      <c r="I1452" s="69" t="inlineStr">
        <is>
          <t>1000021639</t>
        </is>
      </c>
      <c r="J1452" s="69" t="inlineStr">
        <is>
          <t>MDS墙面砖（琛雄）</t>
        </is>
      </c>
      <c r="K1452" s="70" t="n"/>
      <c r="L1452" s="70" t="n"/>
      <c r="M1452" s="71" t="inlineStr">
        <is>
          <t>m2</t>
        </is>
      </c>
      <c r="N1452" s="72" t="n">
        <v>167.98</v>
      </c>
      <c r="O1452" s="72">
        <f>ROUND(N1452*(1+$F$10),2)</f>
        <v/>
      </c>
      <c r="P1452" s="73">
        <f>ROUND(K1452*N1452,2)</f>
        <v/>
      </c>
      <c r="Q1452" s="74">
        <f>ROUND(L1452*N1452,2)</f>
        <v/>
      </c>
      <c r="R1452" s="75" t="n"/>
      <c r="S1452" s="76" t="n"/>
      <c r="T1452" s="77">
        <f>K1452-L1452</f>
        <v/>
      </c>
      <c r="U1452" s="77">
        <f>P1452-Q1452</f>
        <v/>
      </c>
      <c r="V1452" s="77">
        <f>ABS(U1452)</f>
        <v/>
      </c>
      <c r="W1452" s="78">
        <f>T1452/L1452</f>
        <v/>
      </c>
      <c r="X1452" s="79">
        <f>ABS(W1452)</f>
        <v/>
      </c>
    </row>
    <row r="1453" ht="11.4" customHeight="1">
      <c r="A1453" s="67" t="inlineStr">
        <is>
          <t>9057</t>
        </is>
      </c>
      <c r="B1453" s="67" t="inlineStr">
        <is>
          <t>1055</t>
        </is>
      </c>
      <c r="C1453" s="67" t="inlineStr">
        <is>
          <t>1611</t>
        </is>
      </c>
      <c r="D1453" s="68" t="inlineStr">
        <is>
          <t>02</t>
        </is>
      </c>
      <c r="E1453" s="68" t="inlineStr">
        <is>
          <t>MDS</t>
        </is>
      </c>
      <c r="F1453" s="68" t="inlineStr">
        <is>
          <t>MDS</t>
        </is>
      </c>
      <c r="G1453" s="68" t="inlineStr">
        <is>
          <t>MDS装饰</t>
        </is>
      </c>
      <c r="H1453" s="68" t="inlineStr">
        <is>
          <t>MDS装饰</t>
        </is>
      </c>
      <c r="I1453" s="69" t="inlineStr">
        <is>
          <t>1000021661</t>
        </is>
      </c>
      <c r="J1453" s="69" t="inlineStr">
        <is>
          <t>MDS墙面砖（共荣）</t>
        </is>
      </c>
      <c r="K1453" s="70" t="n"/>
      <c r="L1453" s="70" t="n"/>
      <c r="M1453" s="71" t="inlineStr">
        <is>
          <t>m2</t>
        </is>
      </c>
      <c r="N1453" s="72" t="n">
        <v>147.41</v>
      </c>
      <c r="O1453" s="72">
        <f>ROUND(N1453*(1+$F$10),2)</f>
        <v/>
      </c>
      <c r="P1453" s="73">
        <f>ROUND(K1453*N1453,2)</f>
        <v/>
      </c>
      <c r="Q1453" s="74">
        <f>ROUND(L1453*N1453,2)</f>
        <v/>
      </c>
      <c r="R1453" s="75" t="n"/>
      <c r="S1453" s="76" t="n"/>
      <c r="T1453" s="77">
        <f>K1453-L1453</f>
        <v/>
      </c>
      <c r="U1453" s="77">
        <f>P1453-Q1453</f>
        <v/>
      </c>
      <c r="V1453" s="77">
        <f>ABS(U1453)</f>
        <v/>
      </c>
      <c r="W1453" s="78">
        <f>T1453/L1453</f>
        <v/>
      </c>
      <c r="X1453" s="79">
        <f>ABS(W1453)</f>
        <v/>
      </c>
    </row>
    <row r="1454" ht="11.4" customHeight="1">
      <c r="A1454" s="67" t="inlineStr">
        <is>
          <t>9057</t>
        </is>
      </c>
      <c r="B1454" s="67" t="inlineStr">
        <is>
          <t>1055</t>
        </is>
      </c>
      <c r="C1454" s="67" t="inlineStr">
        <is>
          <t>1611</t>
        </is>
      </c>
      <c r="D1454" s="68" t="inlineStr">
        <is>
          <t>02</t>
        </is>
      </c>
      <c r="E1454" s="68" t="inlineStr">
        <is>
          <t>MDS</t>
        </is>
      </c>
      <c r="F1454" s="68" t="inlineStr">
        <is>
          <t>MDS</t>
        </is>
      </c>
      <c r="G1454" s="68" t="inlineStr">
        <is>
          <t>MDS装饰</t>
        </is>
      </c>
      <c r="H1454" s="68" t="inlineStr">
        <is>
          <t>MDS装饰</t>
        </is>
      </c>
      <c r="I1454" s="69" t="inlineStr">
        <is>
          <t>1000021640</t>
        </is>
      </c>
      <c r="J1454" s="69" t="inlineStr">
        <is>
          <t>MDS墙面砖（冠军）</t>
        </is>
      </c>
      <c r="K1454" s="70" t="n"/>
      <c r="L1454" s="70" t="n"/>
      <c r="M1454" s="71" t="inlineStr">
        <is>
          <t>m2</t>
        </is>
      </c>
      <c r="N1454" s="72" t="n">
        <v>169.19</v>
      </c>
      <c r="O1454" s="72">
        <f>ROUND(N1454*(1+$F$10),2)</f>
        <v/>
      </c>
      <c r="P1454" s="73">
        <f>ROUND(K1454*N1454,2)</f>
        <v/>
      </c>
      <c r="Q1454" s="74">
        <f>ROUND(L1454*N1454,2)</f>
        <v/>
      </c>
      <c r="R1454" s="75" t="n"/>
      <c r="S1454" s="76" t="n"/>
      <c r="T1454" s="77">
        <f>K1454-L1454</f>
        <v/>
      </c>
      <c r="U1454" s="77">
        <f>P1454-Q1454</f>
        <v/>
      </c>
      <c r="V1454" s="77">
        <f>ABS(U1454)</f>
        <v/>
      </c>
      <c r="W1454" s="78">
        <f>T1454/L1454</f>
        <v/>
      </c>
      <c r="X1454" s="79">
        <f>ABS(W1454)</f>
        <v/>
      </c>
    </row>
    <row r="1455" ht="11.4" customHeight="1">
      <c r="A1455" s="67" t="inlineStr">
        <is>
          <t>9057</t>
        </is>
      </c>
      <c r="B1455" s="67" t="inlineStr">
        <is>
          <t>1055</t>
        </is>
      </c>
      <c r="C1455" s="67" t="inlineStr">
        <is>
          <t>1611</t>
        </is>
      </c>
      <c r="D1455" s="68" t="inlineStr">
        <is>
          <t>02</t>
        </is>
      </c>
      <c r="E1455" s="68" t="inlineStr">
        <is>
          <t>MDS</t>
        </is>
      </c>
      <c r="F1455" s="68" t="inlineStr">
        <is>
          <t>MDS</t>
        </is>
      </c>
      <c r="G1455" s="68" t="inlineStr">
        <is>
          <t>MDS装饰</t>
        </is>
      </c>
      <c r="H1455" s="68" t="inlineStr">
        <is>
          <t>MDS装饰</t>
        </is>
      </c>
      <c r="I1455" s="69" t="inlineStr">
        <is>
          <t>1000021706</t>
        </is>
      </c>
      <c r="J1455" s="69" t="inlineStr">
        <is>
          <t>MDS黑色瓷质釉砖（琛雄，Ray)</t>
        </is>
      </c>
      <c r="K1455" s="70" t="n"/>
      <c r="L1455" s="70" t="n"/>
      <c r="M1455" s="71" t="inlineStr">
        <is>
          <t>m2</t>
        </is>
      </c>
      <c r="N1455" s="72" t="n">
        <v>182.5</v>
      </c>
      <c r="O1455" s="72">
        <f>ROUND(N1455*(1+$F$10),2)</f>
        <v/>
      </c>
      <c r="P1455" s="73">
        <f>ROUND(K1455*N1455,2)</f>
        <v/>
      </c>
      <c r="Q1455" s="74">
        <f>ROUND(L1455*N1455,2)</f>
        <v/>
      </c>
      <c r="R1455" s="75" t="n"/>
      <c r="S1455" s="76" t="n"/>
      <c r="T1455" s="77">
        <f>K1455-L1455</f>
        <v/>
      </c>
      <c r="U1455" s="77">
        <f>P1455-Q1455</f>
        <v/>
      </c>
      <c r="V1455" s="77">
        <f>ABS(U1455)</f>
        <v/>
      </c>
      <c r="W1455" s="78">
        <f>T1455/L1455</f>
        <v/>
      </c>
      <c r="X1455" s="79">
        <f>ABS(W1455)</f>
        <v/>
      </c>
    </row>
    <row r="1456" ht="11.4" customHeight="1">
      <c r="A1456" s="67" t="inlineStr">
        <is>
          <t>9057</t>
        </is>
      </c>
      <c r="B1456" s="67" t="inlineStr">
        <is>
          <t>1055</t>
        </is>
      </c>
      <c r="C1456" s="67" t="inlineStr">
        <is>
          <t>1611</t>
        </is>
      </c>
      <c r="D1456" s="68" t="inlineStr">
        <is>
          <t>02</t>
        </is>
      </c>
      <c r="E1456" s="68" t="inlineStr">
        <is>
          <t>MDS</t>
        </is>
      </c>
      <c r="F1456" s="68" t="inlineStr">
        <is>
          <t>MDS</t>
        </is>
      </c>
      <c r="G1456" s="68" t="inlineStr">
        <is>
          <t>MDS装饰</t>
        </is>
      </c>
      <c r="H1456" s="68" t="inlineStr">
        <is>
          <t>MDS装饰</t>
        </is>
      </c>
      <c r="I1456" s="69" t="inlineStr">
        <is>
          <t>1000021707</t>
        </is>
      </c>
      <c r="J1456" s="69" t="inlineStr">
        <is>
          <t>MDS黑色瓷质釉砖（冠军，Ray)</t>
        </is>
      </c>
      <c r="K1456" s="70" t="n"/>
      <c r="L1456" s="70" t="n"/>
      <c r="M1456" s="71" t="inlineStr">
        <is>
          <t>m2</t>
        </is>
      </c>
      <c r="N1456" s="72" t="n">
        <v>182.5</v>
      </c>
      <c r="O1456" s="72">
        <f>ROUND(N1456*(1+$F$10),2)</f>
        <v/>
      </c>
      <c r="P1456" s="73">
        <f>ROUND(K1456*N1456,2)</f>
        <v/>
      </c>
      <c r="Q1456" s="74">
        <f>ROUND(L1456*N1456,2)</f>
        <v/>
      </c>
      <c r="R1456" s="75" t="n"/>
      <c r="S1456" s="76" t="n"/>
      <c r="T1456" s="77">
        <f>K1456-L1456</f>
        <v/>
      </c>
      <c r="U1456" s="77">
        <f>P1456-Q1456</f>
        <v/>
      </c>
      <c r="V1456" s="77">
        <f>ABS(U1456)</f>
        <v/>
      </c>
      <c r="W1456" s="78">
        <f>T1456/L1456</f>
        <v/>
      </c>
      <c r="X1456" s="79">
        <f>ABS(W1456)</f>
        <v/>
      </c>
    </row>
    <row r="1457" ht="11.4" customHeight="1">
      <c r="A1457" s="67" t="inlineStr">
        <is>
          <t>9057</t>
        </is>
      </c>
      <c r="B1457" s="67" t="inlineStr">
        <is>
          <t>1055</t>
        </is>
      </c>
      <c r="C1457" s="67" t="inlineStr">
        <is>
          <t>1611</t>
        </is>
      </c>
      <c r="D1457" s="68" t="inlineStr">
        <is>
          <t>02</t>
        </is>
      </c>
      <c r="E1457" s="68" t="inlineStr">
        <is>
          <t>MDS</t>
        </is>
      </c>
      <c r="F1457" s="68" t="inlineStr">
        <is>
          <t>MDS</t>
        </is>
      </c>
      <c r="G1457" s="68" t="inlineStr">
        <is>
          <t>MDS装饰</t>
        </is>
      </c>
      <c r="H1457" s="68" t="inlineStr">
        <is>
          <t>MDS装饰</t>
        </is>
      </c>
      <c r="I1457" s="69" t="inlineStr">
        <is>
          <t>1000021708</t>
        </is>
      </c>
      <c r="J1457" s="69" t="inlineStr">
        <is>
          <t>MDS黑色瓷质釉砖（共荣，Ray)</t>
        </is>
      </c>
      <c r="K1457" s="70" t="n"/>
      <c r="L1457" s="70" t="n"/>
      <c r="M1457" s="71" t="inlineStr">
        <is>
          <t>m2</t>
        </is>
      </c>
      <c r="N1457" s="72" t="n">
        <v>170.4</v>
      </c>
      <c r="O1457" s="72">
        <f>ROUND(N1457*(1+$F$10),2)</f>
        <v/>
      </c>
      <c r="P1457" s="73">
        <f>ROUND(K1457*N1457,2)</f>
        <v/>
      </c>
      <c r="Q1457" s="74">
        <f>ROUND(L1457*N1457,2)</f>
        <v/>
      </c>
      <c r="R1457" s="75" t="n"/>
      <c r="S1457" s="76" t="n"/>
      <c r="T1457" s="77">
        <f>K1457-L1457</f>
        <v/>
      </c>
      <c r="U1457" s="77">
        <f>P1457-Q1457</f>
        <v/>
      </c>
      <c r="V1457" s="77">
        <f>ABS(U1457)</f>
        <v/>
      </c>
      <c r="W1457" s="78">
        <f>T1457/L1457</f>
        <v/>
      </c>
      <c r="X1457" s="79">
        <f>ABS(W1457)</f>
        <v/>
      </c>
    </row>
    <row r="1458" ht="11.4" customHeight="1">
      <c r="A1458" s="67" t="inlineStr">
        <is>
          <t>9057</t>
        </is>
      </c>
      <c r="B1458" s="67" t="inlineStr">
        <is>
          <t>1055</t>
        </is>
      </c>
      <c r="C1458" s="67" t="inlineStr">
        <is>
          <t>1611</t>
        </is>
      </c>
      <c r="D1458" s="68" t="inlineStr">
        <is>
          <t>02</t>
        </is>
      </c>
      <c r="E1458" s="68" t="inlineStr">
        <is>
          <t>MDS</t>
        </is>
      </c>
      <c r="F1458" s="68" t="inlineStr">
        <is>
          <t>MDS</t>
        </is>
      </c>
      <c r="G1458" s="68" t="inlineStr">
        <is>
          <t>MDS装饰</t>
        </is>
      </c>
      <c r="H1458" s="68" t="inlineStr">
        <is>
          <t>MDS装饰</t>
        </is>
      </c>
      <c r="I1458" s="69" t="inlineStr">
        <is>
          <t>1000021481</t>
        </is>
      </c>
      <c r="J1458" s="69" t="inlineStr">
        <is>
          <t>100*300mm黑色哑光面砖（琛雄）</t>
        </is>
      </c>
      <c r="K1458" s="70" t="n"/>
      <c r="L1458" s="70" t="n"/>
      <c r="M1458" s="71" t="inlineStr">
        <is>
          <t>m2</t>
        </is>
      </c>
      <c r="N1458" s="72" t="n">
        <v>179.53</v>
      </c>
      <c r="O1458" s="72">
        <f>ROUND(N1458*(1+$F$10),2)</f>
        <v/>
      </c>
      <c r="P1458" s="73">
        <f>ROUND(K1458*N1458,2)</f>
        <v/>
      </c>
      <c r="Q1458" s="74">
        <f>ROUND(L1458*N1458,2)</f>
        <v/>
      </c>
      <c r="R1458" s="75" t="n"/>
      <c r="S1458" s="76" t="n"/>
      <c r="T1458" s="77">
        <f>K1458-L1458</f>
        <v/>
      </c>
      <c r="U1458" s="77">
        <f>P1458-Q1458</f>
        <v/>
      </c>
      <c r="V1458" s="77">
        <f>ABS(U1458)</f>
        <v/>
      </c>
      <c r="W1458" s="78">
        <f>T1458/L1458</f>
        <v/>
      </c>
      <c r="X1458" s="79">
        <f>ABS(W1458)</f>
        <v/>
      </c>
    </row>
    <row r="1459" ht="11.4" customHeight="1">
      <c r="A1459" s="67" t="inlineStr">
        <is>
          <t>9057</t>
        </is>
      </c>
      <c r="B1459" s="67" t="inlineStr">
        <is>
          <t>1055</t>
        </is>
      </c>
      <c r="C1459" s="67" t="inlineStr">
        <is>
          <t>1611</t>
        </is>
      </c>
      <c r="D1459" s="68" t="inlineStr">
        <is>
          <t>02</t>
        </is>
      </c>
      <c r="E1459" s="68" t="inlineStr">
        <is>
          <t>MDS</t>
        </is>
      </c>
      <c r="F1459" s="68" t="inlineStr">
        <is>
          <t>MDS</t>
        </is>
      </c>
      <c r="G1459" s="68" t="inlineStr">
        <is>
          <t>MDS装饰</t>
        </is>
      </c>
      <c r="H1459" s="68" t="inlineStr">
        <is>
          <t>MDS装饰</t>
        </is>
      </c>
      <c r="I1459" s="69" t="inlineStr">
        <is>
          <t>1000021698</t>
        </is>
      </c>
      <c r="J1459" s="69" t="inlineStr">
        <is>
          <t>100*300mm黑色哑光面砖（冠军）</t>
        </is>
      </c>
      <c r="K1459" s="70" t="n"/>
      <c r="L1459" s="70" t="n"/>
      <c r="M1459" s="71" t="inlineStr">
        <is>
          <t>m2</t>
        </is>
      </c>
      <c r="N1459" s="72" t="n">
        <v>179.53</v>
      </c>
      <c r="O1459" s="72">
        <f>ROUND(N1459*(1+$F$10),2)</f>
        <v/>
      </c>
      <c r="P1459" s="73">
        <f>ROUND(K1459*N1459,2)</f>
        <v/>
      </c>
      <c r="Q1459" s="74">
        <f>ROUND(L1459*N1459,2)</f>
        <v/>
      </c>
      <c r="R1459" s="75" t="n"/>
      <c r="S1459" s="76" t="n"/>
      <c r="T1459" s="77">
        <f>K1459-L1459</f>
        <v/>
      </c>
      <c r="U1459" s="77">
        <f>P1459-Q1459</f>
        <v/>
      </c>
      <c r="V1459" s="77">
        <f>ABS(U1459)</f>
        <v/>
      </c>
      <c r="W1459" s="78">
        <f>T1459/L1459</f>
        <v/>
      </c>
      <c r="X1459" s="79">
        <f>ABS(W1459)</f>
        <v/>
      </c>
    </row>
    <row r="1460" ht="11.4" customHeight="1">
      <c r="A1460" s="67" t="inlineStr">
        <is>
          <t>9057</t>
        </is>
      </c>
      <c r="B1460" s="67" t="inlineStr">
        <is>
          <t>1055</t>
        </is>
      </c>
      <c r="C1460" s="67" t="inlineStr">
        <is>
          <t>1611</t>
        </is>
      </c>
      <c r="D1460" s="68" t="inlineStr">
        <is>
          <t>02</t>
        </is>
      </c>
      <c r="E1460" s="68" t="inlineStr">
        <is>
          <t>MDS</t>
        </is>
      </c>
      <c r="F1460" s="68" t="inlineStr">
        <is>
          <t>MDS</t>
        </is>
      </c>
      <c r="G1460" s="68" t="inlineStr">
        <is>
          <t>MDS装饰</t>
        </is>
      </c>
      <c r="H1460" s="68" t="inlineStr">
        <is>
          <t>MDS装饰</t>
        </is>
      </c>
      <c r="I1460" s="69" t="inlineStr">
        <is>
          <t>1000021672</t>
        </is>
      </c>
      <c r="J1460" s="69" t="inlineStr">
        <is>
          <t>100*300mm黑色哑光面砖（共荣）</t>
        </is>
      </c>
      <c r="K1460" s="70" t="n"/>
      <c r="L1460" s="70" t="n"/>
      <c r="M1460" s="71" t="inlineStr">
        <is>
          <t>m2</t>
        </is>
      </c>
      <c r="N1460" s="72" t="n">
        <v>168.64</v>
      </c>
      <c r="O1460" s="72">
        <f>ROUND(N1460*(1+$F$10),2)</f>
        <v/>
      </c>
      <c r="P1460" s="73">
        <f>ROUND(K1460*N1460,2)</f>
        <v/>
      </c>
      <c r="Q1460" s="74">
        <f>ROUND(L1460*N1460,2)</f>
        <v/>
      </c>
      <c r="R1460" s="75" t="n"/>
      <c r="S1460" s="76" t="n"/>
      <c r="T1460" s="77">
        <f>K1460-L1460</f>
        <v/>
      </c>
      <c r="U1460" s="77">
        <f>P1460-Q1460</f>
        <v/>
      </c>
      <c r="V1460" s="77">
        <f>ABS(U1460)</f>
        <v/>
      </c>
      <c r="W1460" s="78">
        <f>T1460/L1460</f>
        <v/>
      </c>
      <c r="X1460" s="79">
        <f>ABS(W1460)</f>
        <v/>
      </c>
    </row>
    <row r="1461" ht="11.4" customHeight="1">
      <c r="A1461" s="67" t="inlineStr">
        <is>
          <t>9057</t>
        </is>
      </c>
      <c r="B1461" s="67" t="inlineStr">
        <is>
          <t>1055</t>
        </is>
      </c>
      <c r="C1461" s="67" t="inlineStr">
        <is>
          <t>1611</t>
        </is>
      </c>
      <c r="D1461" s="68" t="inlineStr">
        <is>
          <t>02</t>
        </is>
      </c>
      <c r="E1461" s="68" t="inlineStr">
        <is>
          <t>MDS</t>
        </is>
      </c>
      <c r="F1461" s="68" t="inlineStr">
        <is>
          <t>MDS</t>
        </is>
      </c>
      <c r="G1461" s="68" t="inlineStr">
        <is>
          <t>MDS装饰</t>
        </is>
      </c>
      <c r="H1461" s="68" t="inlineStr">
        <is>
          <t>MDS装饰</t>
        </is>
      </c>
      <c r="I1461" s="69" t="inlineStr">
        <is>
          <t>1000041811</t>
        </is>
      </c>
      <c r="J1461" s="69" t="inlineStr">
        <is>
          <t>100*300mm深灰色哑光面砖（琛雄，Geometry）</t>
        </is>
      </c>
      <c r="K1461" s="70" t="n"/>
      <c r="L1461" s="70" t="n"/>
      <c r="M1461" s="71" t="inlineStr">
        <is>
          <t>m2</t>
        </is>
      </c>
      <c r="N1461" s="72" t="n">
        <v>169.85</v>
      </c>
      <c r="O1461" s="72">
        <f>ROUND(N1461*(1+$F$10),2)</f>
        <v/>
      </c>
      <c r="P1461" s="73">
        <f>ROUND(K1461*N1461,2)</f>
        <v/>
      </c>
      <c r="Q1461" s="74">
        <f>ROUND(L1461*N1461,2)</f>
        <v/>
      </c>
      <c r="R1461" s="75" t="n"/>
      <c r="S1461" s="76" t="n"/>
      <c r="T1461" s="77">
        <f>K1461-L1461</f>
        <v/>
      </c>
      <c r="U1461" s="77">
        <f>P1461-Q1461</f>
        <v/>
      </c>
      <c r="V1461" s="77">
        <f>ABS(U1461)</f>
        <v/>
      </c>
      <c r="W1461" s="78">
        <f>T1461/L1461</f>
        <v/>
      </c>
      <c r="X1461" s="79">
        <f>ABS(W1461)</f>
        <v/>
      </c>
    </row>
    <row r="1462" ht="11.4" customHeight="1">
      <c r="A1462" s="67" t="inlineStr">
        <is>
          <t>9057</t>
        </is>
      </c>
      <c r="B1462" s="67" t="inlineStr">
        <is>
          <t>1055</t>
        </is>
      </c>
      <c r="C1462" s="67" t="inlineStr">
        <is>
          <t>1611</t>
        </is>
      </c>
      <c r="D1462" s="68" t="inlineStr">
        <is>
          <t>02</t>
        </is>
      </c>
      <c r="E1462" s="68" t="inlineStr">
        <is>
          <t>MDS</t>
        </is>
      </c>
      <c r="F1462" s="68" t="inlineStr">
        <is>
          <t>MDS</t>
        </is>
      </c>
      <c r="G1462" s="68" t="inlineStr">
        <is>
          <t>MDS装饰</t>
        </is>
      </c>
      <c r="H1462" s="68" t="inlineStr">
        <is>
          <t>MDS装饰</t>
        </is>
      </c>
      <c r="I1462" s="69" t="inlineStr">
        <is>
          <t>1000041817</t>
        </is>
      </c>
      <c r="J1462" s="69" t="inlineStr">
        <is>
          <t>100*300mm深灰色哑光面砖（共荣，Geometry）</t>
        </is>
      </c>
      <c r="K1462" s="70" t="n"/>
      <c r="L1462" s="70" t="n"/>
      <c r="M1462" s="71" t="inlineStr">
        <is>
          <t>m2</t>
        </is>
      </c>
      <c r="N1462" s="72" t="n">
        <v>165.01</v>
      </c>
      <c r="O1462" s="72">
        <f>ROUND(N1462*(1+$F$10),2)</f>
        <v/>
      </c>
      <c r="P1462" s="73">
        <f>ROUND(K1462*N1462,2)</f>
        <v/>
      </c>
      <c r="Q1462" s="74">
        <f>ROUND(L1462*N1462,2)</f>
        <v/>
      </c>
      <c r="R1462" s="75" t="n"/>
      <c r="S1462" s="76" t="n"/>
      <c r="T1462" s="77">
        <f>K1462-L1462</f>
        <v/>
      </c>
      <c r="U1462" s="77">
        <f>P1462-Q1462</f>
        <v/>
      </c>
      <c r="V1462" s="77">
        <f>ABS(U1462)</f>
        <v/>
      </c>
      <c r="W1462" s="78">
        <f>T1462/L1462</f>
        <v/>
      </c>
      <c r="X1462" s="79">
        <f>ABS(W1462)</f>
        <v/>
      </c>
    </row>
    <row r="1463" ht="11.4" customHeight="1">
      <c r="A1463" s="67" t="inlineStr">
        <is>
          <t>9057</t>
        </is>
      </c>
      <c r="B1463" s="67" t="inlineStr">
        <is>
          <t>1055</t>
        </is>
      </c>
      <c r="C1463" s="67" t="inlineStr">
        <is>
          <t>1611</t>
        </is>
      </c>
      <c r="D1463" s="68" t="inlineStr">
        <is>
          <t>02</t>
        </is>
      </c>
      <c r="E1463" s="68" t="inlineStr">
        <is>
          <t>MDS</t>
        </is>
      </c>
      <c r="F1463" s="68" t="inlineStr">
        <is>
          <t>MDS</t>
        </is>
      </c>
      <c r="G1463" s="68" t="inlineStr">
        <is>
          <t>MDS装饰</t>
        </is>
      </c>
      <c r="H1463" s="68" t="inlineStr">
        <is>
          <t>MDS装饰</t>
        </is>
      </c>
      <c r="I1463" s="69" t="inlineStr">
        <is>
          <t>1000041823</t>
        </is>
      </c>
      <c r="J1463" s="69" t="inlineStr">
        <is>
          <t>100*300mm深灰色哑光面砖（冠军，Geometry）</t>
        </is>
      </c>
      <c r="K1463" s="83" t="n">
        <v>15.46</v>
      </c>
      <c r="L1463" s="70" t="n"/>
      <c r="M1463" s="71" t="inlineStr">
        <is>
          <t>m2</t>
        </is>
      </c>
      <c r="N1463" s="72" t="n">
        <v>169.85</v>
      </c>
      <c r="O1463" s="72">
        <f>ROUND(N1463*(1+$F$10),2)</f>
        <v/>
      </c>
      <c r="P1463" s="73">
        <f>ROUND(K1463*N1463,2)</f>
        <v/>
      </c>
      <c r="Q1463" s="74">
        <f>ROUND(L1463*N1463,2)</f>
        <v/>
      </c>
      <c r="R1463" s="75" t="n"/>
      <c r="S1463" s="76" t="n"/>
      <c r="T1463" s="77">
        <f>K1463-L1463</f>
        <v/>
      </c>
      <c r="U1463" s="77">
        <f>P1463-Q1463</f>
        <v/>
      </c>
      <c r="V1463" s="77">
        <f>ABS(U1463)</f>
        <v/>
      </c>
      <c r="W1463" s="78">
        <f>T1463/L1463</f>
        <v/>
      </c>
      <c r="X1463" s="79">
        <f>ABS(W1463)</f>
        <v/>
      </c>
    </row>
    <row r="1464" ht="11.4" customHeight="1">
      <c r="A1464" s="67" t="inlineStr">
        <is>
          <t>9057</t>
        </is>
      </c>
      <c r="B1464" s="67" t="inlineStr">
        <is>
          <t>1055</t>
        </is>
      </c>
      <c r="C1464" s="67" t="inlineStr">
        <is>
          <t>1611</t>
        </is>
      </c>
      <c r="D1464" s="68" t="inlineStr">
        <is>
          <t>02</t>
        </is>
      </c>
      <c r="E1464" s="68" t="inlineStr">
        <is>
          <t>MDS</t>
        </is>
      </c>
      <c r="F1464" s="68" t="inlineStr">
        <is>
          <t>MDS</t>
        </is>
      </c>
      <c r="G1464" s="68" t="inlineStr">
        <is>
          <t>MDS装饰</t>
        </is>
      </c>
      <c r="H1464" s="68" t="inlineStr">
        <is>
          <t>MDS装饰</t>
        </is>
      </c>
      <c r="I1464" s="69" t="inlineStr">
        <is>
          <t>1000021684</t>
        </is>
      </c>
      <c r="J1464" s="69" t="inlineStr">
        <is>
          <t>墙面灰色砖50*50mm（琛雄）</t>
        </is>
      </c>
      <c r="K1464" s="70" t="n"/>
      <c r="L1464" s="70" t="n"/>
      <c r="M1464" s="71" t="inlineStr">
        <is>
          <t>m2</t>
        </is>
      </c>
      <c r="N1464" s="72" t="n">
        <v>224.5</v>
      </c>
      <c r="O1464" s="72">
        <f>ROUND(N1464*(1+$F$10),2)</f>
        <v/>
      </c>
      <c r="P1464" s="73">
        <f>ROUND(K1464*N1464,2)</f>
        <v/>
      </c>
      <c r="Q1464" s="74">
        <f>ROUND(L1464*N1464,2)</f>
        <v/>
      </c>
      <c r="R1464" s="75" t="n"/>
      <c r="S1464" s="76" t="n"/>
      <c r="T1464" s="77">
        <f>K1464-L1464</f>
        <v/>
      </c>
      <c r="U1464" s="77">
        <f>P1464-Q1464</f>
        <v/>
      </c>
      <c r="V1464" s="77">
        <f>ABS(U1464)</f>
        <v/>
      </c>
      <c r="W1464" s="78">
        <f>T1464/L1464</f>
        <v/>
      </c>
      <c r="X1464" s="79">
        <f>ABS(W1464)</f>
        <v/>
      </c>
    </row>
    <row r="1465" ht="11.4" customHeight="1">
      <c r="A1465" s="67" t="inlineStr">
        <is>
          <t>9057</t>
        </is>
      </c>
      <c r="B1465" s="67" t="inlineStr">
        <is>
          <t>1055</t>
        </is>
      </c>
      <c r="C1465" s="67" t="inlineStr">
        <is>
          <t>1611</t>
        </is>
      </c>
      <c r="D1465" s="68" t="inlineStr">
        <is>
          <t>02</t>
        </is>
      </c>
      <c r="E1465" s="68" t="inlineStr">
        <is>
          <t>MDS</t>
        </is>
      </c>
      <c r="F1465" s="68" t="inlineStr">
        <is>
          <t>MDS</t>
        </is>
      </c>
      <c r="G1465" s="68" t="inlineStr">
        <is>
          <t>MDS装饰</t>
        </is>
      </c>
      <c r="H1465" s="68" t="inlineStr">
        <is>
          <t>MDS装饰</t>
        </is>
      </c>
      <c r="I1465" s="69" t="inlineStr">
        <is>
          <t>1000021473</t>
        </is>
      </c>
      <c r="J1465" s="69" t="inlineStr">
        <is>
          <t>墙面灰色砖50*50mm（共荣）</t>
        </is>
      </c>
      <c r="K1465" s="70" t="n"/>
      <c r="L1465" s="70" t="n"/>
      <c r="M1465" s="71" t="inlineStr">
        <is>
          <t>m2</t>
        </is>
      </c>
      <c r="N1465" s="72" t="n">
        <v>195.76</v>
      </c>
      <c r="O1465" s="72">
        <f>ROUND(N1465*(1+$F$10),2)</f>
        <v/>
      </c>
      <c r="P1465" s="73">
        <f>ROUND(K1465*N1465,2)</f>
        <v/>
      </c>
      <c r="Q1465" s="74">
        <f>ROUND(L1465*N1465,2)</f>
        <v/>
      </c>
      <c r="R1465" s="75" t="n"/>
      <c r="S1465" s="76" t="n"/>
      <c r="T1465" s="77">
        <f>K1465-L1465</f>
        <v/>
      </c>
      <c r="U1465" s="77">
        <f>P1465-Q1465</f>
        <v/>
      </c>
      <c r="V1465" s="77">
        <f>ABS(U1465)</f>
        <v/>
      </c>
      <c r="W1465" s="78">
        <f>T1465/L1465</f>
        <v/>
      </c>
      <c r="X1465" s="79">
        <f>ABS(W1465)</f>
        <v/>
      </c>
    </row>
    <row r="1466" ht="11.4" customHeight="1">
      <c r="A1466" s="67" t="inlineStr">
        <is>
          <t>9057</t>
        </is>
      </c>
      <c r="B1466" s="67" t="inlineStr">
        <is>
          <t>1055</t>
        </is>
      </c>
      <c r="C1466" s="67" t="inlineStr">
        <is>
          <t>1611</t>
        </is>
      </c>
      <c r="D1466" s="68" t="inlineStr">
        <is>
          <t>02</t>
        </is>
      </c>
      <c r="E1466" s="68" t="inlineStr">
        <is>
          <t>MDS</t>
        </is>
      </c>
      <c r="F1466" s="68" t="inlineStr">
        <is>
          <t>MDS</t>
        </is>
      </c>
      <c r="G1466" s="68" t="inlineStr">
        <is>
          <t>MDS装饰</t>
        </is>
      </c>
      <c r="H1466" s="68" t="inlineStr">
        <is>
          <t>MDS装饰</t>
        </is>
      </c>
      <c r="I1466" s="69" t="inlineStr">
        <is>
          <t>1000021687</t>
        </is>
      </c>
      <c r="J1466" s="69" t="inlineStr">
        <is>
          <t>墙面灰色砖50*50mm（冠军）</t>
        </is>
      </c>
      <c r="K1466" s="70" t="n"/>
      <c r="L1466" s="70" t="n"/>
      <c r="M1466" s="71" t="inlineStr">
        <is>
          <t>m2</t>
        </is>
      </c>
      <c r="N1466" s="72" t="n">
        <v>224.5</v>
      </c>
      <c r="O1466" s="72">
        <f>ROUND(N1466*(1+$F$10),2)</f>
        <v/>
      </c>
      <c r="P1466" s="73">
        <f>ROUND(K1466*N1466,2)</f>
        <v/>
      </c>
      <c r="Q1466" s="74">
        <f>ROUND(L1466*N1466,2)</f>
        <v/>
      </c>
      <c r="R1466" s="75" t="n"/>
      <c r="S1466" s="76" t="n"/>
      <c r="T1466" s="77">
        <f>K1466-L1466</f>
        <v/>
      </c>
      <c r="U1466" s="77">
        <f>P1466-Q1466</f>
        <v/>
      </c>
      <c r="V1466" s="77">
        <f>ABS(U1466)</f>
        <v/>
      </c>
      <c r="W1466" s="78">
        <f>T1466/L1466</f>
        <v/>
      </c>
      <c r="X1466" s="79">
        <f>ABS(W1466)</f>
        <v/>
      </c>
    </row>
    <row r="1467" ht="11.4" customHeight="1">
      <c r="A1467" s="67" t="inlineStr">
        <is>
          <t>9057</t>
        </is>
      </c>
      <c r="B1467" s="67" t="inlineStr">
        <is>
          <t>1055</t>
        </is>
      </c>
      <c r="C1467" s="67" t="inlineStr">
        <is>
          <t>1611</t>
        </is>
      </c>
      <c r="D1467" s="68" t="inlineStr">
        <is>
          <t>02</t>
        </is>
      </c>
      <c r="E1467" s="68" t="inlineStr">
        <is>
          <t>MDS</t>
        </is>
      </c>
      <c r="F1467" s="68" t="inlineStr">
        <is>
          <t>MDS</t>
        </is>
      </c>
      <c r="G1467" s="68" t="inlineStr">
        <is>
          <t>MDS装饰</t>
        </is>
      </c>
      <c r="H1467" s="68" t="inlineStr">
        <is>
          <t>MDS装饰</t>
        </is>
      </c>
      <c r="I1467" s="69" t="inlineStr">
        <is>
          <t>1000021773</t>
        </is>
      </c>
      <c r="J1467" s="69" t="inlineStr">
        <is>
          <t>墙面基层（木工板或硅酸钙板）</t>
        </is>
      </c>
      <c r="K1467" s="70" t="n"/>
      <c r="L1467" s="70" t="n"/>
      <c r="M1467" s="71" t="inlineStr">
        <is>
          <t>m2</t>
        </is>
      </c>
      <c r="N1467" s="72" t="n">
        <v>114.06</v>
      </c>
      <c r="O1467" s="72">
        <f>ROUND(N1467*(1+$F$10),2)</f>
        <v/>
      </c>
      <c r="P1467" s="73">
        <f>ROUND(K1467*N1467,2)</f>
        <v/>
      </c>
      <c r="Q1467" s="74">
        <f>ROUND(L1467*N1467,2)</f>
        <v/>
      </c>
      <c r="R1467" s="75" t="n"/>
      <c r="S1467" s="76" t="n"/>
      <c r="T1467" s="77">
        <f>K1467-L1467</f>
        <v/>
      </c>
      <c r="U1467" s="77">
        <f>P1467-Q1467</f>
        <v/>
      </c>
      <c r="V1467" s="77">
        <f>ABS(U1467)</f>
        <v/>
      </c>
      <c r="W1467" s="78">
        <f>T1467/L1467</f>
        <v/>
      </c>
      <c r="X1467" s="79">
        <f>ABS(W1467)</f>
        <v/>
      </c>
    </row>
    <row r="1468" ht="11.4" customHeight="1">
      <c r="A1468" s="67" t="inlineStr">
        <is>
          <t>9057</t>
        </is>
      </c>
      <c r="B1468" s="67" t="inlineStr">
        <is>
          <t>1055</t>
        </is>
      </c>
      <c r="C1468" s="67" t="inlineStr">
        <is>
          <t>1611</t>
        </is>
      </c>
      <c r="D1468" s="68" t="inlineStr">
        <is>
          <t>02</t>
        </is>
      </c>
      <c r="E1468" s="68" t="inlineStr">
        <is>
          <t>MDS</t>
        </is>
      </c>
      <c r="F1468" s="68" t="inlineStr">
        <is>
          <t>MDS</t>
        </is>
      </c>
      <c r="G1468" s="68" t="inlineStr">
        <is>
          <t>MDS装饰</t>
        </is>
      </c>
      <c r="H1468" s="68" t="inlineStr">
        <is>
          <t>MDS装饰</t>
        </is>
      </c>
      <c r="I1468" s="69" t="inlineStr">
        <is>
          <t>1000021465</t>
        </is>
      </c>
      <c r="J1468" s="69" t="inlineStr">
        <is>
          <t>墙面 /富美家木纹色防火板（不含基层）</t>
        </is>
      </c>
      <c r="K1468" s="70" t="n"/>
      <c r="L1468" s="70" t="n"/>
      <c r="M1468" s="71" t="inlineStr">
        <is>
          <t>m2</t>
        </is>
      </c>
      <c r="N1468" s="72" t="n">
        <v>197.83</v>
      </c>
      <c r="O1468" s="72">
        <f>ROUND(N1468*(1+$F$10),2)</f>
        <v/>
      </c>
      <c r="P1468" s="73">
        <f>ROUND(K1468*N1468,2)</f>
        <v/>
      </c>
      <c r="Q1468" s="74">
        <f>ROUND(L1468*N1468,2)</f>
        <v/>
      </c>
      <c r="R1468" s="75" t="n"/>
      <c r="S1468" s="76" t="n"/>
      <c r="T1468" s="77">
        <f>K1468-L1468</f>
        <v/>
      </c>
      <c r="U1468" s="77">
        <f>P1468-Q1468</f>
        <v/>
      </c>
      <c r="V1468" s="77">
        <f>ABS(U1468)</f>
        <v/>
      </c>
      <c r="W1468" s="78">
        <f>T1468/L1468</f>
        <v/>
      </c>
      <c r="X1468" s="79">
        <f>ABS(W1468)</f>
        <v/>
      </c>
    </row>
    <row r="1469" ht="11.4" customHeight="1">
      <c r="A1469" s="67" t="inlineStr">
        <is>
          <t>9057</t>
        </is>
      </c>
      <c r="B1469" s="67" t="inlineStr">
        <is>
          <t>1055</t>
        </is>
      </c>
      <c r="C1469" s="67" t="inlineStr">
        <is>
          <t>1611</t>
        </is>
      </c>
      <c r="D1469" s="68" t="inlineStr">
        <is>
          <t>02</t>
        </is>
      </c>
      <c r="E1469" s="68" t="inlineStr">
        <is>
          <t>MDS</t>
        </is>
      </c>
      <c r="F1469" s="68" t="inlineStr">
        <is>
          <t>MDS</t>
        </is>
      </c>
      <c r="G1469" s="68" t="inlineStr">
        <is>
          <t>MDS装饰</t>
        </is>
      </c>
      <c r="H1469" s="68" t="inlineStr">
        <is>
          <t>MDS装饰</t>
        </is>
      </c>
      <c r="I1469" s="69" t="inlineStr">
        <is>
          <t>1000040124</t>
        </is>
      </c>
      <c r="J1469" s="69" t="inlineStr">
        <is>
          <t>墙面 /富美家深灰色防火板（不含基层）</t>
        </is>
      </c>
      <c r="K1469" s="70" t="n"/>
      <c r="L1469" s="70" t="n"/>
      <c r="M1469" s="71" t="inlineStr">
        <is>
          <t>m2</t>
        </is>
      </c>
      <c r="N1469" s="72" t="n">
        <v>182.9</v>
      </c>
      <c r="O1469" s="72">
        <f>ROUND(N1469*(1+$F$10),2)</f>
        <v/>
      </c>
      <c r="P1469" s="73">
        <f>ROUND(K1469*N1469,2)</f>
        <v/>
      </c>
      <c r="Q1469" s="74">
        <f>ROUND(L1469*N1469,2)</f>
        <v/>
      </c>
      <c r="R1469" s="75" t="n"/>
      <c r="S1469" s="76" t="n"/>
      <c r="T1469" s="77">
        <f>K1469-L1469</f>
        <v/>
      </c>
      <c r="U1469" s="77">
        <f>P1469-Q1469</f>
        <v/>
      </c>
      <c r="V1469" s="77">
        <f>ABS(U1469)</f>
        <v/>
      </c>
      <c r="W1469" s="78">
        <f>T1469/L1469</f>
        <v/>
      </c>
      <c r="X1469" s="79">
        <f>ABS(W1469)</f>
        <v/>
      </c>
    </row>
    <row r="1470" ht="11.4" customHeight="1">
      <c r="A1470" s="67" t="inlineStr">
        <is>
          <t>9057</t>
        </is>
      </c>
      <c r="B1470" s="67" t="inlineStr">
        <is>
          <t>1055</t>
        </is>
      </c>
      <c r="C1470" s="67" t="inlineStr">
        <is>
          <t>1611</t>
        </is>
      </c>
      <c r="D1470" s="68" t="inlineStr">
        <is>
          <t>02</t>
        </is>
      </c>
      <c r="E1470" s="68" t="inlineStr">
        <is>
          <t>MDS</t>
        </is>
      </c>
      <c r="F1470" s="68" t="inlineStr">
        <is>
          <t>MDS</t>
        </is>
      </c>
      <c r="G1470" s="68" t="inlineStr">
        <is>
          <t>MDS装饰</t>
        </is>
      </c>
      <c r="H1470" s="68" t="inlineStr">
        <is>
          <t>MDS装饰</t>
        </is>
      </c>
      <c r="I1470" s="69" t="inlineStr">
        <is>
          <t>1000021625</t>
        </is>
      </c>
      <c r="J1470" s="69" t="inlineStr">
        <is>
          <t>墙面 /威盛亚木纹色防火板（不含基层）</t>
        </is>
      </c>
      <c r="K1470" s="70" t="n"/>
      <c r="L1470" s="70" t="n"/>
      <c r="M1470" s="71" t="inlineStr">
        <is>
          <t>m2</t>
        </is>
      </c>
      <c r="N1470" s="72" t="n">
        <v>186.66</v>
      </c>
      <c r="O1470" s="72">
        <f>ROUND(N1470*(1+$F$10),2)</f>
        <v/>
      </c>
      <c r="P1470" s="73">
        <f>ROUND(K1470*N1470,2)</f>
        <v/>
      </c>
      <c r="Q1470" s="74">
        <f>ROUND(L1470*N1470,2)</f>
        <v/>
      </c>
      <c r="R1470" s="75" t="n"/>
      <c r="S1470" s="76" t="n"/>
      <c r="T1470" s="77">
        <f>K1470-L1470</f>
        <v/>
      </c>
      <c r="U1470" s="77">
        <f>P1470-Q1470</f>
        <v/>
      </c>
      <c r="V1470" s="77">
        <f>ABS(U1470)</f>
        <v/>
      </c>
      <c r="W1470" s="78">
        <f>T1470/L1470</f>
        <v/>
      </c>
      <c r="X1470" s="79">
        <f>ABS(W1470)</f>
        <v/>
      </c>
    </row>
    <row r="1471" ht="11.4" customHeight="1">
      <c r="A1471" s="67" t="inlineStr">
        <is>
          <t>9057</t>
        </is>
      </c>
      <c r="B1471" s="67" t="inlineStr">
        <is>
          <t>1055</t>
        </is>
      </c>
      <c r="C1471" s="67" t="inlineStr">
        <is>
          <t>1611</t>
        </is>
      </c>
      <c r="D1471" s="68" t="inlineStr">
        <is>
          <t>02</t>
        </is>
      </c>
      <c r="E1471" s="68" t="inlineStr">
        <is>
          <t>MDS</t>
        </is>
      </c>
      <c r="F1471" s="68" t="inlineStr">
        <is>
          <t>MDS</t>
        </is>
      </c>
      <c r="G1471" s="68" t="inlineStr">
        <is>
          <t>MDS装饰</t>
        </is>
      </c>
      <c r="H1471" s="68" t="inlineStr">
        <is>
          <t>MDS装饰</t>
        </is>
      </c>
      <c r="I1471" s="69" t="inlineStr">
        <is>
          <t>1000021624</t>
        </is>
      </c>
      <c r="J1471" s="69" t="inlineStr">
        <is>
          <t>墙面 /威盛亚深灰色防火板（不含基层）</t>
        </is>
      </c>
      <c r="K1471" s="70" t="n"/>
      <c r="L1471" s="70" t="n"/>
      <c r="M1471" s="71" t="inlineStr">
        <is>
          <t>m2</t>
        </is>
      </c>
      <c r="N1471" s="72" t="n">
        <v>174.35</v>
      </c>
      <c r="O1471" s="72">
        <f>ROUND(N1471*(1+$F$10),2)</f>
        <v/>
      </c>
      <c r="P1471" s="73">
        <f>ROUND(K1471*N1471,2)</f>
        <v/>
      </c>
      <c r="Q1471" s="74">
        <f>ROUND(L1471*N1471,2)</f>
        <v/>
      </c>
      <c r="R1471" s="75" t="n"/>
      <c r="S1471" s="76" t="n"/>
      <c r="T1471" s="77">
        <f>K1471-L1471</f>
        <v/>
      </c>
      <c r="U1471" s="77">
        <f>P1471-Q1471</f>
        <v/>
      </c>
      <c r="V1471" s="77">
        <f>ABS(U1471)</f>
        <v/>
      </c>
      <c r="W1471" s="78">
        <f>T1471/L1471</f>
        <v/>
      </c>
      <c r="X1471" s="79">
        <f>ABS(W1471)</f>
        <v/>
      </c>
    </row>
    <row r="1472" ht="11.4" customHeight="1">
      <c r="A1472" s="67" t="inlineStr">
        <is>
          <t>9057</t>
        </is>
      </c>
      <c r="B1472" s="67" t="inlineStr">
        <is>
          <t>1055</t>
        </is>
      </c>
      <c r="C1472" s="67" t="inlineStr">
        <is>
          <t>1611</t>
        </is>
      </c>
      <c r="D1472" s="68" t="inlineStr">
        <is>
          <t>02</t>
        </is>
      </c>
      <c r="E1472" s="68" t="inlineStr">
        <is>
          <t>MDS</t>
        </is>
      </c>
      <c r="F1472" s="68" t="inlineStr">
        <is>
          <t>MDS</t>
        </is>
      </c>
      <c r="G1472" s="68" t="inlineStr">
        <is>
          <t>MDS装饰</t>
        </is>
      </c>
      <c r="H1472" s="68" t="inlineStr">
        <is>
          <t>MDS装饰</t>
        </is>
      </c>
      <c r="I1472" s="69" t="inlineStr">
        <is>
          <t>1000021713</t>
        </is>
      </c>
      <c r="J1472" s="69" t="inlineStr">
        <is>
          <t>墙面多彩板（琛雄，仿涂料效果，B1级）</t>
        </is>
      </c>
      <c r="K1472" s="70" t="n"/>
      <c r="L1472" s="70" t="n"/>
      <c r="M1472" s="71" t="inlineStr">
        <is>
          <t>m2</t>
        </is>
      </c>
      <c r="N1472" s="72" t="n">
        <v>266.78</v>
      </c>
      <c r="O1472" s="72">
        <f>ROUND(N1472*(1+$F$10),2)</f>
        <v/>
      </c>
      <c r="P1472" s="73">
        <f>ROUND(K1472*N1472,2)</f>
        <v/>
      </c>
      <c r="Q1472" s="74">
        <f>ROUND(L1472*N1472,2)</f>
        <v/>
      </c>
      <c r="R1472" s="75" t="n"/>
      <c r="S1472" s="76" t="n"/>
      <c r="T1472" s="77">
        <f>K1472-L1472</f>
        <v/>
      </c>
      <c r="U1472" s="77">
        <f>P1472-Q1472</f>
        <v/>
      </c>
      <c r="V1472" s="77">
        <f>ABS(U1472)</f>
        <v/>
      </c>
      <c r="W1472" s="78">
        <f>T1472/L1472</f>
        <v/>
      </c>
      <c r="X1472" s="79">
        <f>ABS(W1472)</f>
        <v/>
      </c>
    </row>
    <row r="1473" ht="11.4" customHeight="1">
      <c r="A1473" s="67" t="inlineStr">
        <is>
          <t>9057</t>
        </is>
      </c>
      <c r="B1473" s="67" t="inlineStr">
        <is>
          <t>1055</t>
        </is>
      </c>
      <c r="C1473" s="67" t="inlineStr">
        <is>
          <t>1611</t>
        </is>
      </c>
      <c r="D1473" s="68" t="inlineStr">
        <is>
          <t>02</t>
        </is>
      </c>
      <c r="E1473" s="68" t="inlineStr">
        <is>
          <t>MDS</t>
        </is>
      </c>
      <c r="F1473" s="68" t="inlineStr">
        <is>
          <t>MDS</t>
        </is>
      </c>
      <c r="G1473" s="68" t="inlineStr">
        <is>
          <t>MDS装饰</t>
        </is>
      </c>
      <c r="H1473" s="68" t="inlineStr">
        <is>
          <t>MDS装饰</t>
        </is>
      </c>
      <c r="I1473" s="69" t="inlineStr">
        <is>
          <t>1000021714</t>
        </is>
      </c>
      <c r="J1473" s="69" t="inlineStr">
        <is>
          <t>墙面多彩板（琛雄，仿木纹效果，含收边条，B1级）</t>
        </is>
      </c>
      <c r="K1473" s="70" t="n"/>
      <c r="L1473" s="70" t="n"/>
      <c r="M1473" s="71" t="inlineStr">
        <is>
          <t>m2</t>
        </is>
      </c>
      <c r="N1473" s="72" t="n">
        <v>288.72</v>
      </c>
      <c r="O1473" s="72">
        <f>ROUND(N1473*(1+$F$10),2)</f>
        <v/>
      </c>
      <c r="P1473" s="73">
        <f>ROUND(K1473*N1473,2)</f>
        <v/>
      </c>
      <c r="Q1473" s="74">
        <f>ROUND(L1473*N1473,2)</f>
        <v/>
      </c>
      <c r="R1473" s="75" t="n"/>
      <c r="S1473" s="76" t="n"/>
      <c r="T1473" s="77">
        <f>K1473-L1473</f>
        <v/>
      </c>
      <c r="U1473" s="77">
        <f>P1473-Q1473</f>
        <v/>
      </c>
      <c r="V1473" s="77">
        <f>ABS(U1473)</f>
        <v/>
      </c>
      <c r="W1473" s="78">
        <f>T1473/L1473</f>
        <v/>
      </c>
      <c r="X1473" s="79">
        <f>ABS(W1473)</f>
        <v/>
      </c>
    </row>
    <row r="1474" ht="11.4" customHeight="1">
      <c r="A1474" s="67" t="inlineStr">
        <is>
          <t>9068</t>
        </is>
      </c>
      <c r="B1474" s="67" t="inlineStr">
        <is>
          <t>1066</t>
        </is>
      </c>
      <c r="C1474" s="67" t="inlineStr">
        <is>
          <t>1612</t>
        </is>
      </c>
      <c r="D1474" s="68" t="inlineStr">
        <is>
          <t>02</t>
        </is>
      </c>
      <c r="E1474" s="68" t="inlineStr">
        <is>
          <t>MDS</t>
        </is>
      </c>
      <c r="F1474" s="68" t="inlineStr">
        <is>
          <t>MDS</t>
        </is>
      </c>
      <c r="G1474" s="68" t="inlineStr">
        <is>
          <t>MDS电气</t>
        </is>
      </c>
      <c r="H1474" s="68" t="inlineStr">
        <is>
          <t>MDS电气</t>
        </is>
      </c>
      <c r="I1474" s="69" t="inlineStr">
        <is>
          <t>1000022155</t>
        </is>
      </c>
      <c r="J1474" s="69" t="inlineStr">
        <is>
          <t>MDS 三眼单相插座回路</t>
        </is>
      </c>
      <c r="K1474" s="70" t="n">
        <v>2</v>
      </c>
      <c r="L1474" s="70" t="n">
        <v>2</v>
      </c>
      <c r="M1474" s="71" t="inlineStr">
        <is>
          <t>组</t>
        </is>
      </c>
      <c r="N1474" s="72" t="n">
        <v>486.16</v>
      </c>
      <c r="O1474" s="72">
        <f>ROUND(N1474*(1+$F$10),2)</f>
        <v/>
      </c>
      <c r="P1474" s="73">
        <f>ROUND(K1474*N1474,2)</f>
        <v/>
      </c>
      <c r="Q1474" s="74">
        <f>ROUND(L1474*N1474,2)</f>
        <v/>
      </c>
      <c r="R1474" s="75" t="n"/>
      <c r="S1474" s="76" t="n"/>
      <c r="T1474" s="77">
        <f>K1474-L1474</f>
        <v/>
      </c>
      <c r="U1474" s="77">
        <f>P1474-Q1474</f>
        <v/>
      </c>
      <c r="V1474" s="77">
        <f>ABS(U1474)</f>
        <v/>
      </c>
      <c r="W1474" s="78">
        <f>T1474/L1474</f>
        <v/>
      </c>
      <c r="X1474" s="79">
        <f>ABS(W1474)</f>
        <v/>
      </c>
    </row>
    <row r="1475" ht="11.4" customHeight="1">
      <c r="A1475" s="67" t="inlineStr">
        <is>
          <t>9068</t>
        </is>
      </c>
      <c r="B1475" s="67" t="inlineStr">
        <is>
          <t>1066</t>
        </is>
      </c>
      <c r="C1475" s="67" t="inlineStr">
        <is>
          <t>1612</t>
        </is>
      </c>
      <c r="D1475" s="68" t="inlineStr">
        <is>
          <t>02</t>
        </is>
      </c>
      <c r="E1475" s="68" t="inlineStr">
        <is>
          <t>MDS</t>
        </is>
      </c>
      <c r="F1475" s="68" t="inlineStr">
        <is>
          <t>MDS</t>
        </is>
      </c>
      <c r="G1475" s="68" t="inlineStr">
        <is>
          <t>MDS电气</t>
        </is>
      </c>
      <c r="H1475" s="68" t="inlineStr">
        <is>
          <t>MDS电气</t>
        </is>
      </c>
      <c r="I1475" s="69" t="inlineStr">
        <is>
          <t>1000022156</t>
        </is>
      </c>
      <c r="J1475" s="69" t="inlineStr">
        <is>
          <t>MDS 10A 三眼单相插座</t>
        </is>
      </c>
      <c r="K1475" s="70" t="n">
        <v>4</v>
      </c>
      <c r="L1475" s="70" t="n">
        <v>4</v>
      </c>
      <c r="M1475" s="71" t="inlineStr">
        <is>
          <t>个</t>
        </is>
      </c>
      <c r="N1475" s="72" t="n">
        <v>105.21</v>
      </c>
      <c r="O1475" s="72">
        <f>ROUND(N1475*(1+$F$10),2)</f>
        <v/>
      </c>
      <c r="P1475" s="73">
        <f>ROUND(K1475*N1475,2)</f>
        <v/>
      </c>
      <c r="Q1475" s="74">
        <f>ROUND(L1475*N1475,2)</f>
        <v/>
      </c>
      <c r="R1475" s="75" t="n"/>
      <c r="S1475" s="76" t="n"/>
      <c r="T1475" s="77">
        <f>K1475-L1475</f>
        <v/>
      </c>
      <c r="U1475" s="77">
        <f>P1475-Q1475</f>
        <v/>
      </c>
      <c r="V1475" s="77">
        <f>ABS(U1475)</f>
        <v/>
      </c>
      <c r="W1475" s="78">
        <f>T1475/L1475</f>
        <v/>
      </c>
      <c r="X1475" s="79">
        <f>ABS(W1475)</f>
        <v/>
      </c>
    </row>
    <row r="1476" ht="11.4" customHeight="1">
      <c r="A1476" s="67" t="inlineStr">
        <is>
          <t>9068</t>
        </is>
      </c>
      <c r="B1476" s="67" t="inlineStr">
        <is>
          <t>1066</t>
        </is>
      </c>
      <c r="C1476" s="67" t="inlineStr">
        <is>
          <t>1612</t>
        </is>
      </c>
      <c r="D1476" s="68" t="inlineStr">
        <is>
          <t>02</t>
        </is>
      </c>
      <c r="E1476" s="68" t="inlineStr">
        <is>
          <t>MDS</t>
        </is>
      </c>
      <c r="F1476" s="68" t="inlineStr">
        <is>
          <t>MDS</t>
        </is>
      </c>
      <c r="G1476" s="68" t="inlineStr">
        <is>
          <t>MDS电气</t>
        </is>
      </c>
      <c r="H1476" s="68" t="inlineStr">
        <is>
          <t>MDS电气</t>
        </is>
      </c>
      <c r="I1476" s="69" t="inlineStr">
        <is>
          <t>1000022157</t>
        </is>
      </c>
      <c r="J1476" s="69" t="inlineStr">
        <is>
          <t>MDS网络布线</t>
        </is>
      </c>
      <c r="K1476" s="70" t="n">
        <v>1</v>
      </c>
      <c r="L1476" s="70" t="n">
        <v>1</v>
      </c>
      <c r="M1476" s="71" t="inlineStr">
        <is>
          <t>项</t>
        </is>
      </c>
      <c r="N1476" s="72" t="n">
        <v>872.0599999999999</v>
      </c>
      <c r="O1476" s="72">
        <f>ROUND(N1476*(1+$F$10),2)</f>
        <v/>
      </c>
      <c r="P1476" s="73">
        <f>ROUND(K1476*N1476,2)</f>
        <v/>
      </c>
      <c r="Q1476" s="74">
        <f>ROUND(L1476*N1476,2)</f>
        <v/>
      </c>
      <c r="R1476" s="75" t="n"/>
      <c r="S1476" s="76" t="n"/>
      <c r="T1476" s="77">
        <f>K1476-L1476</f>
        <v/>
      </c>
      <c r="U1476" s="77">
        <f>P1476-Q1476</f>
        <v/>
      </c>
      <c r="V1476" s="77">
        <f>ABS(U1476)</f>
        <v/>
      </c>
      <c r="W1476" s="78">
        <f>T1476/L1476</f>
        <v/>
      </c>
      <c r="X1476" s="79">
        <f>ABS(W1476)</f>
        <v/>
      </c>
    </row>
    <row r="1477" ht="11.4" customHeight="1">
      <c r="A1477" s="67" t="inlineStr">
        <is>
          <t>9068</t>
        </is>
      </c>
      <c r="B1477" s="67" t="inlineStr">
        <is>
          <t>1066</t>
        </is>
      </c>
      <c r="C1477" s="67" t="inlineStr">
        <is>
          <t>1612</t>
        </is>
      </c>
      <c r="D1477" s="68" t="inlineStr">
        <is>
          <t>02</t>
        </is>
      </c>
      <c r="E1477" s="68" t="inlineStr">
        <is>
          <t>MDS</t>
        </is>
      </c>
      <c r="F1477" s="68" t="inlineStr">
        <is>
          <t>MDS</t>
        </is>
      </c>
      <c r="G1477" s="68" t="inlineStr">
        <is>
          <t>MDS电气</t>
        </is>
      </c>
      <c r="H1477" s="68" t="inlineStr">
        <is>
          <t>MDS电气</t>
        </is>
      </c>
      <c r="I1477" s="69" t="inlineStr">
        <is>
          <t>1000040095</t>
        </is>
      </c>
      <c r="J1477" s="69" t="inlineStr">
        <is>
          <t>普通插座面板</t>
        </is>
      </c>
      <c r="K1477" s="70" t="n"/>
      <c r="L1477" s="70" t="n"/>
      <c r="M1477" s="71" t="inlineStr">
        <is>
          <t>个</t>
        </is>
      </c>
      <c r="N1477" s="72" t="n">
        <v>40.91</v>
      </c>
      <c r="O1477" s="72">
        <f>ROUND(N1477*(1+$F$10),2)</f>
        <v/>
      </c>
      <c r="P1477" s="73">
        <f>ROUND(K1477*N1477,2)</f>
        <v/>
      </c>
      <c r="Q1477" s="74">
        <f>ROUND(L1477*N1477,2)</f>
        <v/>
      </c>
      <c r="R1477" s="75" t="n"/>
      <c r="S1477" s="76" t="n"/>
      <c r="T1477" s="77">
        <f>K1477-L1477</f>
        <v/>
      </c>
      <c r="U1477" s="77">
        <f>P1477-Q1477</f>
        <v/>
      </c>
      <c r="V1477" s="77">
        <f>ABS(U1477)</f>
        <v/>
      </c>
      <c r="W1477" s="78">
        <f>T1477/L1477</f>
        <v/>
      </c>
      <c r="X1477" s="79">
        <f>ABS(W1477)</f>
        <v/>
      </c>
    </row>
    <row r="1478" ht="11.4" customHeight="1">
      <c r="A1478" s="67" t="inlineStr">
        <is>
          <t>大甜33</t>
        </is>
      </c>
      <c r="B1478" s="67" t="inlineStr">
        <is>
          <t>1031</t>
        </is>
      </c>
      <c r="C1478" s="67" t="inlineStr">
        <is>
          <t>1314</t>
        </is>
      </c>
      <c r="D1478" s="68" t="inlineStr">
        <is>
          <t>03</t>
        </is>
      </c>
      <c r="E1478" s="68" t="inlineStr">
        <is>
          <t>3 许可证/公用事业费</t>
        </is>
      </c>
      <c r="F1478" s="68" t="inlineStr">
        <is>
          <t>3.1 供电费用</t>
        </is>
      </c>
      <c r="G1478" s="68" t="inlineStr">
        <is>
          <t>3.1.4 红线电缆接线费</t>
        </is>
      </c>
      <c r="H1478" s="68" t="inlineStr">
        <is>
          <t>3.1.4 红线电缆接线费</t>
        </is>
      </c>
      <c r="I1478" s="69" t="inlineStr">
        <is>
          <t>1000021726</t>
        </is>
      </c>
      <c r="J1478" s="69" t="inlineStr">
        <is>
          <t>红线电缆YJV 120双拼 或 YJV240单根 含桥架（按桥架长度计算）</t>
        </is>
      </c>
      <c r="K1478" s="70" t="n"/>
      <c r="L1478" s="70" t="n"/>
      <c r="M1478" s="71" t="inlineStr">
        <is>
          <t>米</t>
        </is>
      </c>
      <c r="N1478" s="72" t="n">
        <v>1000.44</v>
      </c>
      <c r="O1478" s="72">
        <f>ROUND(N1478*(1+$F$10),2)</f>
        <v/>
      </c>
      <c r="P1478" s="73">
        <f>ROUND(K1478*N1478,2)</f>
        <v/>
      </c>
      <c r="Q1478" s="74">
        <f>ROUND(L1478*N1478,2)</f>
        <v/>
      </c>
      <c r="R1478" s="75" t="n"/>
      <c r="S1478" s="76" t="n"/>
      <c r="T1478" s="77">
        <f>K1478-L1478</f>
        <v/>
      </c>
      <c r="U1478" s="77">
        <f>P1478-Q1478</f>
        <v/>
      </c>
      <c r="V1478" s="77">
        <f>ABS(U1478)</f>
        <v/>
      </c>
      <c r="W1478" s="78">
        <f>T1478/L1478</f>
        <v/>
      </c>
      <c r="X1478" s="79">
        <f>ABS(W1478)</f>
        <v/>
      </c>
    </row>
    <row r="1479" ht="11.4" customHeight="1">
      <c r="A1479" s="67" t="inlineStr">
        <is>
          <t>大甜33</t>
        </is>
      </c>
      <c r="B1479" s="67" t="inlineStr">
        <is>
          <t>1031</t>
        </is>
      </c>
      <c r="C1479" s="67" t="inlineStr">
        <is>
          <t>1314</t>
        </is>
      </c>
      <c r="D1479" s="68" t="inlineStr">
        <is>
          <t>03</t>
        </is>
      </c>
      <c r="E1479" s="68" t="inlineStr">
        <is>
          <t>3 许可证/公用事业费</t>
        </is>
      </c>
      <c r="F1479" s="68" t="inlineStr">
        <is>
          <t>3.1 供电费用</t>
        </is>
      </c>
      <c r="G1479" s="68" t="inlineStr">
        <is>
          <t>3.1.4 红线电缆接线费</t>
        </is>
      </c>
      <c r="H1479" s="68" t="inlineStr">
        <is>
          <t>3.1.4 红线电缆接线费</t>
        </is>
      </c>
      <c r="I1479" s="69" t="inlineStr">
        <is>
          <t>1000021725</t>
        </is>
      </c>
      <c r="J1479" s="69" t="inlineStr">
        <is>
          <t>红线电缆 YJV 95 双拼 或 YJV185单根 含桥架（按桥架长度计算）</t>
        </is>
      </c>
      <c r="K1479" s="70" t="n"/>
      <c r="L1479" s="70" t="n"/>
      <c r="M1479" s="71" t="inlineStr">
        <is>
          <t>米</t>
        </is>
      </c>
      <c r="N1479" s="72" t="n">
        <v>872.84</v>
      </c>
      <c r="O1479" s="72">
        <f>ROUND(N1479*(1+$F$10),2)</f>
        <v/>
      </c>
      <c r="P1479" s="73">
        <f>ROUND(K1479*N1479,2)</f>
        <v/>
      </c>
      <c r="Q1479" s="74">
        <f>ROUND(L1479*N1479,2)</f>
        <v/>
      </c>
      <c r="R1479" s="75" t="n"/>
      <c r="S1479" s="76" t="n"/>
      <c r="T1479" s="77">
        <f>K1479-L1479</f>
        <v/>
      </c>
      <c r="U1479" s="77">
        <f>P1479-Q1479</f>
        <v/>
      </c>
      <c r="V1479" s="77">
        <f>ABS(U1479)</f>
        <v/>
      </c>
      <c r="W1479" s="78">
        <f>T1479/L1479</f>
        <v/>
      </c>
      <c r="X1479" s="79">
        <f>ABS(W1479)</f>
        <v/>
      </c>
    </row>
    <row r="1480" ht="11.4" customHeight="1">
      <c r="A1480" s="67" t="inlineStr">
        <is>
          <t>大甜33</t>
        </is>
      </c>
      <c r="B1480" s="67" t="inlineStr">
        <is>
          <t>1031</t>
        </is>
      </c>
      <c r="C1480" s="67" t="inlineStr">
        <is>
          <t>1314</t>
        </is>
      </c>
      <c r="D1480" s="68" t="inlineStr">
        <is>
          <t>03</t>
        </is>
      </c>
      <c r="E1480" s="68" t="inlineStr">
        <is>
          <t>3 许可证/公用事业费</t>
        </is>
      </c>
      <c r="F1480" s="68" t="inlineStr">
        <is>
          <t>3.1 供电费用</t>
        </is>
      </c>
      <c r="G1480" s="68" t="inlineStr">
        <is>
          <t>3.1.4 红线电缆接线费</t>
        </is>
      </c>
      <c r="H1480" s="68" t="inlineStr">
        <is>
          <t>3.1.4 红线电缆接线费</t>
        </is>
      </c>
      <c r="I1480" s="69" t="inlineStr">
        <is>
          <t>1000021727</t>
        </is>
      </c>
      <c r="J1480" s="69" t="inlineStr">
        <is>
          <t>铠装红线电缆YJV 120双拼 或 YJV240单根 含桥架（按桥架长度计算）</t>
        </is>
      </c>
      <c r="K1480" s="70" t="n"/>
      <c r="L1480" s="70" t="n"/>
      <c r="M1480" s="71" t="inlineStr">
        <is>
          <t>米</t>
        </is>
      </c>
      <c r="N1480" s="72" t="n">
        <v>1000.44</v>
      </c>
      <c r="O1480" s="72">
        <f>ROUND(N1480*(1+$F$10),2)</f>
        <v/>
      </c>
      <c r="P1480" s="73">
        <f>ROUND(K1480*N1480,2)</f>
        <v/>
      </c>
      <c r="Q1480" s="74">
        <f>ROUND(L1480*N1480,2)</f>
        <v/>
      </c>
      <c r="R1480" s="75" t="n"/>
      <c r="S1480" s="76" t="n"/>
      <c r="T1480" s="77">
        <f>K1480-L1480</f>
        <v/>
      </c>
      <c r="U1480" s="77">
        <f>P1480-Q1480</f>
        <v/>
      </c>
      <c r="V1480" s="77">
        <f>ABS(U1480)</f>
        <v/>
      </c>
      <c r="W1480" s="78">
        <f>T1480/L1480</f>
        <v/>
      </c>
      <c r="X1480" s="79">
        <f>ABS(W1480)</f>
        <v/>
      </c>
    </row>
    <row r="1481" ht="11.4" customHeight="1">
      <c r="A1481" s="67" t="inlineStr">
        <is>
          <t>大甜33</t>
        </is>
      </c>
      <c r="B1481" s="67" t="inlineStr">
        <is>
          <t>1031</t>
        </is>
      </c>
      <c r="C1481" s="67" t="inlineStr">
        <is>
          <t>1314</t>
        </is>
      </c>
      <c r="D1481" s="68" t="inlineStr">
        <is>
          <t>03</t>
        </is>
      </c>
      <c r="E1481" s="68" t="inlineStr">
        <is>
          <t>3 许可证/公用事业费</t>
        </is>
      </c>
      <c r="F1481" s="68" t="inlineStr">
        <is>
          <t>3.1 供电费用</t>
        </is>
      </c>
      <c r="G1481" s="68" t="inlineStr">
        <is>
          <t>3.1.4 红线电缆接线费</t>
        </is>
      </c>
      <c r="H1481" s="68" t="inlineStr">
        <is>
          <t>3.1.4 红线电缆接线费</t>
        </is>
      </c>
      <c r="I1481" s="69" t="inlineStr">
        <is>
          <t>1000021728</t>
        </is>
      </c>
      <c r="J1481" s="69" t="inlineStr">
        <is>
          <t>铠装红线电缆 YJV 95 双拼 或 YJV185单根 含桥架（按桥架长度计算）</t>
        </is>
      </c>
      <c r="K1481" s="70" t="n"/>
      <c r="L1481" s="70" t="n"/>
      <c r="M1481" s="71" t="inlineStr">
        <is>
          <t>米</t>
        </is>
      </c>
      <c r="N1481" s="72" t="n">
        <v>872.84</v>
      </c>
      <c r="O1481" s="72">
        <f>ROUND(N1481*(1+$F$10),2)</f>
        <v/>
      </c>
      <c r="P1481" s="73">
        <f>ROUND(K1481*N1481,2)</f>
        <v/>
      </c>
      <c r="Q1481" s="74">
        <f>ROUND(L1481*N1481,2)</f>
        <v/>
      </c>
      <c r="R1481" s="75" t="n"/>
      <c r="S1481" s="76" t="n"/>
      <c r="T1481" s="77">
        <f>K1481-L1481</f>
        <v/>
      </c>
      <c r="U1481" s="77">
        <f>P1481-Q1481</f>
        <v/>
      </c>
      <c r="V1481" s="77">
        <f>ABS(U1481)</f>
        <v/>
      </c>
      <c r="W1481" s="78">
        <f>T1481/L1481</f>
        <v/>
      </c>
      <c r="X1481" s="79">
        <f>ABS(W1481)</f>
        <v/>
      </c>
    </row>
    <row r="1482" ht="11.4" customHeight="1">
      <c r="A1482" s="67" t="inlineStr">
        <is>
          <t>大甜33</t>
        </is>
      </c>
      <c r="B1482" s="67" t="inlineStr">
        <is>
          <t>1031</t>
        </is>
      </c>
      <c r="C1482" s="67" t="inlineStr">
        <is>
          <t>1314</t>
        </is>
      </c>
      <c r="D1482" s="68" t="inlineStr">
        <is>
          <t>03</t>
        </is>
      </c>
      <c r="E1482" s="68" t="inlineStr">
        <is>
          <t>3 许可证/公用事业费</t>
        </is>
      </c>
      <c r="F1482" s="68" t="inlineStr">
        <is>
          <t>3.1 供电费用</t>
        </is>
      </c>
      <c r="G1482" s="68" t="inlineStr">
        <is>
          <t>3.1.4 红线电缆接线费</t>
        </is>
      </c>
      <c r="H1482" s="68" t="inlineStr">
        <is>
          <t>3.1.4 红线电缆接线费</t>
        </is>
      </c>
      <c r="I1482" s="69" t="inlineStr">
        <is>
          <t>1000040026</t>
        </is>
      </c>
      <c r="J1482" s="69" t="inlineStr">
        <is>
          <t>室外电缆沟（含井）开挖及回填</t>
        </is>
      </c>
      <c r="K1482" s="70" t="n"/>
      <c r="L1482" s="70" t="n"/>
      <c r="M1482" s="71" t="inlineStr">
        <is>
          <t>米</t>
        </is>
      </c>
      <c r="N1482" s="72" t="n">
        <v>135.14</v>
      </c>
      <c r="O1482" s="72">
        <f>ROUND(N1482*(1+$F$10),2)</f>
        <v/>
      </c>
      <c r="P1482" s="73">
        <f>ROUND(K1482*N1482,2)</f>
        <v/>
      </c>
      <c r="Q1482" s="74">
        <f>ROUND(L1482*N1482,2)</f>
        <v/>
      </c>
      <c r="R1482" s="75" t="n"/>
      <c r="S1482" s="76" t="n"/>
      <c r="T1482" s="77">
        <f>K1482-L1482</f>
        <v/>
      </c>
      <c r="U1482" s="77">
        <f>P1482-Q1482</f>
        <v/>
      </c>
      <c r="V1482" s="77">
        <f>ABS(U1482)</f>
        <v/>
      </c>
      <c r="W1482" s="78">
        <f>T1482/L1482</f>
        <v/>
      </c>
      <c r="X1482" s="79">
        <f>ABS(W1482)</f>
        <v/>
      </c>
    </row>
    <row r="1483" ht="11.4" customHeight="1">
      <c r="A1483" s="67" t="inlineStr">
        <is>
          <t>大甜34</t>
        </is>
      </c>
      <c r="B1483" s="67" t="inlineStr">
        <is>
          <t>1032</t>
        </is>
      </c>
      <c r="C1483" s="67" t="inlineStr">
        <is>
          <t>1320</t>
        </is>
      </c>
      <c r="D1483" s="68" t="inlineStr">
        <is>
          <t>03</t>
        </is>
      </c>
      <c r="E1483" s="68" t="inlineStr">
        <is>
          <t>3 许可证/公用事业费</t>
        </is>
      </c>
      <c r="F1483" s="68" t="inlineStr">
        <is>
          <t>3.2 给、排水接驳费</t>
        </is>
      </c>
      <c r="G1483" s="68" t="inlineStr">
        <is>
          <t>给、排水接驳费</t>
        </is>
      </c>
      <c r="H1483" s="68" t="inlineStr">
        <is>
          <t>给、排水接驳费</t>
        </is>
      </c>
      <c r="I1483" s="69" t="inlineStr">
        <is>
          <t>1000021729</t>
        </is>
      </c>
      <c r="J1483" s="69" t="inlineStr">
        <is>
          <t>给水接驳费</t>
        </is>
      </c>
      <c r="K1483" s="70" t="n"/>
      <c r="L1483" s="70" t="n"/>
      <c r="M1483" s="71" t="inlineStr">
        <is>
          <t>米</t>
        </is>
      </c>
      <c r="N1483" s="72" t="n">
        <v>96.36</v>
      </c>
      <c r="O1483" s="72">
        <f>ROUND(N1483*(1+$F$10),2)</f>
        <v/>
      </c>
      <c r="P1483" s="73">
        <f>ROUND(K1483*N1483,2)</f>
        <v/>
      </c>
      <c r="Q1483" s="74">
        <f>ROUND(L1483*N1483,2)</f>
        <v/>
      </c>
      <c r="R1483" s="75" t="n"/>
      <c r="S1483" s="76" t="n"/>
      <c r="T1483" s="77">
        <f>K1483-L1483</f>
        <v/>
      </c>
      <c r="U1483" s="77">
        <f>P1483-Q1483</f>
        <v/>
      </c>
      <c r="V1483" s="77">
        <f>ABS(U1483)</f>
        <v/>
      </c>
      <c r="W1483" s="78">
        <f>T1483/L1483</f>
        <v/>
      </c>
      <c r="X1483" s="79">
        <f>ABS(W1483)</f>
        <v/>
      </c>
    </row>
    <row r="1484" ht="11.4" customHeight="1">
      <c r="A1484" s="67" t="inlineStr">
        <is>
          <t>大甜34</t>
        </is>
      </c>
      <c r="B1484" s="67" t="inlineStr">
        <is>
          <t>1032</t>
        </is>
      </c>
      <c r="C1484" s="67" t="inlineStr">
        <is>
          <t>1320</t>
        </is>
      </c>
      <c r="D1484" s="68" t="inlineStr">
        <is>
          <t>03</t>
        </is>
      </c>
      <c r="E1484" s="68" t="inlineStr">
        <is>
          <t>3 许可证/公用事业费</t>
        </is>
      </c>
      <c r="F1484" s="68" t="inlineStr">
        <is>
          <t>3.2 给、排水接驳费</t>
        </is>
      </c>
      <c r="G1484" s="68" t="inlineStr">
        <is>
          <t>给、排水接驳费</t>
        </is>
      </c>
      <c r="H1484" s="68" t="inlineStr">
        <is>
          <t>给、排水接驳费</t>
        </is>
      </c>
      <c r="I1484" s="69" t="inlineStr">
        <is>
          <t>1000021730</t>
        </is>
      </c>
      <c r="J1484" s="69" t="inlineStr">
        <is>
          <t>排水接驳费</t>
        </is>
      </c>
      <c r="K1484" s="70" t="n"/>
      <c r="L1484" s="70" t="n"/>
      <c r="M1484" s="71" t="inlineStr">
        <is>
          <t>米</t>
        </is>
      </c>
      <c r="N1484" s="72" t="n">
        <v>92.09</v>
      </c>
      <c r="O1484" s="72">
        <f>ROUND(N1484*(1+$F$10),2)</f>
        <v/>
      </c>
      <c r="P1484" s="73">
        <f>ROUND(K1484*N1484,2)</f>
        <v/>
      </c>
      <c r="Q1484" s="74">
        <f>ROUND(L1484*N1484,2)</f>
        <v/>
      </c>
      <c r="R1484" s="75" t="n"/>
      <c r="S1484" s="76" t="n"/>
      <c r="T1484" s="77">
        <f>K1484-L1484</f>
        <v/>
      </c>
      <c r="U1484" s="77">
        <f>P1484-Q1484</f>
        <v/>
      </c>
      <c r="V1484" s="77">
        <f>ABS(U1484)</f>
        <v/>
      </c>
      <c r="W1484" s="78">
        <f>T1484/L1484</f>
        <v/>
      </c>
      <c r="X1484" s="79">
        <f>ABS(W1484)</f>
        <v/>
      </c>
    </row>
    <row r="1485" ht="11.4" customHeight="1">
      <c r="A1485" s="67" t="inlineStr">
        <is>
          <t>大甜37</t>
        </is>
      </c>
      <c r="B1485" s="67" t="inlineStr">
        <is>
          <t>1035</t>
        </is>
      </c>
      <c r="C1485" s="67" t="inlineStr">
        <is>
          <t>1350</t>
        </is>
      </c>
      <c r="D1485" s="68" t="inlineStr">
        <is>
          <t>03</t>
        </is>
      </c>
      <c r="E1485" s="68" t="inlineStr">
        <is>
          <t>3 许可证/公用事业费</t>
        </is>
      </c>
      <c r="F1485" s="68" t="inlineStr">
        <is>
          <t>3.5 电话系统</t>
        </is>
      </c>
      <c r="G1485" s="68" t="inlineStr">
        <is>
          <t>电话申请费</t>
        </is>
      </c>
      <c r="H1485" s="68" t="inlineStr">
        <is>
          <t>电话申请费</t>
        </is>
      </c>
      <c r="I1485" s="69" t="inlineStr">
        <is>
          <t>1000040027</t>
        </is>
      </c>
      <c r="J1485" s="69" t="inlineStr">
        <is>
          <t>电话申请费</t>
        </is>
      </c>
      <c r="K1485" s="70" t="n"/>
      <c r="L1485" s="70" t="n"/>
      <c r="M1485" s="71" t="inlineStr">
        <is>
          <t>项</t>
        </is>
      </c>
      <c r="N1485" s="72" t="n">
        <v>1801.8</v>
      </c>
      <c r="O1485" s="72">
        <f>ROUND(N1485*(1+$F$10),2)</f>
        <v/>
      </c>
      <c r="P1485" s="73">
        <f>ROUND(K1485*N1485,2)</f>
        <v/>
      </c>
      <c r="Q1485" s="74">
        <f>ROUND(L1485*N1485,2)</f>
        <v/>
      </c>
      <c r="R1485" s="75" t="n"/>
      <c r="S1485" s="76" t="n"/>
      <c r="T1485" s="77">
        <f>K1485-L1485</f>
        <v/>
      </c>
      <c r="U1485" s="77">
        <f>P1485-Q1485</f>
        <v/>
      </c>
      <c r="V1485" s="77">
        <f>ABS(U1485)</f>
        <v/>
      </c>
      <c r="W1485" s="78">
        <f>T1485/L1485</f>
        <v/>
      </c>
      <c r="X1485" s="79">
        <f>ABS(W1485)</f>
        <v/>
      </c>
    </row>
    <row r="1486" ht="11.4" customHeight="1">
      <c r="A1486" s="67" t="inlineStr">
        <is>
          <t>大甜38</t>
        </is>
      </c>
      <c r="B1486" s="67" t="inlineStr">
        <is>
          <t>1036</t>
        </is>
      </c>
      <c r="C1486" s="67" t="inlineStr">
        <is>
          <t>1360</t>
        </is>
      </c>
      <c r="D1486" s="68" t="inlineStr">
        <is>
          <t>03</t>
        </is>
      </c>
      <c r="E1486" s="68" t="inlineStr">
        <is>
          <t>3 许可证/公用事业费</t>
        </is>
      </c>
      <c r="F1486" s="68" t="inlineStr">
        <is>
          <t>3.6 其他许可证申请费</t>
        </is>
      </c>
      <c r="G1486" s="68" t="inlineStr">
        <is>
          <t>其他许可证申请费</t>
        </is>
      </c>
      <c r="H1486" s="68" t="inlineStr">
        <is>
          <t>其他许可证申请费</t>
        </is>
      </c>
      <c r="I1486" s="69" t="inlineStr">
        <is>
          <t>1000040028</t>
        </is>
      </c>
      <c r="J1486" s="69" t="inlineStr">
        <is>
          <t>有线电视申请费</t>
        </is>
      </c>
      <c r="K1486" s="70" t="n"/>
      <c r="L1486" s="70" t="n"/>
      <c r="M1486" s="71" t="inlineStr">
        <is>
          <t>项</t>
        </is>
      </c>
      <c r="N1486" s="72" t="n">
        <v>1351.35</v>
      </c>
      <c r="O1486" s="72">
        <f>ROUND(N1486*(1+$F$10),2)</f>
        <v/>
      </c>
      <c r="P1486" s="73">
        <f>ROUND(K1486*N1486,2)</f>
        <v/>
      </c>
      <c r="Q1486" s="74">
        <f>ROUND(L1486*N1486,2)</f>
        <v/>
      </c>
      <c r="R1486" s="75" t="n"/>
      <c r="S1486" s="76" t="n"/>
      <c r="T1486" s="77">
        <f>K1486-L1486</f>
        <v/>
      </c>
      <c r="U1486" s="77">
        <f>P1486-Q1486</f>
        <v/>
      </c>
      <c r="V1486" s="77">
        <f>ABS(U1486)</f>
        <v/>
      </c>
      <c r="W1486" s="78">
        <f>T1486/L1486</f>
        <v/>
      </c>
      <c r="X1486" s="79">
        <f>ABS(W1486)</f>
        <v/>
      </c>
    </row>
    <row r="1487" ht="11.4" customHeight="1">
      <c r="A1487" s="67" t="inlineStr">
        <is>
          <t>大甜38</t>
        </is>
      </c>
      <c r="B1487" s="67" t="inlineStr">
        <is>
          <t>1036</t>
        </is>
      </c>
      <c r="C1487" s="67" t="inlineStr">
        <is>
          <t>1360</t>
        </is>
      </c>
      <c r="D1487" s="68" t="inlineStr">
        <is>
          <t>03</t>
        </is>
      </c>
      <c r="E1487" s="68" t="inlineStr">
        <is>
          <t>3 许可证/公用事业费</t>
        </is>
      </c>
      <c r="F1487" s="68" t="inlineStr">
        <is>
          <t>3.6 其他许可证申请费</t>
        </is>
      </c>
      <c r="G1487" s="68" t="inlineStr">
        <is>
          <t>其他许可证申请费</t>
        </is>
      </c>
      <c r="H1487" s="68" t="inlineStr">
        <is>
          <t>其他许可证申请费</t>
        </is>
      </c>
      <c r="I1487" s="69" t="inlineStr">
        <is>
          <t>1000040098</t>
        </is>
      </c>
      <c r="J1487" s="69" t="inlineStr">
        <is>
          <t>其他许可证申请费（含：1.环评费、2.环保申请费、3.规划申报费、4.城管／市容申报费、5.建委／招标办之甲方报建费、6.卫生防疫站申报费、7.房屋鉴定费、8.市政申请费</t>
        </is>
      </c>
      <c r="K1487" s="70" t="n"/>
      <c r="L1487" s="70" t="n"/>
      <c r="M1487" s="71" t="inlineStr">
        <is>
          <t>项</t>
        </is>
      </c>
      <c r="N1487" s="72" t="n"/>
      <c r="O1487" s="72">
        <f>ROUND(N1487*(1+$F$10),2)</f>
        <v/>
      </c>
      <c r="P1487" s="73">
        <f>ROUND(K1487*N1487,2)</f>
        <v/>
      </c>
      <c r="Q1487" s="74">
        <f>ROUND(L1487*N1487,2)</f>
        <v/>
      </c>
      <c r="R1487" s="75" t="n"/>
      <c r="S1487" s="76" t="n"/>
      <c r="T1487" s="77">
        <f>K1487-L1487</f>
        <v/>
      </c>
      <c r="U1487" s="77">
        <f>P1487-Q1487</f>
        <v/>
      </c>
      <c r="V1487" s="77">
        <f>ABS(U1487)</f>
        <v/>
      </c>
      <c r="W1487" s="78">
        <f>T1487/L1487</f>
        <v/>
      </c>
      <c r="X1487" s="79">
        <f>ABS(W1487)</f>
        <v/>
      </c>
    </row>
    <row r="1488" ht="11.4" customHeight="1">
      <c r="A1488" s="67" t="inlineStr">
        <is>
          <t>大甜40</t>
        </is>
      </c>
      <c r="B1488" s="67" t="inlineStr">
        <is>
          <t>1038</t>
        </is>
      </c>
      <c r="C1488" s="67" t="inlineStr">
        <is>
          <t>1410</t>
        </is>
      </c>
      <c r="D1488" s="68" t="inlineStr">
        <is>
          <t>03</t>
        </is>
      </c>
      <c r="E1488" s="68" t="inlineStr">
        <is>
          <t>4 拆除费</t>
        </is>
      </c>
      <c r="F1488" s="68" t="inlineStr">
        <is>
          <t>4.1 场地清拆</t>
        </is>
      </c>
      <c r="G1488" s="68" t="inlineStr">
        <is>
          <t>场地清拆</t>
        </is>
      </c>
      <c r="H1488" s="68" t="inlineStr">
        <is>
          <t>场地清拆</t>
        </is>
      </c>
      <c r="I1488" s="69" t="inlineStr">
        <is>
          <t>1000021731</t>
        </is>
      </c>
      <c r="J1488" s="69" t="inlineStr">
        <is>
          <t>现场清拆（零星拆除,含非特殊位置清运）</t>
        </is>
      </c>
      <c r="K1488" s="70" t="n"/>
      <c r="L1488" s="70" t="n"/>
      <c r="M1488" s="71" t="inlineStr">
        <is>
          <t>m2</t>
        </is>
      </c>
      <c r="N1488" s="72" t="n">
        <v>27.2</v>
      </c>
      <c r="O1488" s="72">
        <f>ROUND(N1488*(1+$F$10),2)</f>
        <v/>
      </c>
      <c r="P1488" s="73">
        <f>ROUND(K1488*N1488,2)</f>
        <v/>
      </c>
      <c r="Q1488" s="74">
        <f>ROUND(L1488*N1488,2)</f>
        <v/>
      </c>
      <c r="R1488" s="75" t="n"/>
      <c r="S1488" s="76" t="n"/>
      <c r="T1488" s="77">
        <f>K1488-L1488</f>
        <v/>
      </c>
      <c r="U1488" s="77">
        <f>P1488-Q1488</f>
        <v/>
      </c>
      <c r="V1488" s="77">
        <f>ABS(U1488)</f>
        <v/>
      </c>
      <c r="W1488" s="78">
        <f>T1488/L1488</f>
        <v/>
      </c>
      <c r="X1488" s="79">
        <f>ABS(W1488)</f>
        <v/>
      </c>
    </row>
    <row r="1489" ht="11.4" customHeight="1">
      <c r="A1489" s="67" t="inlineStr">
        <is>
          <t>大甜40</t>
        </is>
      </c>
      <c r="B1489" s="67" t="inlineStr">
        <is>
          <t>1038</t>
        </is>
      </c>
      <c r="C1489" s="67" t="inlineStr">
        <is>
          <t>1410</t>
        </is>
      </c>
      <c r="D1489" s="68" t="inlineStr">
        <is>
          <t>03</t>
        </is>
      </c>
      <c r="E1489" s="68" t="inlineStr">
        <is>
          <t>4 拆除费</t>
        </is>
      </c>
      <c r="F1489" s="68" t="inlineStr">
        <is>
          <t>4.1 场地清拆</t>
        </is>
      </c>
      <c r="G1489" s="68" t="inlineStr">
        <is>
          <t>场地清拆</t>
        </is>
      </c>
      <c r="H1489" s="68" t="inlineStr">
        <is>
          <t>场地清拆</t>
        </is>
      </c>
      <c r="I1489" s="69" t="inlineStr">
        <is>
          <t>1000021732</t>
        </is>
      </c>
      <c r="J1489" s="69" t="inlineStr">
        <is>
          <t>现场清拆（大面积拆除--天地墙全面拆除，含非特殊位置清运）</t>
        </is>
      </c>
      <c r="K1489" s="70" t="n"/>
      <c r="L1489" s="70" t="n"/>
      <c r="M1489" s="71" t="inlineStr">
        <is>
          <t>m2</t>
        </is>
      </c>
      <c r="N1489" s="72" t="n">
        <v>73</v>
      </c>
      <c r="O1489" s="72">
        <f>ROUND(N1489*(1+$F$10),2)</f>
        <v/>
      </c>
      <c r="P1489" s="73">
        <f>ROUND(K1489*N1489,2)</f>
        <v/>
      </c>
      <c r="Q1489" s="74">
        <f>ROUND(L1489*N1489,2)</f>
        <v/>
      </c>
      <c r="R1489" s="75" t="n"/>
      <c r="S1489" s="76" t="n"/>
      <c r="T1489" s="77">
        <f>K1489-L1489</f>
        <v/>
      </c>
      <c r="U1489" s="77">
        <f>P1489-Q1489</f>
        <v/>
      </c>
      <c r="V1489" s="77">
        <f>ABS(U1489)</f>
        <v/>
      </c>
      <c r="W1489" s="78">
        <f>T1489/L1489</f>
        <v/>
      </c>
      <c r="X1489" s="79">
        <f>ABS(W1489)</f>
        <v/>
      </c>
    </row>
    <row r="1490" ht="11.4" customHeight="1">
      <c r="A1490" s="67" t="inlineStr">
        <is>
          <t>大甜40</t>
        </is>
      </c>
      <c r="B1490" s="67" t="inlineStr">
        <is>
          <t>1038</t>
        </is>
      </c>
      <c r="C1490" s="67" t="inlineStr">
        <is>
          <t>1410</t>
        </is>
      </c>
      <c r="D1490" s="68" t="inlineStr">
        <is>
          <t>03</t>
        </is>
      </c>
      <c r="E1490" s="68" t="inlineStr">
        <is>
          <t>4 拆除费</t>
        </is>
      </c>
      <c r="F1490" s="68" t="inlineStr">
        <is>
          <t>4.1 场地清拆</t>
        </is>
      </c>
      <c r="G1490" s="68" t="inlineStr">
        <is>
          <t>场地清拆</t>
        </is>
      </c>
      <c r="H1490" s="68" t="inlineStr">
        <is>
          <t>场地清拆</t>
        </is>
      </c>
      <c r="I1490" s="69" t="inlineStr">
        <is>
          <t>1000021733</t>
        </is>
      </c>
      <c r="J1490" s="69" t="inlineStr">
        <is>
          <t>现场清拆（特大面积拆除--天地墙全面拆除、结构拆除，含非特殊位置清运）</t>
        </is>
      </c>
      <c r="K1490" s="70" t="n"/>
      <c r="L1490" s="70" t="n"/>
      <c r="M1490" s="71" t="inlineStr">
        <is>
          <t>m2</t>
        </is>
      </c>
      <c r="N1490" s="72" t="n">
        <v>109</v>
      </c>
      <c r="O1490" s="72">
        <f>ROUND(N1490*(1+$F$10),2)</f>
        <v/>
      </c>
      <c r="P1490" s="73">
        <f>ROUND(K1490*N1490,2)</f>
        <v/>
      </c>
      <c r="Q1490" s="74">
        <f>ROUND(L1490*N1490,2)</f>
        <v/>
      </c>
      <c r="R1490" s="75" t="n"/>
      <c r="S1490" s="76" t="n"/>
      <c r="T1490" s="77">
        <f>K1490-L1490</f>
        <v/>
      </c>
      <c r="U1490" s="77">
        <f>P1490-Q1490</f>
        <v/>
      </c>
      <c r="V1490" s="77">
        <f>ABS(U1490)</f>
        <v/>
      </c>
      <c r="W1490" s="78">
        <f>T1490/L1490</f>
        <v/>
      </c>
      <c r="X1490" s="79">
        <f>ABS(W1490)</f>
        <v/>
      </c>
    </row>
    <row r="1491" ht="11.4" customHeight="1">
      <c r="A1491" s="67" t="inlineStr">
        <is>
          <t>大甜40</t>
        </is>
      </c>
      <c r="B1491" s="67" t="inlineStr">
        <is>
          <t>1038</t>
        </is>
      </c>
      <c r="C1491" s="67" t="inlineStr">
        <is>
          <t>1410</t>
        </is>
      </c>
      <c r="D1491" s="68" t="inlineStr">
        <is>
          <t>03</t>
        </is>
      </c>
      <c r="E1491" s="68" t="inlineStr">
        <is>
          <t>4 拆除费</t>
        </is>
      </c>
      <c r="F1491" s="68" t="inlineStr">
        <is>
          <t>4.1 场地清拆</t>
        </is>
      </c>
      <c r="G1491" s="68" t="inlineStr">
        <is>
          <t>场地清拆</t>
        </is>
      </c>
      <c r="H1491" s="68" t="inlineStr">
        <is>
          <t>场地清拆</t>
        </is>
      </c>
      <c r="I1491" s="69" t="inlineStr">
        <is>
          <t>1000021734</t>
        </is>
      </c>
      <c r="J1491" s="69" t="inlineStr">
        <is>
          <t>现场清拆（零星拆除,含特殊位置清运）</t>
        </is>
      </c>
      <c r="K1491" s="70" t="n"/>
      <c r="L1491" s="70" t="n"/>
      <c r="M1491" s="71" t="inlineStr">
        <is>
          <t>m2</t>
        </is>
      </c>
      <c r="N1491" s="72" t="n">
        <v>54.5</v>
      </c>
      <c r="O1491" s="72">
        <f>ROUND(N1491*(1+$F$10),2)</f>
        <v/>
      </c>
      <c r="P1491" s="73">
        <f>ROUND(K1491*N1491,2)</f>
        <v/>
      </c>
      <c r="Q1491" s="74">
        <f>ROUND(L1491*N1491,2)</f>
        <v/>
      </c>
      <c r="R1491" s="75" t="n"/>
      <c r="S1491" s="76" t="n"/>
      <c r="T1491" s="77">
        <f>K1491-L1491</f>
        <v/>
      </c>
      <c r="U1491" s="77">
        <f>P1491-Q1491</f>
        <v/>
      </c>
      <c r="V1491" s="77">
        <f>ABS(U1491)</f>
        <v/>
      </c>
      <c r="W1491" s="78">
        <f>T1491/L1491</f>
        <v/>
      </c>
      <c r="X1491" s="79">
        <f>ABS(W1491)</f>
        <v/>
      </c>
    </row>
    <row r="1492" ht="11.4" customHeight="1">
      <c r="A1492" s="67" t="inlineStr">
        <is>
          <t>大甜40</t>
        </is>
      </c>
      <c r="B1492" s="67" t="inlineStr">
        <is>
          <t>1038</t>
        </is>
      </c>
      <c r="C1492" s="67" t="inlineStr">
        <is>
          <t>1410</t>
        </is>
      </c>
      <c r="D1492" s="68" t="inlineStr">
        <is>
          <t>03</t>
        </is>
      </c>
      <c r="E1492" s="68" t="inlineStr">
        <is>
          <t>4 拆除费</t>
        </is>
      </c>
      <c r="F1492" s="68" t="inlineStr">
        <is>
          <t>4.1 场地清拆</t>
        </is>
      </c>
      <c r="G1492" s="68" t="inlineStr">
        <is>
          <t>场地清拆</t>
        </is>
      </c>
      <c r="H1492" s="68" t="inlineStr">
        <is>
          <t>场地清拆</t>
        </is>
      </c>
      <c r="I1492" s="69" t="inlineStr">
        <is>
          <t>1000021735</t>
        </is>
      </c>
      <c r="J1492" s="69" t="inlineStr">
        <is>
          <t>现场清拆（大面积拆除--天地墙全面拆除，含特殊位置清运）</t>
        </is>
      </c>
      <c r="K1492" s="70" t="n"/>
      <c r="L1492" s="70" t="n"/>
      <c r="M1492" s="71" t="inlineStr">
        <is>
          <t>m2</t>
        </is>
      </c>
      <c r="N1492" s="72" t="n">
        <v>181.5</v>
      </c>
      <c r="O1492" s="72">
        <f>ROUND(N1492*(1+$F$10),2)</f>
        <v/>
      </c>
      <c r="P1492" s="73">
        <f>ROUND(K1492*N1492,2)</f>
        <v/>
      </c>
      <c r="Q1492" s="74">
        <f>ROUND(L1492*N1492,2)</f>
        <v/>
      </c>
      <c r="R1492" s="75" t="n"/>
      <c r="S1492" s="76" t="n"/>
      <c r="T1492" s="77">
        <f>K1492-L1492</f>
        <v/>
      </c>
      <c r="U1492" s="77">
        <f>P1492-Q1492</f>
        <v/>
      </c>
      <c r="V1492" s="77">
        <f>ABS(U1492)</f>
        <v/>
      </c>
      <c r="W1492" s="78">
        <f>T1492/L1492</f>
        <v/>
      </c>
      <c r="X1492" s="79">
        <f>ABS(W1492)</f>
        <v/>
      </c>
    </row>
    <row r="1493" ht="11.4" customHeight="1">
      <c r="A1493" s="67" t="inlineStr">
        <is>
          <t>大甜40</t>
        </is>
      </c>
      <c r="B1493" s="67" t="inlineStr">
        <is>
          <t>1038</t>
        </is>
      </c>
      <c r="C1493" s="67" t="inlineStr">
        <is>
          <t>1410</t>
        </is>
      </c>
      <c r="D1493" s="68" t="inlineStr">
        <is>
          <t>03</t>
        </is>
      </c>
      <c r="E1493" s="68" t="inlineStr">
        <is>
          <t>4 拆除费</t>
        </is>
      </c>
      <c r="F1493" s="68" t="inlineStr">
        <is>
          <t>4.1 场地清拆</t>
        </is>
      </c>
      <c r="G1493" s="68" t="inlineStr">
        <is>
          <t>场地清拆</t>
        </is>
      </c>
      <c r="H1493" s="68" t="inlineStr">
        <is>
          <t>场地清拆</t>
        </is>
      </c>
      <c r="I1493" s="69" t="inlineStr">
        <is>
          <t>1000021736</t>
        </is>
      </c>
      <c r="J1493" s="69" t="inlineStr">
        <is>
          <t>现场清拆（特大面积拆除--天地墙全面拆除、结构拆除，含特殊位置清运）</t>
        </is>
      </c>
      <c r="K1493" s="70" t="n"/>
      <c r="L1493" s="70" t="n"/>
      <c r="M1493" s="71" t="inlineStr">
        <is>
          <t>m2</t>
        </is>
      </c>
      <c r="N1493" s="72" t="n">
        <v>284.5</v>
      </c>
      <c r="O1493" s="72">
        <f>ROUND(N1493*(1+$F$10),2)</f>
        <v/>
      </c>
      <c r="P1493" s="73">
        <f>ROUND(K1493*N1493,2)</f>
        <v/>
      </c>
      <c r="Q1493" s="74">
        <f>ROUND(L1493*N1493,2)</f>
        <v/>
      </c>
      <c r="R1493" s="75" t="n"/>
      <c r="S1493" s="76" t="n"/>
      <c r="T1493" s="77">
        <f>K1493-L1493</f>
        <v/>
      </c>
      <c r="U1493" s="77">
        <f>P1493-Q1493</f>
        <v/>
      </c>
      <c r="V1493" s="77">
        <f>ABS(U1493)</f>
        <v/>
      </c>
      <c r="W1493" s="78">
        <f>T1493/L1493</f>
        <v/>
      </c>
      <c r="X1493" s="79">
        <f>ABS(W1493)</f>
        <v/>
      </c>
    </row>
    <row r="1494" ht="11.4" customHeight="1">
      <c r="A1494" s="67" t="inlineStr">
        <is>
          <t>大甜40</t>
        </is>
      </c>
      <c r="B1494" s="67" t="inlineStr">
        <is>
          <t>1038</t>
        </is>
      </c>
      <c r="C1494" s="67" t="inlineStr">
        <is>
          <t>1410</t>
        </is>
      </c>
      <c r="D1494" s="68" t="inlineStr">
        <is>
          <t>03</t>
        </is>
      </c>
      <c r="E1494" s="68" t="inlineStr">
        <is>
          <t>4 拆除费</t>
        </is>
      </c>
      <c r="F1494" s="68" t="inlineStr">
        <is>
          <t>4.1 场地清拆</t>
        </is>
      </c>
      <c r="G1494" s="68" t="inlineStr">
        <is>
          <t>场地清拆</t>
        </is>
      </c>
      <c r="H1494" s="68" t="inlineStr">
        <is>
          <t>场地清拆</t>
        </is>
      </c>
      <c r="I1494" s="69" t="inlineStr">
        <is>
          <t>1000021737</t>
        </is>
      </c>
      <c r="J1494" s="69" t="inlineStr">
        <is>
          <t>场地清洁</t>
        </is>
      </c>
      <c r="K1494" s="70" t="n"/>
      <c r="L1494" s="70" t="n"/>
      <c r="M1494" s="71" t="inlineStr">
        <is>
          <t>m2</t>
        </is>
      </c>
      <c r="N1494" s="72" t="n">
        <v>20</v>
      </c>
      <c r="O1494" s="72">
        <f>ROUND(N1494*(1+$F$10),2)</f>
        <v/>
      </c>
      <c r="P1494" s="73">
        <f>ROUND(K1494*N1494,2)</f>
        <v/>
      </c>
      <c r="Q1494" s="74">
        <f>ROUND(L1494*N1494,2)</f>
        <v/>
      </c>
      <c r="R1494" s="75" t="n"/>
      <c r="S1494" s="76" t="n"/>
      <c r="T1494" s="77">
        <f>K1494-L1494</f>
        <v/>
      </c>
      <c r="U1494" s="77">
        <f>P1494-Q1494</f>
        <v/>
      </c>
      <c r="V1494" s="77">
        <f>ABS(U1494)</f>
        <v/>
      </c>
      <c r="W1494" s="78">
        <f>T1494/L1494</f>
        <v/>
      </c>
      <c r="X1494" s="79">
        <f>ABS(W1494)</f>
        <v/>
      </c>
    </row>
    <row r="1495" ht="11.4" customHeight="1">
      <c r="A1495" s="67" t="inlineStr">
        <is>
          <t>大甜41</t>
        </is>
      </c>
      <c r="B1495" s="67" t="inlineStr">
        <is>
          <t>1039</t>
        </is>
      </c>
      <c r="C1495" s="67" t="inlineStr">
        <is>
          <t>1420</t>
        </is>
      </c>
      <c r="D1495" s="68" t="inlineStr">
        <is>
          <t>03</t>
        </is>
      </c>
      <c r="E1495" s="68" t="inlineStr">
        <is>
          <t>4 拆除费</t>
        </is>
      </c>
      <c r="F1495" s="68" t="inlineStr">
        <is>
          <t>4.2 围墙板</t>
        </is>
      </c>
      <c r="G1495" s="68" t="inlineStr">
        <is>
          <t>围墙板</t>
        </is>
      </c>
      <c r="H1495" s="68" t="inlineStr">
        <is>
          <t>围墙板</t>
        </is>
      </c>
      <c r="I1495" s="69" t="inlineStr">
        <is>
          <t>1000021738</t>
        </is>
      </c>
      <c r="J1495" s="69" t="inlineStr">
        <is>
          <t>场地围墙板等</t>
        </is>
      </c>
      <c r="K1495" s="70" t="n"/>
      <c r="L1495" s="70" t="n"/>
      <c r="M1495" s="71" t="inlineStr">
        <is>
          <t>m2</t>
        </is>
      </c>
      <c r="N1495" s="72" t="n">
        <v>58.7</v>
      </c>
      <c r="O1495" s="72">
        <f>ROUND(N1495*(1+$F$10),2)</f>
        <v/>
      </c>
      <c r="P1495" s="73">
        <f>ROUND(K1495*N1495,2)</f>
        <v/>
      </c>
      <c r="Q1495" s="74">
        <f>ROUND(L1495*N1495,2)</f>
        <v/>
      </c>
      <c r="R1495" s="75" t="n"/>
      <c r="S1495" s="76" t="n"/>
      <c r="T1495" s="77">
        <f>K1495-L1495</f>
        <v/>
      </c>
      <c r="U1495" s="77">
        <f>P1495-Q1495</f>
        <v/>
      </c>
      <c r="V1495" s="77">
        <f>ABS(U1495)</f>
        <v/>
      </c>
      <c r="W1495" s="78">
        <f>T1495/L1495</f>
        <v/>
      </c>
      <c r="X1495" s="79">
        <f>ABS(W1495)</f>
        <v/>
      </c>
    </row>
    <row r="1496" ht="11.4" customHeight="1">
      <c r="A1496" s="67" t="inlineStr">
        <is>
          <t>大甜44</t>
        </is>
      </c>
      <c r="B1496" s="67" t="inlineStr">
        <is>
          <t>1042</t>
        </is>
      </c>
      <c r="C1496" s="67" t="inlineStr">
        <is>
          <t>1510</t>
        </is>
      </c>
      <c r="D1496" s="68" t="inlineStr">
        <is>
          <t>03</t>
        </is>
      </c>
      <c r="E1496" s="68" t="inlineStr">
        <is>
          <t>5 场地发展费</t>
        </is>
      </c>
      <c r="F1496" s="68" t="inlineStr">
        <is>
          <t>5.1 场地准备</t>
        </is>
      </c>
      <c r="G1496" s="68" t="inlineStr">
        <is>
          <t>场地准备</t>
        </is>
      </c>
      <c r="H1496" s="68" t="inlineStr">
        <is>
          <t>措施费</t>
        </is>
      </c>
      <c r="I1496" s="69" t="inlineStr">
        <is>
          <t>1000021739</t>
        </is>
      </c>
      <c r="J1496" s="69" t="inlineStr">
        <is>
          <t>措施费（新店）</t>
        </is>
      </c>
      <c r="K1496" s="70" t="n"/>
      <c r="L1496" s="70" t="n"/>
      <c r="M1496" s="71" t="inlineStr">
        <is>
          <t>项</t>
        </is>
      </c>
      <c r="N1496" s="72" t="n">
        <v>15380</v>
      </c>
      <c r="O1496" s="72">
        <f>ROUND(N1496*(1+$F$10),2)</f>
        <v/>
      </c>
      <c r="P1496" s="73">
        <f>ROUND(K1496*N1496,2)</f>
        <v/>
      </c>
      <c r="Q1496" s="74">
        <f>ROUND(L1496*N1496,2)</f>
        <v/>
      </c>
      <c r="R1496" s="75" t="n"/>
      <c r="S1496" s="76" t="n"/>
      <c r="T1496" s="77">
        <f>K1496-L1496</f>
        <v/>
      </c>
      <c r="U1496" s="77">
        <f>P1496-Q1496</f>
        <v/>
      </c>
      <c r="V1496" s="77">
        <f>ABS(U1496)</f>
        <v/>
      </c>
      <c r="W1496" s="78">
        <f>T1496/L1496</f>
        <v/>
      </c>
      <c r="X1496" s="79">
        <f>ABS(W1496)</f>
        <v/>
      </c>
    </row>
    <row r="1497" ht="11.4" customHeight="1">
      <c r="A1497" s="67" t="inlineStr">
        <is>
          <t>大甜44</t>
        </is>
      </c>
      <c r="B1497" s="67" t="inlineStr">
        <is>
          <t>1042</t>
        </is>
      </c>
      <c r="C1497" s="67" t="inlineStr">
        <is>
          <t>1510</t>
        </is>
      </c>
      <c r="D1497" s="68" t="inlineStr">
        <is>
          <t>03</t>
        </is>
      </c>
      <c r="E1497" s="68" t="inlineStr">
        <is>
          <t>5 场地发展费</t>
        </is>
      </c>
      <c r="F1497" s="68" t="inlineStr">
        <is>
          <t>5.1 场地准备</t>
        </is>
      </c>
      <c r="G1497" s="68" t="inlineStr">
        <is>
          <t>场地准备</t>
        </is>
      </c>
      <c r="H1497" s="68" t="inlineStr">
        <is>
          <t>措施费</t>
        </is>
      </c>
      <c r="I1497" s="69" t="inlineStr">
        <is>
          <t>1000022205</t>
        </is>
      </c>
      <c r="J1497" s="69" t="inlineStr">
        <is>
          <t>措施费（改造店）</t>
        </is>
      </c>
      <c r="K1497" s="70" t="n"/>
      <c r="L1497" s="70" t="n"/>
      <c r="M1497" s="71" t="inlineStr">
        <is>
          <t>项</t>
        </is>
      </c>
      <c r="N1497" s="72" t="n">
        <v>26126.13</v>
      </c>
      <c r="O1497" s="72">
        <f>ROUND(N1497*(1+$F$10),2)</f>
        <v/>
      </c>
      <c r="P1497" s="73">
        <f>ROUND(K1497*N1497,2)</f>
        <v/>
      </c>
      <c r="Q1497" s="74">
        <f>ROUND(L1497*N1497,2)</f>
        <v/>
      </c>
      <c r="R1497" s="75" t="n"/>
      <c r="S1497" s="76" t="n"/>
      <c r="T1497" s="77">
        <f>K1497-L1497</f>
        <v/>
      </c>
      <c r="U1497" s="77">
        <f>P1497-Q1497</f>
        <v/>
      </c>
      <c r="V1497" s="77">
        <f>ABS(U1497)</f>
        <v/>
      </c>
      <c r="W1497" s="78">
        <f>T1497/L1497</f>
        <v/>
      </c>
      <c r="X1497" s="79">
        <f>ABS(W1497)</f>
        <v/>
      </c>
    </row>
    <row r="1498" ht="11.4" customHeight="1">
      <c r="A1498" s="67" t="inlineStr">
        <is>
          <t>大甜44</t>
        </is>
      </c>
      <c r="B1498" s="67" t="inlineStr">
        <is>
          <t>1042</t>
        </is>
      </c>
      <c r="C1498" s="67" t="inlineStr">
        <is>
          <t>1510</t>
        </is>
      </c>
      <c r="D1498" s="68" t="inlineStr">
        <is>
          <t>03</t>
        </is>
      </c>
      <c r="E1498" s="68" t="inlineStr">
        <is>
          <t>5 场地发展费</t>
        </is>
      </c>
      <c r="F1498" s="68" t="inlineStr">
        <is>
          <t>5.1 场地准备</t>
        </is>
      </c>
      <c r="G1498" s="68" t="inlineStr">
        <is>
          <t>场地准备</t>
        </is>
      </c>
      <c r="H1498" s="68" t="inlineStr">
        <is>
          <t>措施费</t>
        </is>
      </c>
      <c r="I1498" s="69" t="inlineStr">
        <is>
          <t>1000040030</t>
        </is>
      </c>
      <c r="J1498" s="69" t="inlineStr">
        <is>
          <t>北区冬季施工费</t>
        </is>
      </c>
      <c r="K1498" s="70" t="n"/>
      <c r="L1498" s="70" t="n"/>
      <c r="M1498" s="71" t="inlineStr">
        <is>
          <t>项</t>
        </is>
      </c>
      <c r="N1498" s="72" t="n">
        <v>18018.02</v>
      </c>
      <c r="O1498" s="72">
        <f>ROUND(N1498*(1+$F$10),2)</f>
        <v/>
      </c>
      <c r="P1498" s="73">
        <f>ROUND(K1498*N1498,2)</f>
        <v/>
      </c>
      <c r="Q1498" s="74">
        <f>ROUND(L1498*N1498,2)</f>
        <v/>
      </c>
      <c r="R1498" s="75" t="n"/>
      <c r="S1498" s="76" t="n"/>
      <c r="T1498" s="77">
        <f>K1498-L1498</f>
        <v/>
      </c>
      <c r="U1498" s="77">
        <f>P1498-Q1498</f>
        <v/>
      </c>
      <c r="V1498" s="77">
        <f>ABS(U1498)</f>
        <v/>
      </c>
      <c r="W1498" s="78">
        <f>T1498/L1498</f>
        <v/>
      </c>
      <c r="X1498" s="79">
        <f>ABS(W1498)</f>
        <v/>
      </c>
    </row>
    <row r="1499" ht="11.4" customHeight="1">
      <c r="A1499" s="67" t="inlineStr">
        <is>
          <t>大甜44</t>
        </is>
      </c>
      <c r="B1499" s="67" t="inlineStr">
        <is>
          <t>1042</t>
        </is>
      </c>
      <c r="C1499" s="67" t="inlineStr">
        <is>
          <t>1510</t>
        </is>
      </c>
      <c r="D1499" s="68" t="inlineStr">
        <is>
          <t>03</t>
        </is>
      </c>
      <c r="E1499" s="68" t="inlineStr">
        <is>
          <t>5 场地发展费</t>
        </is>
      </c>
      <c r="F1499" s="68" t="inlineStr">
        <is>
          <t>5.1 场地准备</t>
        </is>
      </c>
      <c r="G1499" s="68" t="inlineStr">
        <is>
          <t>场地准备</t>
        </is>
      </c>
      <c r="H1499" s="68" t="inlineStr">
        <is>
          <t>措施费</t>
        </is>
      </c>
      <c r="I1499" s="69" t="inlineStr">
        <is>
          <t>1000040099</t>
        </is>
      </c>
      <c r="J1499" s="69" t="inlineStr">
        <is>
          <t>夜间施工人工补贴</t>
        </is>
      </c>
      <c r="K1499" s="70" t="n"/>
      <c r="L1499" s="70" t="n"/>
      <c r="M1499" s="71" t="inlineStr">
        <is>
          <t>项</t>
        </is>
      </c>
      <c r="N1499" s="72" t="n"/>
      <c r="O1499" s="72">
        <f>ROUND(N1499*(1+$F$10),2)</f>
        <v/>
      </c>
      <c r="P1499" s="73">
        <f>ROUND(K1499*N1499,2)</f>
        <v/>
      </c>
      <c r="Q1499" s="74">
        <f>ROUND(L1499*N1499,2)</f>
        <v/>
      </c>
      <c r="R1499" s="75" t="n"/>
      <c r="S1499" s="76" t="n"/>
      <c r="T1499" s="77">
        <f>K1499-L1499</f>
        <v/>
      </c>
      <c r="U1499" s="77">
        <f>P1499-Q1499</f>
        <v/>
      </c>
      <c r="V1499" s="77">
        <f>ABS(U1499)</f>
        <v/>
      </c>
      <c r="W1499" s="78">
        <f>T1499/L1499</f>
        <v/>
      </c>
      <c r="X1499" s="79">
        <f>ABS(W1499)</f>
        <v/>
      </c>
    </row>
    <row r="1500" ht="11.4" customHeight="1">
      <c r="A1500" s="67" t="inlineStr">
        <is>
          <t>大甜44</t>
        </is>
      </c>
      <c r="B1500" s="67" t="inlineStr">
        <is>
          <t>1042</t>
        </is>
      </c>
      <c r="C1500" s="67" t="inlineStr">
        <is>
          <t>1510</t>
        </is>
      </c>
      <c r="D1500" s="68" t="inlineStr">
        <is>
          <t>03</t>
        </is>
      </c>
      <c r="E1500" s="68" t="inlineStr">
        <is>
          <t>5 场地发展费</t>
        </is>
      </c>
      <c r="F1500" s="68" t="inlineStr">
        <is>
          <t>5.1 场地准备</t>
        </is>
      </c>
      <c r="G1500" s="68" t="inlineStr">
        <is>
          <t>场地准备</t>
        </is>
      </c>
      <c r="H1500" s="68" t="inlineStr">
        <is>
          <t>地面处理</t>
        </is>
      </c>
      <c r="I1500" s="69" t="inlineStr">
        <is>
          <t>1000021740</t>
        </is>
      </c>
      <c r="J1500" s="69" t="inlineStr">
        <is>
          <t>地面局部抬高</t>
        </is>
      </c>
      <c r="K1500" s="70" t="n"/>
      <c r="L1500" s="70" t="n"/>
      <c r="M1500" s="71" t="inlineStr">
        <is>
          <t>m2</t>
        </is>
      </c>
      <c r="N1500" s="72" t="n">
        <v>88.25</v>
      </c>
      <c r="O1500" s="72">
        <f>ROUND(N1500*(1+$F$10),2)</f>
        <v/>
      </c>
      <c r="P1500" s="73">
        <f>ROUND(K1500*N1500,2)</f>
        <v/>
      </c>
      <c r="Q1500" s="74">
        <f>ROUND(L1500*N1500,2)</f>
        <v/>
      </c>
      <c r="R1500" s="75" t="n"/>
      <c r="S1500" s="76" t="n"/>
      <c r="T1500" s="77">
        <f>K1500-L1500</f>
        <v/>
      </c>
      <c r="U1500" s="77">
        <f>P1500-Q1500</f>
        <v/>
      </c>
      <c r="V1500" s="77">
        <f>ABS(U1500)</f>
        <v/>
      </c>
      <c r="W1500" s="78">
        <f>T1500/L1500</f>
        <v/>
      </c>
      <c r="X1500" s="79">
        <f>ABS(W1500)</f>
        <v/>
      </c>
    </row>
    <row r="1501" ht="11.4" customHeight="1">
      <c r="A1501" s="67" t="inlineStr">
        <is>
          <t>大甜44</t>
        </is>
      </c>
      <c r="B1501" s="67" t="inlineStr">
        <is>
          <t>1042</t>
        </is>
      </c>
      <c r="C1501" s="67" t="inlineStr">
        <is>
          <t>1510</t>
        </is>
      </c>
      <c r="D1501" s="68" t="inlineStr">
        <is>
          <t>03</t>
        </is>
      </c>
      <c r="E1501" s="68" t="inlineStr">
        <is>
          <t>5 场地发展费</t>
        </is>
      </c>
      <c r="F1501" s="68" t="inlineStr">
        <is>
          <t>5.1 场地准备</t>
        </is>
      </c>
      <c r="G1501" s="68" t="inlineStr">
        <is>
          <t>场地准备</t>
        </is>
      </c>
      <c r="H1501" s="68" t="inlineStr">
        <is>
          <t>地面处理</t>
        </is>
      </c>
      <c r="I1501" s="69" t="inlineStr">
        <is>
          <t>1000021741</t>
        </is>
      </c>
      <c r="J1501" s="69" t="inlineStr">
        <is>
          <t>地面找平（水泥砂浆&gt;50mm时)</t>
        </is>
      </c>
      <c r="K1501" s="70" t="n"/>
      <c r="L1501" s="70" t="n"/>
      <c r="M1501" s="71" t="inlineStr">
        <is>
          <t>m2</t>
        </is>
      </c>
      <c r="N1501" s="72" t="n">
        <v>52.68</v>
      </c>
      <c r="O1501" s="72">
        <f>ROUND(N1501*(1+$F$10),2)</f>
        <v/>
      </c>
      <c r="P1501" s="73">
        <f>ROUND(K1501*N1501,2)</f>
        <v/>
      </c>
      <c r="Q1501" s="74">
        <f>ROUND(L1501*N1501,2)</f>
        <v/>
      </c>
      <c r="R1501" s="75" t="n"/>
      <c r="S1501" s="76" t="n"/>
      <c r="T1501" s="77">
        <f>K1501-L1501</f>
        <v/>
      </c>
      <c r="U1501" s="77">
        <f>P1501-Q1501</f>
        <v/>
      </c>
      <c r="V1501" s="77">
        <f>ABS(U1501)</f>
        <v/>
      </c>
      <c r="W1501" s="78">
        <f>T1501/L1501</f>
        <v/>
      </c>
      <c r="X1501" s="79">
        <f>ABS(W1501)</f>
        <v/>
      </c>
    </row>
    <row r="1502" ht="11.4" customHeight="1">
      <c r="A1502" s="67" t="inlineStr">
        <is>
          <t>大甜44</t>
        </is>
      </c>
      <c r="B1502" s="67" t="inlineStr">
        <is>
          <t>1042</t>
        </is>
      </c>
      <c r="C1502" s="67" t="inlineStr">
        <is>
          <t>1510</t>
        </is>
      </c>
      <c r="D1502" s="68" t="inlineStr">
        <is>
          <t>03</t>
        </is>
      </c>
      <c r="E1502" s="68" t="inlineStr">
        <is>
          <t>5 场地发展费</t>
        </is>
      </c>
      <c r="F1502" s="68" t="inlineStr">
        <is>
          <t>5.1 场地准备</t>
        </is>
      </c>
      <c r="G1502" s="68" t="inlineStr">
        <is>
          <t>场地准备</t>
        </is>
      </c>
      <c r="H1502" s="68" t="inlineStr">
        <is>
          <t>防水处理</t>
        </is>
      </c>
      <c r="I1502" s="69" t="inlineStr">
        <is>
          <t>1000021742</t>
        </is>
      </c>
      <c r="J1502" s="69" t="inlineStr">
        <is>
          <t>地面防水层（五年保修）</t>
        </is>
      </c>
      <c r="K1502" s="70" t="n"/>
      <c r="L1502" s="70" t="n"/>
      <c r="M1502" s="71" t="inlineStr">
        <is>
          <t>m2</t>
        </is>
      </c>
      <c r="N1502" s="72" t="n">
        <v>60.46</v>
      </c>
      <c r="O1502" s="72">
        <f>ROUND(N1502*(1+$F$10),2)</f>
        <v/>
      </c>
      <c r="P1502" s="73">
        <f>ROUND(K1502*N1502,2)</f>
        <v/>
      </c>
      <c r="Q1502" s="74">
        <f>ROUND(L1502*N1502,2)</f>
        <v/>
      </c>
      <c r="R1502" s="75" t="n"/>
      <c r="S1502" s="76" t="n"/>
      <c r="T1502" s="77">
        <f>K1502-L1502</f>
        <v/>
      </c>
      <c r="U1502" s="77">
        <f>P1502-Q1502</f>
        <v/>
      </c>
      <c r="V1502" s="77">
        <f>ABS(U1502)</f>
        <v/>
      </c>
      <c r="W1502" s="78">
        <f>T1502/L1502</f>
        <v/>
      </c>
      <c r="X1502" s="79">
        <f>ABS(W1502)</f>
        <v/>
      </c>
    </row>
    <row r="1503" ht="11.4" customHeight="1">
      <c r="A1503" s="67" t="inlineStr">
        <is>
          <t>大甜44</t>
        </is>
      </c>
      <c r="B1503" s="67" t="inlineStr">
        <is>
          <t>1042</t>
        </is>
      </c>
      <c r="C1503" s="67" t="inlineStr">
        <is>
          <t>1510</t>
        </is>
      </c>
      <c r="D1503" s="68" t="inlineStr">
        <is>
          <t>03</t>
        </is>
      </c>
      <c r="E1503" s="68" t="inlineStr">
        <is>
          <t>5 场地发展费</t>
        </is>
      </c>
      <c r="F1503" s="68" t="inlineStr">
        <is>
          <t>5.1 场地准备</t>
        </is>
      </c>
      <c r="G1503" s="68" t="inlineStr">
        <is>
          <t>场地准备</t>
        </is>
      </c>
      <c r="H1503" s="68" t="inlineStr">
        <is>
          <t>防水处理</t>
        </is>
      </c>
      <c r="I1503" s="69" t="inlineStr">
        <is>
          <t>1000021743</t>
        </is>
      </c>
      <c r="J1503" s="69" t="inlineStr">
        <is>
          <t>顶板／外墙防水层</t>
        </is>
      </c>
      <c r="K1503" s="70" t="n"/>
      <c r="L1503" s="70" t="n"/>
      <c r="M1503" s="71" t="inlineStr">
        <is>
          <t>m2</t>
        </is>
      </c>
      <c r="N1503" s="72" t="n">
        <v>71.58</v>
      </c>
      <c r="O1503" s="72">
        <f>ROUND(N1503*(1+$F$10),2)</f>
        <v/>
      </c>
      <c r="P1503" s="73">
        <f>ROUND(K1503*N1503,2)</f>
        <v/>
      </c>
      <c r="Q1503" s="74">
        <f>ROUND(L1503*N1503,2)</f>
        <v/>
      </c>
      <c r="R1503" s="75" t="n"/>
      <c r="S1503" s="76" t="n"/>
      <c r="T1503" s="77">
        <f>K1503-L1503</f>
        <v/>
      </c>
      <c r="U1503" s="77">
        <f>P1503-Q1503</f>
        <v/>
      </c>
      <c r="V1503" s="77">
        <f>ABS(U1503)</f>
        <v/>
      </c>
      <c r="W1503" s="78">
        <f>T1503/L1503</f>
        <v/>
      </c>
      <c r="X1503" s="79">
        <f>ABS(W1503)</f>
        <v/>
      </c>
    </row>
    <row r="1504" ht="11.4" customHeight="1">
      <c r="A1504" s="67" t="inlineStr">
        <is>
          <t>大甜44</t>
        </is>
      </c>
      <c r="B1504" s="67" t="inlineStr">
        <is>
          <t>1042</t>
        </is>
      </c>
      <c r="C1504" s="67" t="inlineStr">
        <is>
          <t>1510</t>
        </is>
      </c>
      <c r="D1504" s="68" t="inlineStr">
        <is>
          <t>03</t>
        </is>
      </c>
      <c r="E1504" s="68" t="inlineStr">
        <is>
          <t>5 场地发展费</t>
        </is>
      </c>
      <c r="F1504" s="68" t="inlineStr">
        <is>
          <t>5.1 场地准备</t>
        </is>
      </c>
      <c r="G1504" s="68" t="inlineStr">
        <is>
          <t>场地准备</t>
        </is>
      </c>
      <c r="H1504" s="68" t="inlineStr">
        <is>
          <t>防水处理</t>
        </is>
      </c>
      <c r="I1504" s="69" t="inlineStr">
        <is>
          <t>1000040031</t>
        </is>
      </c>
      <c r="J1504" s="69" t="inlineStr">
        <is>
          <t>门头钢构架含防水层（当招牌悬挑时）</t>
        </is>
      </c>
      <c r="K1504" s="70" t="n"/>
      <c r="L1504" s="70" t="n"/>
      <c r="M1504" s="71" t="inlineStr">
        <is>
          <t>吨</t>
        </is>
      </c>
      <c r="N1504" s="72" t="n">
        <v>11207.21</v>
      </c>
      <c r="O1504" s="72">
        <f>ROUND(N1504*(1+$F$10),2)</f>
        <v/>
      </c>
      <c r="P1504" s="73">
        <f>ROUND(K1504*N1504,2)</f>
        <v/>
      </c>
      <c r="Q1504" s="74">
        <f>ROUND(L1504*N1504,2)</f>
        <v/>
      </c>
      <c r="R1504" s="75" t="n"/>
      <c r="S1504" s="76" t="n"/>
      <c r="T1504" s="77">
        <f>K1504-L1504</f>
        <v/>
      </c>
      <c r="U1504" s="77">
        <f>P1504-Q1504</f>
        <v/>
      </c>
      <c r="V1504" s="77">
        <f>ABS(U1504)</f>
        <v/>
      </c>
      <c r="W1504" s="78">
        <f>T1504/L1504</f>
        <v/>
      </c>
      <c r="X1504" s="79">
        <f>ABS(W1504)</f>
        <v/>
      </c>
    </row>
    <row r="1505" ht="11.4" customHeight="1">
      <c r="A1505" s="67" t="inlineStr">
        <is>
          <t>大甜45</t>
        </is>
      </c>
      <c r="B1505" s="67" t="inlineStr">
        <is>
          <t>1043</t>
        </is>
      </c>
      <c r="C1505" s="67" t="inlineStr">
        <is>
          <t>1520</t>
        </is>
      </c>
      <c r="D1505" s="68" t="inlineStr">
        <is>
          <t>03</t>
        </is>
      </c>
      <c r="E1505" s="68" t="inlineStr">
        <is>
          <t>5 场地发展费</t>
        </is>
      </c>
      <c r="F1505" s="68" t="inlineStr">
        <is>
          <t>5.2 结构加固</t>
        </is>
      </c>
      <c r="G1505" s="68" t="inlineStr">
        <is>
          <t>结构加固</t>
        </is>
      </c>
      <c r="H1505" s="68" t="inlineStr">
        <is>
          <t>钢结构</t>
        </is>
      </c>
      <c r="I1505" s="69" t="inlineStr">
        <is>
          <t>1000021744</t>
        </is>
      </c>
      <c r="J1505" s="69" t="inlineStr">
        <is>
          <t>层高大于6米时吊顶用角钢及吊筋补贴</t>
        </is>
      </c>
      <c r="K1505" s="70" t="n"/>
      <c r="L1505" s="70" t="n"/>
      <c r="M1505" s="71" t="inlineStr">
        <is>
          <t>m2</t>
        </is>
      </c>
      <c r="N1505" s="72" t="n">
        <v>14</v>
      </c>
      <c r="O1505" s="72">
        <f>ROUND(N1505*(1+$F$10),2)</f>
        <v/>
      </c>
      <c r="P1505" s="73">
        <f>ROUND(K1505*N1505,2)</f>
        <v/>
      </c>
      <c r="Q1505" s="74">
        <f>ROUND(L1505*N1505,2)</f>
        <v/>
      </c>
      <c r="R1505" s="75" t="n"/>
      <c r="S1505" s="76" t="n"/>
      <c r="T1505" s="77">
        <f>K1505-L1505</f>
        <v/>
      </c>
      <c r="U1505" s="77">
        <f>P1505-Q1505</f>
        <v/>
      </c>
      <c r="V1505" s="77">
        <f>ABS(U1505)</f>
        <v/>
      </c>
      <c r="W1505" s="78">
        <f>T1505/L1505</f>
        <v/>
      </c>
      <c r="X1505" s="79">
        <f>ABS(W1505)</f>
        <v/>
      </c>
    </row>
    <row r="1506" ht="11.4" customHeight="1">
      <c r="A1506" s="67" t="inlineStr">
        <is>
          <t>大甜73</t>
        </is>
      </c>
      <c r="B1506" s="67" t="inlineStr">
        <is>
          <t>1071</t>
        </is>
      </c>
      <c r="C1506" s="67" t="inlineStr">
        <is>
          <t>1614</t>
        </is>
      </c>
      <c r="D1506" s="68" t="inlineStr">
        <is>
          <t>03</t>
        </is>
      </c>
      <c r="E1506" s="68" t="inlineStr">
        <is>
          <t>6 物业施工费</t>
        </is>
      </c>
      <c r="F1506" s="68" t="inlineStr">
        <is>
          <t>6.1 总承包工程</t>
        </is>
      </c>
      <c r="G1506" s="68" t="inlineStr">
        <is>
          <t>6.1.4 空调通风工程</t>
        </is>
      </c>
      <c r="H1506" s="68" t="inlineStr">
        <is>
          <t>空调机/风机安装</t>
        </is>
      </c>
      <c r="I1506" s="69" t="inlineStr">
        <is>
          <t>1000021745</t>
        </is>
      </c>
      <c r="J1506" s="69" t="inlineStr">
        <is>
          <t>空调室外机（含厨房设备室外机）架空钢构平台</t>
        </is>
      </c>
      <c r="K1506" s="70" t="n"/>
      <c r="L1506" s="70" t="n"/>
      <c r="M1506" s="71" t="inlineStr">
        <is>
          <t>吨</t>
        </is>
      </c>
      <c r="N1506" s="72" t="n">
        <v>8999.799999999999</v>
      </c>
      <c r="O1506" s="72">
        <f>ROUND(N1506*(1+$F$10),2)</f>
        <v/>
      </c>
      <c r="P1506" s="73">
        <f>ROUND(K1506*N1506,2)</f>
        <v/>
      </c>
      <c r="Q1506" s="74">
        <f>ROUND(L1506*N1506,2)</f>
        <v/>
      </c>
      <c r="R1506" s="75" t="n"/>
      <c r="S1506" s="76" t="n"/>
      <c r="T1506" s="77">
        <f>K1506-L1506</f>
        <v/>
      </c>
      <c r="U1506" s="77">
        <f>P1506-Q1506</f>
        <v/>
      </c>
      <c r="V1506" s="77">
        <f>ABS(U1506)</f>
        <v/>
      </c>
      <c r="W1506" s="78">
        <f>T1506/L1506</f>
        <v/>
      </c>
      <c r="X1506" s="79">
        <f>ABS(W1506)</f>
        <v/>
      </c>
    </row>
    <row r="1507" ht="11.4" customHeight="1">
      <c r="A1507" s="67" t="inlineStr">
        <is>
          <t>大甜73</t>
        </is>
      </c>
      <c r="B1507" s="67" t="inlineStr">
        <is>
          <t>1071</t>
        </is>
      </c>
      <c r="C1507" s="67" t="inlineStr">
        <is>
          <t>1614</t>
        </is>
      </c>
      <c r="D1507" s="68" t="inlineStr">
        <is>
          <t>03</t>
        </is>
      </c>
      <c r="E1507" s="68" t="inlineStr">
        <is>
          <t>6 物业施工费</t>
        </is>
      </c>
      <c r="F1507" s="68" t="inlineStr">
        <is>
          <t>6.1 总承包工程</t>
        </is>
      </c>
      <c r="G1507" s="68" t="inlineStr">
        <is>
          <t>6.1.4 空调通风工程</t>
        </is>
      </c>
      <c r="H1507" s="68" t="inlineStr">
        <is>
          <t>空调机/风机安装</t>
        </is>
      </c>
      <c r="I1507" s="69" t="inlineStr">
        <is>
          <t>1000021746</t>
        </is>
      </c>
      <c r="J1507" s="69" t="inlineStr">
        <is>
          <t>空调室外机（含厨房设备室外机）混凝土基座</t>
        </is>
      </c>
      <c r="K1507" s="70" t="n"/>
      <c r="L1507" s="70" t="n"/>
      <c r="M1507" s="71" t="inlineStr">
        <is>
          <t>项</t>
        </is>
      </c>
      <c r="N1507" s="72" t="n">
        <v>3313.15</v>
      </c>
      <c r="O1507" s="72">
        <f>ROUND(N1507*(1+$F$10),2)</f>
        <v/>
      </c>
      <c r="P1507" s="73">
        <f>ROUND(K1507*N1507,2)</f>
        <v/>
      </c>
      <c r="Q1507" s="74">
        <f>ROUND(L1507*N1507,2)</f>
        <v/>
      </c>
      <c r="R1507" s="75" t="n"/>
      <c r="S1507" s="76" t="n"/>
      <c r="T1507" s="77">
        <f>K1507-L1507</f>
        <v/>
      </c>
      <c r="U1507" s="77">
        <f>P1507-Q1507</f>
        <v/>
      </c>
      <c r="V1507" s="77">
        <f>ABS(U1507)</f>
        <v/>
      </c>
      <c r="W1507" s="78">
        <f>T1507/L1507</f>
        <v/>
      </c>
      <c r="X1507" s="79">
        <f>ABS(W1507)</f>
        <v/>
      </c>
    </row>
    <row r="1508" ht="11.4" customHeight="1">
      <c r="A1508" s="67" t="inlineStr">
        <is>
          <t>大甜73</t>
        </is>
      </c>
      <c r="B1508" s="67" t="inlineStr">
        <is>
          <t>1071</t>
        </is>
      </c>
      <c r="C1508" s="67" t="inlineStr">
        <is>
          <t>1614</t>
        </is>
      </c>
      <c r="D1508" s="68" t="inlineStr">
        <is>
          <t>03</t>
        </is>
      </c>
      <c r="E1508" s="68" t="inlineStr">
        <is>
          <t>6 物业施工费</t>
        </is>
      </c>
      <c r="F1508" s="68" t="inlineStr">
        <is>
          <t>6.1 总承包工程</t>
        </is>
      </c>
      <c r="G1508" s="68" t="inlineStr">
        <is>
          <t>6.1.4 空调通风工程</t>
        </is>
      </c>
      <c r="H1508" s="68" t="inlineStr">
        <is>
          <t>空调机/风机安装</t>
        </is>
      </c>
      <c r="I1508" s="69" t="inlineStr">
        <is>
          <t>1000022172</t>
        </is>
      </c>
      <c r="J1508" s="69" t="inlineStr">
        <is>
          <t>空调外机铁丝网围壁</t>
        </is>
      </c>
      <c r="K1508" s="70" t="n"/>
      <c r="L1508" s="70" t="n"/>
      <c r="M1508" s="71" t="inlineStr">
        <is>
          <t>m2</t>
        </is>
      </c>
      <c r="N1508" s="72" t="n">
        <v>114.79</v>
      </c>
      <c r="O1508" s="72">
        <f>ROUND(N1508*(1+$F$10),2)</f>
        <v/>
      </c>
      <c r="P1508" s="73">
        <f>ROUND(K1508*N1508,2)</f>
        <v/>
      </c>
      <c r="Q1508" s="74">
        <f>ROUND(L1508*N1508,2)</f>
        <v/>
      </c>
      <c r="R1508" s="75" t="n"/>
      <c r="S1508" s="76" t="n"/>
      <c r="T1508" s="77">
        <f>K1508-L1508</f>
        <v/>
      </c>
      <c r="U1508" s="77">
        <f>P1508-Q1508</f>
        <v/>
      </c>
      <c r="V1508" s="77">
        <f>ABS(U1508)</f>
        <v/>
      </c>
      <c r="W1508" s="78">
        <f>T1508/L1508</f>
        <v/>
      </c>
      <c r="X1508" s="79">
        <f>ABS(W1508)</f>
        <v/>
      </c>
    </row>
    <row r="1509" ht="11.4" customHeight="1">
      <c r="A1509" s="67" t="inlineStr">
        <is>
          <t>大甜45</t>
        </is>
      </c>
      <c r="B1509" s="67" t="inlineStr">
        <is>
          <t>1043</t>
        </is>
      </c>
      <c r="C1509" s="67" t="inlineStr">
        <is>
          <t>1520</t>
        </is>
      </c>
      <c r="D1509" s="68" t="inlineStr">
        <is>
          <t>03</t>
        </is>
      </c>
      <c r="E1509" s="68" t="inlineStr">
        <is>
          <t>5 场地发展费</t>
        </is>
      </c>
      <c r="F1509" s="68" t="inlineStr">
        <is>
          <t>5.2 结构加固</t>
        </is>
      </c>
      <c r="G1509" s="68" t="inlineStr">
        <is>
          <t>结构加固</t>
        </is>
      </c>
      <c r="H1509" s="68" t="inlineStr">
        <is>
          <t>钢结构</t>
        </is>
      </c>
      <c r="I1509" s="69" t="inlineStr">
        <is>
          <t>1000040100</t>
        </is>
      </c>
      <c r="J1509" s="69" t="inlineStr">
        <is>
          <t>钢构空调室外机架空平台刷防锈漆</t>
        </is>
      </c>
      <c r="K1509" s="70" t="n"/>
      <c r="L1509" s="70" t="n"/>
      <c r="M1509" s="71" t="inlineStr">
        <is>
          <t>项</t>
        </is>
      </c>
      <c r="N1509" s="72" t="n"/>
      <c r="O1509" s="72">
        <f>ROUND(N1509*(1+$F$10),2)</f>
        <v/>
      </c>
      <c r="P1509" s="73">
        <f>ROUND(K1509*N1509,2)</f>
        <v/>
      </c>
      <c r="Q1509" s="74">
        <f>ROUND(L1509*N1509,2)</f>
        <v/>
      </c>
      <c r="R1509" s="75" t="n"/>
      <c r="S1509" s="76" t="n"/>
      <c r="T1509" s="77">
        <f>K1509-L1509</f>
        <v/>
      </c>
      <c r="U1509" s="77">
        <f>P1509-Q1509</f>
        <v/>
      </c>
      <c r="V1509" s="77">
        <f>ABS(U1509)</f>
        <v/>
      </c>
      <c r="W1509" s="78">
        <f>T1509/L1509</f>
        <v/>
      </c>
      <c r="X1509" s="79">
        <f>ABS(W1509)</f>
        <v/>
      </c>
    </row>
    <row r="1510" ht="11.4" customHeight="1">
      <c r="A1510" s="67" t="inlineStr">
        <is>
          <t>大甜45</t>
        </is>
      </c>
      <c r="B1510" s="67" t="inlineStr">
        <is>
          <t>1043</t>
        </is>
      </c>
      <c r="C1510" s="67" t="inlineStr">
        <is>
          <t>1520</t>
        </is>
      </c>
      <c r="D1510" s="68" t="inlineStr">
        <is>
          <t>03</t>
        </is>
      </c>
      <c r="E1510" s="68" t="inlineStr">
        <is>
          <t>5 场地发展费</t>
        </is>
      </c>
      <c r="F1510" s="68" t="inlineStr">
        <is>
          <t>5.2 结构加固</t>
        </is>
      </c>
      <c r="G1510" s="68" t="inlineStr">
        <is>
          <t>结构加固</t>
        </is>
      </c>
      <c r="H1510" s="68" t="inlineStr">
        <is>
          <t>结构加固</t>
        </is>
      </c>
      <c r="I1510" s="69" t="inlineStr">
        <is>
          <t>1000040101</t>
        </is>
      </c>
      <c r="J1510" s="69" t="inlineStr">
        <is>
          <t>结构加固</t>
        </is>
      </c>
      <c r="K1510" s="70" t="n"/>
      <c r="L1510" s="70" t="n"/>
      <c r="M1510" s="71" t="inlineStr">
        <is>
          <t>项</t>
        </is>
      </c>
      <c r="N1510" s="72" t="n"/>
      <c r="O1510" s="72">
        <f>ROUND(N1510*(1+$F$10),2)</f>
        <v/>
      </c>
      <c r="P1510" s="73">
        <f>ROUND(K1510*N1510,2)</f>
        <v/>
      </c>
      <c r="Q1510" s="74">
        <f>ROUND(L1510*N1510,2)</f>
        <v/>
      </c>
      <c r="R1510" s="75" t="n"/>
      <c r="S1510" s="76" t="n"/>
      <c r="T1510" s="77">
        <f>K1510-L1510</f>
        <v/>
      </c>
      <c r="U1510" s="77">
        <f>P1510-Q1510</f>
        <v/>
      </c>
      <c r="V1510" s="77">
        <f>ABS(U1510)</f>
        <v/>
      </c>
      <c r="W1510" s="78">
        <f>T1510/L1510</f>
        <v/>
      </c>
      <c r="X1510" s="79">
        <f>ABS(W1510)</f>
        <v/>
      </c>
    </row>
    <row r="1511" ht="11.4" customHeight="1">
      <c r="A1511" s="67" t="inlineStr">
        <is>
          <t>大甜46</t>
        </is>
      </c>
      <c r="B1511" s="67" t="inlineStr">
        <is>
          <t>1044</t>
        </is>
      </c>
      <c r="C1511" s="67" t="inlineStr">
        <is>
          <t>1530</t>
        </is>
      </c>
      <c r="D1511" s="68" t="inlineStr">
        <is>
          <t>03</t>
        </is>
      </c>
      <c r="E1511" s="68" t="inlineStr">
        <is>
          <t>5 场地发展费</t>
        </is>
      </c>
      <c r="F1511" s="68" t="inlineStr">
        <is>
          <t>5.3 物业外工程</t>
        </is>
      </c>
      <c r="G1511" s="68" t="inlineStr">
        <is>
          <t>物业外工程</t>
        </is>
      </c>
      <c r="H1511" s="68" t="inlineStr">
        <is>
          <t>地面</t>
        </is>
      </c>
      <c r="I1511" s="69" t="inlineStr">
        <is>
          <t>1000021446</t>
        </is>
      </c>
      <c r="J1511" s="69" t="inlineStr">
        <is>
          <t>室外地坪及踏步贴砖（琛雄）</t>
        </is>
      </c>
      <c r="K1511" s="70" t="n"/>
      <c r="L1511" s="70" t="n"/>
      <c r="M1511" s="71" t="inlineStr">
        <is>
          <t>m2</t>
        </is>
      </c>
      <c r="N1511" s="72" t="n">
        <v>174.03</v>
      </c>
      <c r="O1511" s="72">
        <f>ROUND(N1511*(1+$F$10),2)</f>
        <v/>
      </c>
      <c r="P1511" s="73">
        <f>ROUND(K1511*N1511,2)</f>
        <v/>
      </c>
      <c r="Q1511" s="74">
        <f>ROUND(L1511*N1511,2)</f>
        <v/>
      </c>
      <c r="R1511" s="75" t="n"/>
      <c r="S1511" s="76" t="n"/>
      <c r="T1511" s="77">
        <f>K1511-L1511</f>
        <v/>
      </c>
      <c r="U1511" s="77">
        <f>P1511-Q1511</f>
        <v/>
      </c>
      <c r="V1511" s="77">
        <f>ABS(U1511)</f>
        <v/>
      </c>
      <c r="W1511" s="78">
        <f>T1511/L1511</f>
        <v/>
      </c>
      <c r="X1511" s="79">
        <f>ABS(W1511)</f>
        <v/>
      </c>
    </row>
    <row r="1512" ht="11.4" customHeight="1">
      <c r="A1512" s="67" t="inlineStr">
        <is>
          <t>大甜46</t>
        </is>
      </c>
      <c r="B1512" s="67" t="inlineStr">
        <is>
          <t>1044</t>
        </is>
      </c>
      <c r="C1512" s="67" t="inlineStr">
        <is>
          <t>1530</t>
        </is>
      </c>
      <c r="D1512" s="68" t="inlineStr">
        <is>
          <t>03</t>
        </is>
      </c>
      <c r="E1512" s="68" t="inlineStr">
        <is>
          <t>5 场地发展费</t>
        </is>
      </c>
      <c r="F1512" s="68" t="inlineStr">
        <is>
          <t>5.3 物业外工程</t>
        </is>
      </c>
      <c r="G1512" s="68" t="inlineStr">
        <is>
          <t>物业外工程</t>
        </is>
      </c>
      <c r="H1512" s="68" t="inlineStr">
        <is>
          <t>地面</t>
        </is>
      </c>
      <c r="I1512" s="69" t="inlineStr">
        <is>
          <t>1000021642</t>
        </is>
      </c>
      <c r="J1512" s="69" t="inlineStr">
        <is>
          <t>室外地坪及踏步贴砖（共荣）</t>
        </is>
      </c>
      <c r="K1512" s="70" t="n"/>
      <c r="L1512" s="70" t="n"/>
      <c r="M1512" s="71" t="inlineStr">
        <is>
          <t>m2</t>
        </is>
      </c>
      <c r="N1512" s="72" t="n">
        <v>159.51</v>
      </c>
      <c r="O1512" s="72">
        <f>ROUND(N1512*(1+$F$10),2)</f>
        <v/>
      </c>
      <c r="P1512" s="73">
        <f>ROUND(K1512*N1512,2)</f>
        <v/>
      </c>
      <c r="Q1512" s="74">
        <f>ROUND(L1512*N1512,2)</f>
        <v/>
      </c>
      <c r="R1512" s="75" t="n"/>
      <c r="S1512" s="76" t="n"/>
      <c r="T1512" s="77">
        <f>K1512-L1512</f>
        <v/>
      </c>
      <c r="U1512" s="77">
        <f>P1512-Q1512</f>
        <v/>
      </c>
      <c r="V1512" s="77">
        <f>ABS(U1512)</f>
        <v/>
      </c>
      <c r="W1512" s="78">
        <f>T1512/L1512</f>
        <v/>
      </c>
      <c r="X1512" s="79">
        <f>ABS(W1512)</f>
        <v/>
      </c>
    </row>
    <row r="1513" ht="11.4" customHeight="1">
      <c r="A1513" s="67" t="inlineStr">
        <is>
          <t>大甜46</t>
        </is>
      </c>
      <c r="B1513" s="67" t="inlineStr">
        <is>
          <t>1044</t>
        </is>
      </c>
      <c r="C1513" s="67" t="inlineStr">
        <is>
          <t>1530</t>
        </is>
      </c>
      <c r="D1513" s="68" t="inlineStr">
        <is>
          <t>03</t>
        </is>
      </c>
      <c r="E1513" s="68" t="inlineStr">
        <is>
          <t>5 场地发展费</t>
        </is>
      </c>
      <c r="F1513" s="68" t="inlineStr">
        <is>
          <t>5.3 物业外工程</t>
        </is>
      </c>
      <c r="G1513" s="68" t="inlineStr">
        <is>
          <t>物业外工程</t>
        </is>
      </c>
      <c r="H1513" s="68" t="inlineStr">
        <is>
          <t>地面</t>
        </is>
      </c>
      <c r="I1513" s="69" t="inlineStr">
        <is>
          <t>1000021447</t>
        </is>
      </c>
      <c r="J1513" s="69" t="inlineStr">
        <is>
          <t>室外地坪及踏步贴砖（冠军）</t>
        </is>
      </c>
      <c r="K1513" s="70" t="n"/>
      <c r="L1513" s="70" t="n"/>
      <c r="M1513" s="71" t="inlineStr">
        <is>
          <t>m2</t>
        </is>
      </c>
      <c r="N1513" s="72" t="n">
        <v>184.92</v>
      </c>
      <c r="O1513" s="72">
        <f>ROUND(N1513*(1+$F$10),2)</f>
        <v/>
      </c>
      <c r="P1513" s="73">
        <f>ROUND(K1513*N1513,2)</f>
        <v/>
      </c>
      <c r="Q1513" s="74">
        <f>ROUND(L1513*N1513,2)</f>
        <v/>
      </c>
      <c r="R1513" s="75" t="n"/>
      <c r="S1513" s="76" t="n"/>
      <c r="T1513" s="77">
        <f>K1513-L1513</f>
        <v/>
      </c>
      <c r="U1513" s="77">
        <f>P1513-Q1513</f>
        <v/>
      </c>
      <c r="V1513" s="77">
        <f>ABS(U1513)</f>
        <v/>
      </c>
      <c r="W1513" s="78">
        <f>T1513/L1513</f>
        <v/>
      </c>
      <c r="X1513" s="79">
        <f>ABS(W1513)</f>
        <v/>
      </c>
    </row>
    <row r="1514" ht="11.4" customHeight="1">
      <c r="A1514" s="67" t="inlineStr">
        <is>
          <t>大甜46</t>
        </is>
      </c>
      <c r="B1514" s="67" t="inlineStr">
        <is>
          <t>1044</t>
        </is>
      </c>
      <c r="C1514" s="67" t="inlineStr">
        <is>
          <t>1530</t>
        </is>
      </c>
      <c r="D1514" s="68" t="inlineStr">
        <is>
          <t>03</t>
        </is>
      </c>
      <c r="E1514" s="68" t="inlineStr">
        <is>
          <t>5 场地发展费</t>
        </is>
      </c>
      <c r="F1514" s="68" t="inlineStr">
        <is>
          <t>5.3 物业外工程</t>
        </is>
      </c>
      <c r="G1514" s="68" t="inlineStr">
        <is>
          <t>物业外工程</t>
        </is>
      </c>
      <c r="H1514" s="68" t="inlineStr">
        <is>
          <t>地面</t>
        </is>
      </c>
      <c r="I1514" s="69" t="inlineStr">
        <is>
          <t>1000021747</t>
        </is>
      </c>
      <c r="J1514" s="69" t="inlineStr">
        <is>
          <t>室外地坪及踏步贴芝麻灰花岗石</t>
        </is>
      </c>
      <c r="K1514" s="70" t="n"/>
      <c r="L1514" s="70" t="n"/>
      <c r="M1514" s="71" t="inlineStr">
        <is>
          <t>m2</t>
        </is>
      </c>
      <c r="N1514" s="72" t="n">
        <v>288.05</v>
      </c>
      <c r="O1514" s="72">
        <f>ROUND(N1514*(1+$F$10),2)</f>
        <v/>
      </c>
      <c r="P1514" s="73">
        <f>ROUND(K1514*N1514,2)</f>
        <v/>
      </c>
      <c r="Q1514" s="74">
        <f>ROUND(L1514*N1514,2)</f>
        <v/>
      </c>
      <c r="R1514" s="75" t="n"/>
      <c r="S1514" s="76" t="n"/>
      <c r="T1514" s="77">
        <f>K1514-L1514</f>
        <v/>
      </c>
      <c r="U1514" s="77">
        <f>P1514-Q1514</f>
        <v/>
      </c>
      <c r="V1514" s="77">
        <f>ABS(U1514)</f>
        <v/>
      </c>
      <c r="W1514" s="78">
        <f>T1514/L1514</f>
        <v/>
      </c>
      <c r="X1514" s="79">
        <f>ABS(W1514)</f>
        <v/>
      </c>
    </row>
    <row r="1515" ht="11.4" customHeight="1">
      <c r="A1515" s="67" t="inlineStr">
        <is>
          <t>大甜46</t>
        </is>
      </c>
      <c r="B1515" s="67" t="inlineStr">
        <is>
          <t>1044</t>
        </is>
      </c>
      <c r="C1515" s="67" t="inlineStr">
        <is>
          <t>1530</t>
        </is>
      </c>
      <c r="D1515" s="68" t="inlineStr">
        <is>
          <t>03</t>
        </is>
      </c>
      <c r="E1515" s="68" t="inlineStr">
        <is>
          <t>5 场地发展费</t>
        </is>
      </c>
      <c r="F1515" s="68" t="inlineStr">
        <is>
          <t>5.3 物业外工程</t>
        </is>
      </c>
      <c r="G1515" s="68" t="inlineStr">
        <is>
          <t>物业外工程</t>
        </is>
      </c>
      <c r="H1515" s="68" t="inlineStr">
        <is>
          <t>地面</t>
        </is>
      </c>
      <c r="I1515" s="69" t="inlineStr">
        <is>
          <t>1000021748</t>
        </is>
      </c>
      <c r="J1515" s="69" t="inlineStr">
        <is>
          <t>室外踏步基础</t>
        </is>
      </c>
      <c r="K1515" s="70" t="n"/>
      <c r="L1515" s="70" t="n"/>
      <c r="M1515" s="71" t="inlineStr">
        <is>
          <t>m3</t>
        </is>
      </c>
      <c r="N1515" s="72" t="n">
        <v>531.74</v>
      </c>
      <c r="O1515" s="72">
        <f>ROUND(N1515*(1+$F$10),2)</f>
        <v/>
      </c>
      <c r="P1515" s="73">
        <f>ROUND(K1515*N1515,2)</f>
        <v/>
      </c>
      <c r="Q1515" s="74">
        <f>ROUND(L1515*N1515,2)</f>
        <v/>
      </c>
      <c r="R1515" s="75" t="n"/>
      <c r="S1515" s="76" t="n"/>
      <c r="T1515" s="77">
        <f>K1515-L1515</f>
        <v/>
      </c>
      <c r="U1515" s="77">
        <f>P1515-Q1515</f>
        <v/>
      </c>
      <c r="V1515" s="77">
        <f>ABS(U1515)</f>
        <v/>
      </c>
      <c r="W1515" s="78">
        <f>T1515/L1515</f>
        <v/>
      </c>
      <c r="X1515" s="79">
        <f>ABS(W1515)</f>
        <v/>
      </c>
    </row>
    <row r="1516" ht="11.4" customHeight="1">
      <c r="A1516" s="67" t="inlineStr">
        <is>
          <t>大甜46</t>
        </is>
      </c>
      <c r="B1516" s="67" t="inlineStr">
        <is>
          <t>1044</t>
        </is>
      </c>
      <c r="C1516" s="67" t="inlineStr">
        <is>
          <t>1530</t>
        </is>
      </c>
      <c r="D1516" s="68" t="inlineStr">
        <is>
          <t>03</t>
        </is>
      </c>
      <c r="E1516" s="68" t="inlineStr">
        <is>
          <t>5 场地发展费</t>
        </is>
      </c>
      <c r="F1516" s="68" t="inlineStr">
        <is>
          <t>5.3 物业外工程</t>
        </is>
      </c>
      <c r="G1516" s="68" t="inlineStr">
        <is>
          <t>物业外工程</t>
        </is>
      </c>
      <c r="H1516" s="68" t="inlineStr">
        <is>
          <t>地面</t>
        </is>
      </c>
      <c r="I1516" s="69" t="inlineStr">
        <is>
          <t>1000021516</t>
        </is>
      </c>
      <c r="J1516" s="69" t="inlineStr">
        <is>
          <t>步级沿口火烧石--防滑条</t>
        </is>
      </c>
      <c r="K1516" s="70" t="n"/>
      <c r="L1516" s="70" t="n"/>
      <c r="M1516" s="71" t="inlineStr">
        <is>
          <t>米</t>
        </is>
      </c>
      <c r="N1516" s="72" t="n">
        <v>47.51</v>
      </c>
      <c r="O1516" s="72">
        <f>ROUND(N1516*(1+$F$10),2)</f>
        <v/>
      </c>
      <c r="P1516" s="73">
        <f>ROUND(K1516*N1516,2)</f>
        <v/>
      </c>
      <c r="Q1516" s="74">
        <f>ROUND(L1516*N1516,2)</f>
        <v/>
      </c>
      <c r="R1516" s="75" t="n"/>
      <c r="S1516" s="76" t="n"/>
      <c r="T1516" s="77">
        <f>K1516-L1516</f>
        <v/>
      </c>
      <c r="U1516" s="77">
        <f>P1516-Q1516</f>
        <v/>
      </c>
      <c r="V1516" s="77">
        <f>ABS(U1516)</f>
        <v/>
      </c>
      <c r="W1516" s="78">
        <f>T1516/L1516</f>
        <v/>
      </c>
      <c r="X1516" s="79">
        <f>ABS(W1516)</f>
        <v/>
      </c>
    </row>
    <row r="1517" ht="11.4" customHeight="1">
      <c r="A1517" s="67" t="inlineStr">
        <is>
          <t>大甜46</t>
        </is>
      </c>
      <c r="B1517" s="67" t="inlineStr">
        <is>
          <t>1044</t>
        </is>
      </c>
      <c r="C1517" s="67" t="inlineStr">
        <is>
          <t>1530</t>
        </is>
      </c>
      <c r="D1517" s="68" t="inlineStr">
        <is>
          <t>03</t>
        </is>
      </c>
      <c r="E1517" s="68" t="inlineStr">
        <is>
          <t>5 场地发展费</t>
        </is>
      </c>
      <c r="F1517" s="68" t="inlineStr">
        <is>
          <t>5.3 物业外工程</t>
        </is>
      </c>
      <c r="G1517" s="68" t="inlineStr">
        <is>
          <t>物业外工程</t>
        </is>
      </c>
      <c r="H1517" s="68" t="inlineStr">
        <is>
          <t>地面</t>
        </is>
      </c>
      <c r="I1517" s="69" t="inlineStr">
        <is>
          <t>1000041816</t>
        </is>
      </c>
      <c r="J1517" s="69" t="inlineStr">
        <is>
          <t>步级沿口火烧石--防滑条（共荣）</t>
        </is>
      </c>
      <c r="K1517" s="70" t="n"/>
      <c r="L1517" s="70" t="n"/>
      <c r="M1517" s="71" t="inlineStr">
        <is>
          <t>米</t>
        </is>
      </c>
      <c r="N1517" s="72" t="n">
        <v>43.88</v>
      </c>
      <c r="O1517" s="72">
        <f>ROUND(N1517*(1+$F$10),2)</f>
        <v/>
      </c>
      <c r="P1517" s="73">
        <f>ROUND(K1517*N1517,2)</f>
        <v/>
      </c>
      <c r="Q1517" s="74">
        <f>ROUND(L1517*N1517,2)</f>
        <v/>
      </c>
      <c r="R1517" s="75" t="n"/>
      <c r="S1517" s="76" t="n"/>
      <c r="T1517" s="77">
        <f>K1517-L1517</f>
        <v/>
      </c>
      <c r="U1517" s="77">
        <f>P1517-Q1517</f>
        <v/>
      </c>
      <c r="V1517" s="77">
        <f>ABS(U1517)</f>
        <v/>
      </c>
      <c r="W1517" s="78">
        <f>T1517/L1517</f>
        <v/>
      </c>
      <c r="X1517" s="79">
        <f>ABS(W1517)</f>
        <v/>
      </c>
    </row>
    <row r="1518" ht="11.4" customHeight="1">
      <c r="A1518" s="67" t="inlineStr">
        <is>
          <t>大甜46</t>
        </is>
      </c>
      <c r="B1518" s="67" t="inlineStr">
        <is>
          <t>1044</t>
        </is>
      </c>
      <c r="C1518" s="67" t="inlineStr">
        <is>
          <t>1530</t>
        </is>
      </c>
      <c r="D1518" s="68" t="inlineStr">
        <is>
          <t>03</t>
        </is>
      </c>
      <c r="E1518" s="68" t="inlineStr">
        <is>
          <t>5 场地发展费</t>
        </is>
      </c>
      <c r="F1518" s="68" t="inlineStr">
        <is>
          <t>5.3 物业外工程</t>
        </is>
      </c>
      <c r="G1518" s="68" t="inlineStr">
        <is>
          <t>物业外工程</t>
        </is>
      </c>
      <c r="H1518" s="68" t="inlineStr">
        <is>
          <t>地面</t>
        </is>
      </c>
      <c r="I1518" s="69" t="inlineStr">
        <is>
          <t>1000041822</t>
        </is>
      </c>
      <c r="J1518" s="69" t="inlineStr">
        <is>
          <t>步级沿口火烧石--防滑条（冠军）</t>
        </is>
      </c>
      <c r="K1518" s="70" t="n"/>
      <c r="L1518" s="70" t="n"/>
      <c r="M1518" s="71" t="inlineStr">
        <is>
          <t>米</t>
        </is>
      </c>
      <c r="N1518" s="72" t="n">
        <v>43.88</v>
      </c>
      <c r="O1518" s="72">
        <f>ROUND(N1518*(1+$F$10),2)</f>
        <v/>
      </c>
      <c r="P1518" s="73">
        <f>ROUND(K1518*N1518,2)</f>
        <v/>
      </c>
      <c r="Q1518" s="74">
        <f>ROUND(L1518*N1518,2)</f>
        <v/>
      </c>
      <c r="R1518" s="75" t="n"/>
      <c r="S1518" s="76" t="n"/>
      <c r="T1518" s="77">
        <f>K1518-L1518</f>
        <v/>
      </c>
      <c r="U1518" s="77">
        <f>P1518-Q1518</f>
        <v/>
      </c>
      <c r="V1518" s="77">
        <f>ABS(U1518)</f>
        <v/>
      </c>
      <c r="W1518" s="78">
        <f>T1518/L1518</f>
        <v/>
      </c>
      <c r="X1518" s="79">
        <f>ABS(W1518)</f>
        <v/>
      </c>
    </row>
    <row r="1519" ht="11.4" customHeight="1">
      <c r="A1519" s="67" t="inlineStr">
        <is>
          <t>大甜46</t>
        </is>
      </c>
      <c r="B1519" s="67" t="inlineStr">
        <is>
          <t>1044</t>
        </is>
      </c>
      <c r="C1519" s="67" t="inlineStr">
        <is>
          <t>1530</t>
        </is>
      </c>
      <c r="D1519" s="68" t="inlineStr">
        <is>
          <t>03</t>
        </is>
      </c>
      <c r="E1519" s="68" t="inlineStr">
        <is>
          <t>5 场地发展费</t>
        </is>
      </c>
      <c r="F1519" s="68" t="inlineStr">
        <is>
          <t>5.3 物业外工程</t>
        </is>
      </c>
      <c r="G1519" s="68" t="inlineStr">
        <is>
          <t>物业外工程</t>
        </is>
      </c>
      <c r="H1519" s="68" t="inlineStr">
        <is>
          <t>墙面</t>
        </is>
      </c>
      <c r="I1519" s="69" t="inlineStr">
        <is>
          <t>1000021620</t>
        </is>
      </c>
      <c r="J1519" s="69" t="inlineStr">
        <is>
          <t>室外其它墙面砖（琛雄）</t>
        </is>
      </c>
      <c r="K1519" s="70" t="n"/>
      <c r="L1519" s="70" t="n"/>
      <c r="M1519" s="71" t="inlineStr">
        <is>
          <t>m2</t>
        </is>
      </c>
      <c r="N1519" s="72" t="n">
        <v>167.98</v>
      </c>
      <c r="O1519" s="72">
        <f>ROUND(N1519*(1+$F$10),2)</f>
        <v/>
      </c>
      <c r="P1519" s="73">
        <f>ROUND(K1519*N1519,2)</f>
        <v/>
      </c>
      <c r="Q1519" s="74">
        <f>ROUND(L1519*N1519,2)</f>
        <v/>
      </c>
      <c r="R1519" s="75" t="n"/>
      <c r="S1519" s="76" t="n"/>
      <c r="T1519" s="77">
        <f>K1519-L1519</f>
        <v/>
      </c>
      <c r="U1519" s="77">
        <f>P1519-Q1519</f>
        <v/>
      </c>
      <c r="V1519" s="77">
        <f>ABS(U1519)</f>
        <v/>
      </c>
      <c r="W1519" s="78">
        <f>T1519/L1519</f>
        <v/>
      </c>
      <c r="X1519" s="79">
        <f>ABS(W1519)</f>
        <v/>
      </c>
    </row>
    <row r="1520" ht="11.4" customHeight="1">
      <c r="A1520" s="67" t="inlineStr">
        <is>
          <t>大甜46</t>
        </is>
      </c>
      <c r="B1520" s="67" t="inlineStr">
        <is>
          <t>1044</t>
        </is>
      </c>
      <c r="C1520" s="67" t="inlineStr">
        <is>
          <t>1530</t>
        </is>
      </c>
      <c r="D1520" s="68" t="inlineStr">
        <is>
          <t>03</t>
        </is>
      </c>
      <c r="E1520" s="68" t="inlineStr">
        <is>
          <t>5 场地发展费</t>
        </is>
      </c>
      <c r="F1520" s="68" t="inlineStr">
        <is>
          <t>5.3 物业外工程</t>
        </is>
      </c>
      <c r="G1520" s="68" t="inlineStr">
        <is>
          <t>物业外工程</t>
        </is>
      </c>
      <c r="H1520" s="68" t="inlineStr">
        <is>
          <t>墙面</t>
        </is>
      </c>
      <c r="I1520" s="69" t="inlineStr">
        <is>
          <t>1000021675</t>
        </is>
      </c>
      <c r="J1520" s="69" t="inlineStr">
        <is>
          <t>室外其它墙面砖（共荣）</t>
        </is>
      </c>
      <c r="K1520" s="70" t="n"/>
      <c r="L1520" s="70" t="n"/>
      <c r="M1520" s="71" t="inlineStr">
        <is>
          <t>m2</t>
        </is>
      </c>
      <c r="N1520" s="72" t="n">
        <v>147.41</v>
      </c>
      <c r="O1520" s="72">
        <f>ROUND(N1520*(1+$F$10),2)</f>
        <v/>
      </c>
      <c r="P1520" s="73">
        <f>ROUND(K1520*N1520,2)</f>
        <v/>
      </c>
      <c r="Q1520" s="74">
        <f>ROUND(L1520*N1520,2)</f>
        <v/>
      </c>
      <c r="R1520" s="75" t="n"/>
      <c r="S1520" s="76" t="n"/>
      <c r="T1520" s="77">
        <f>K1520-L1520</f>
        <v/>
      </c>
      <c r="U1520" s="77">
        <f>P1520-Q1520</f>
        <v/>
      </c>
      <c r="V1520" s="77">
        <f>ABS(U1520)</f>
        <v/>
      </c>
      <c r="W1520" s="78">
        <f>T1520/L1520</f>
        <v/>
      </c>
      <c r="X1520" s="79">
        <f>ABS(W1520)</f>
        <v/>
      </c>
    </row>
    <row r="1521" ht="11.4" customHeight="1">
      <c r="A1521" s="67" t="inlineStr">
        <is>
          <t>大甜46</t>
        </is>
      </c>
      <c r="B1521" s="67" t="inlineStr">
        <is>
          <t>1044</t>
        </is>
      </c>
      <c r="C1521" s="67" t="inlineStr">
        <is>
          <t>1530</t>
        </is>
      </c>
      <c r="D1521" s="68" t="inlineStr">
        <is>
          <t>03</t>
        </is>
      </c>
      <c r="E1521" s="68" t="inlineStr">
        <is>
          <t>5 场地发展费</t>
        </is>
      </c>
      <c r="F1521" s="68" t="inlineStr">
        <is>
          <t>5.3 物业外工程</t>
        </is>
      </c>
      <c r="G1521" s="68" t="inlineStr">
        <is>
          <t>物业外工程</t>
        </is>
      </c>
      <c r="H1521" s="68" t="inlineStr">
        <is>
          <t>墙面</t>
        </is>
      </c>
      <c r="I1521" s="69" t="inlineStr">
        <is>
          <t>1000021621</t>
        </is>
      </c>
      <c r="J1521" s="69" t="inlineStr">
        <is>
          <t>室外其它墙面砖（冠军）</t>
        </is>
      </c>
      <c r="K1521" s="70" t="n"/>
      <c r="L1521" s="70" t="n"/>
      <c r="M1521" s="71" t="inlineStr">
        <is>
          <t>m2</t>
        </is>
      </c>
      <c r="N1521" s="72" t="n">
        <v>169.19</v>
      </c>
      <c r="O1521" s="72">
        <f>ROUND(N1521*(1+$F$10),2)</f>
        <v/>
      </c>
      <c r="P1521" s="73">
        <f>ROUND(K1521*N1521,2)</f>
        <v/>
      </c>
      <c r="Q1521" s="74">
        <f>ROUND(L1521*N1521,2)</f>
        <v/>
      </c>
      <c r="R1521" s="75" t="n"/>
      <c r="S1521" s="76" t="n"/>
      <c r="T1521" s="77">
        <f>K1521-L1521</f>
        <v/>
      </c>
      <c r="U1521" s="77">
        <f>P1521-Q1521</f>
        <v/>
      </c>
      <c r="V1521" s="77">
        <f>ABS(U1521)</f>
        <v/>
      </c>
      <c r="W1521" s="78">
        <f>T1521/L1521</f>
        <v/>
      </c>
      <c r="X1521" s="79">
        <f>ABS(W1521)</f>
        <v/>
      </c>
    </row>
    <row r="1522" ht="11.4" customHeight="1">
      <c r="A1522" s="67" t="inlineStr">
        <is>
          <t>大甜46</t>
        </is>
      </c>
      <c r="B1522" s="67" t="inlineStr">
        <is>
          <t>1044</t>
        </is>
      </c>
      <c r="C1522" s="67" t="inlineStr">
        <is>
          <t>1530</t>
        </is>
      </c>
      <c r="D1522" s="68" t="inlineStr">
        <is>
          <t>03</t>
        </is>
      </c>
      <c r="E1522" s="68" t="inlineStr">
        <is>
          <t>5 场地发展费</t>
        </is>
      </c>
      <c r="F1522" s="68" t="inlineStr">
        <is>
          <t>5.3 物业外工程</t>
        </is>
      </c>
      <c r="G1522" s="68" t="inlineStr">
        <is>
          <t>物业外工程</t>
        </is>
      </c>
      <c r="H1522" s="68" t="inlineStr">
        <is>
          <t>墙面</t>
        </is>
      </c>
      <c r="I1522" s="69" t="inlineStr">
        <is>
          <t>1000021448</t>
        </is>
      </c>
      <c r="J1522" s="69" t="inlineStr">
        <is>
          <t>油烟管及铜管桥架等包外墙铝板</t>
        </is>
      </c>
      <c r="K1522" s="70" t="n"/>
      <c r="L1522" s="70" t="n"/>
      <c r="M1522" s="71" t="inlineStr">
        <is>
          <t>m2</t>
        </is>
      </c>
      <c r="N1522" s="72" t="n">
        <v>376.58</v>
      </c>
      <c r="O1522" s="72">
        <f>ROUND(N1522*(1+$F$10),2)</f>
        <v/>
      </c>
      <c r="P1522" s="73">
        <f>ROUND(K1522*N1522,2)</f>
        <v/>
      </c>
      <c r="Q1522" s="74">
        <f>ROUND(L1522*N1522,2)</f>
        <v/>
      </c>
      <c r="R1522" s="75" t="n"/>
      <c r="S1522" s="76" t="n"/>
      <c r="T1522" s="77">
        <f>K1522-L1522</f>
        <v/>
      </c>
      <c r="U1522" s="77">
        <f>P1522-Q1522</f>
        <v/>
      </c>
      <c r="V1522" s="77">
        <f>ABS(U1522)</f>
        <v/>
      </c>
      <c r="W1522" s="78">
        <f>T1522/L1522</f>
        <v/>
      </c>
      <c r="X1522" s="79">
        <f>ABS(W1522)</f>
        <v/>
      </c>
    </row>
    <row r="1523" ht="11.4" customHeight="1">
      <c r="A1523" s="67" t="inlineStr">
        <is>
          <t>大甜46</t>
        </is>
      </c>
      <c r="B1523" s="67" t="inlineStr">
        <is>
          <t>1044</t>
        </is>
      </c>
      <c r="C1523" s="67" t="inlineStr">
        <is>
          <t>1530</t>
        </is>
      </c>
      <c r="D1523" s="68" t="inlineStr">
        <is>
          <t>03</t>
        </is>
      </c>
      <c r="E1523" s="68" t="inlineStr">
        <is>
          <t>5 场地发展费</t>
        </is>
      </c>
      <c r="F1523" s="68" t="inlineStr">
        <is>
          <t>5.3 物业外工程</t>
        </is>
      </c>
      <c r="G1523" s="68" t="inlineStr">
        <is>
          <t>物业外工程</t>
        </is>
      </c>
      <c r="H1523" s="68" t="inlineStr">
        <is>
          <t>墙面</t>
        </is>
      </c>
      <c r="I1523" s="69" t="inlineStr">
        <is>
          <t>1000040102</t>
        </is>
      </c>
      <c r="J1523" s="69" t="inlineStr">
        <is>
          <t>与业主接壤处装饰及结构处理</t>
        </is>
      </c>
      <c r="K1523" s="70" t="n"/>
      <c r="L1523" s="70" t="n"/>
      <c r="M1523" s="71" t="inlineStr">
        <is>
          <t>项</t>
        </is>
      </c>
      <c r="N1523" s="72" t="n"/>
      <c r="O1523" s="72">
        <f>ROUND(N1523*(1+$F$10),2)</f>
        <v/>
      </c>
      <c r="P1523" s="73">
        <f>ROUND(K1523*N1523,2)</f>
        <v/>
      </c>
      <c r="Q1523" s="74">
        <f>ROUND(L1523*N1523,2)</f>
        <v/>
      </c>
      <c r="R1523" s="75" t="n"/>
      <c r="S1523" s="76" t="n"/>
      <c r="T1523" s="77">
        <f>K1523-L1523</f>
        <v/>
      </c>
      <c r="U1523" s="77">
        <f>P1523-Q1523</f>
        <v/>
      </c>
      <c r="V1523" s="77">
        <f>ABS(U1523)</f>
        <v/>
      </c>
      <c r="W1523" s="78">
        <f>T1523/L1523</f>
        <v/>
      </c>
      <c r="X1523" s="79">
        <f>ABS(W1523)</f>
        <v/>
      </c>
    </row>
    <row r="1524" ht="11.4" customHeight="1">
      <c r="A1524" s="67" t="inlineStr">
        <is>
          <t>大甜46</t>
        </is>
      </c>
      <c r="B1524" s="67" t="inlineStr">
        <is>
          <t>1044</t>
        </is>
      </c>
      <c r="C1524" s="67" t="inlineStr">
        <is>
          <t>1530</t>
        </is>
      </c>
      <c r="D1524" s="68" t="inlineStr">
        <is>
          <t>03</t>
        </is>
      </c>
      <c r="E1524" s="68" t="inlineStr">
        <is>
          <t>5 场地发展费</t>
        </is>
      </c>
      <c r="F1524" s="68" t="inlineStr">
        <is>
          <t>5.3 物业外工程</t>
        </is>
      </c>
      <c r="G1524" s="68" t="inlineStr">
        <is>
          <t>物业外工程</t>
        </is>
      </c>
      <c r="H1524" s="68" t="inlineStr">
        <is>
          <t>墙面</t>
        </is>
      </c>
      <c r="I1524" s="69" t="inlineStr">
        <is>
          <t>1000040103</t>
        </is>
      </c>
      <c r="J1524" s="69" t="inlineStr">
        <is>
          <t>非麦当劳门面之墙体装修（包括与业主商场相邻之墙体外侧装修）</t>
        </is>
      </c>
      <c r="K1524" s="70" t="n"/>
      <c r="L1524" s="70" t="n"/>
      <c r="M1524" s="71" t="inlineStr">
        <is>
          <t>项</t>
        </is>
      </c>
      <c r="N1524" s="72" t="n"/>
      <c r="O1524" s="72">
        <f>ROUND(N1524*(1+$F$10),2)</f>
        <v/>
      </c>
      <c r="P1524" s="73">
        <f>ROUND(K1524*N1524,2)</f>
        <v/>
      </c>
      <c r="Q1524" s="74">
        <f>ROUND(L1524*N1524,2)</f>
        <v/>
      </c>
      <c r="R1524" s="75" t="n"/>
      <c r="S1524" s="76" t="n"/>
      <c r="T1524" s="77">
        <f>K1524-L1524</f>
        <v/>
      </c>
      <c r="U1524" s="77">
        <f>P1524-Q1524</f>
        <v/>
      </c>
      <c r="V1524" s="77">
        <f>ABS(U1524)</f>
        <v/>
      </c>
      <c r="W1524" s="78">
        <f>T1524/L1524</f>
        <v/>
      </c>
      <c r="X1524" s="79">
        <f>ABS(W1524)</f>
        <v/>
      </c>
    </row>
    <row r="1525" ht="11.4" customHeight="1">
      <c r="A1525" s="67" t="inlineStr">
        <is>
          <t>大甜46</t>
        </is>
      </c>
      <c r="B1525" s="67" t="inlineStr">
        <is>
          <t>1044</t>
        </is>
      </c>
      <c r="C1525" s="67" t="inlineStr">
        <is>
          <t>1530</t>
        </is>
      </c>
      <c r="D1525" s="68" t="inlineStr">
        <is>
          <t>03</t>
        </is>
      </c>
      <c r="E1525" s="68" t="inlineStr">
        <is>
          <t>5 场地发展费</t>
        </is>
      </c>
      <c r="F1525" s="68" t="inlineStr">
        <is>
          <t>5.3 物业外工程</t>
        </is>
      </c>
      <c r="G1525" s="68" t="inlineStr">
        <is>
          <t>物业外工程</t>
        </is>
      </c>
      <c r="H1525" s="68" t="inlineStr">
        <is>
          <t>零星绿化</t>
        </is>
      </c>
      <c r="I1525" s="69" t="inlineStr">
        <is>
          <t>1000040032</t>
        </is>
      </c>
      <c r="J1525" s="69" t="inlineStr">
        <is>
          <t>室外零星植物绿化</t>
        </is>
      </c>
      <c r="K1525" s="70" t="n"/>
      <c r="L1525" s="70" t="n"/>
      <c r="M1525" s="71" t="inlineStr">
        <is>
          <t>m2</t>
        </is>
      </c>
      <c r="N1525" s="72" t="n">
        <v>172.07</v>
      </c>
      <c r="O1525" s="72">
        <f>ROUND(N1525*(1+$F$10),2)</f>
        <v/>
      </c>
      <c r="P1525" s="73">
        <f>ROUND(K1525*N1525,2)</f>
        <v/>
      </c>
      <c r="Q1525" s="74">
        <f>ROUND(L1525*N1525,2)</f>
        <v/>
      </c>
      <c r="R1525" s="75" t="n"/>
      <c r="S1525" s="76" t="n"/>
      <c r="T1525" s="77">
        <f>K1525-L1525</f>
        <v/>
      </c>
      <c r="U1525" s="77">
        <f>P1525-Q1525</f>
        <v/>
      </c>
      <c r="V1525" s="77">
        <f>ABS(U1525)</f>
        <v/>
      </c>
      <c r="W1525" s="78">
        <f>T1525/L1525</f>
        <v/>
      </c>
      <c r="X1525" s="79">
        <f>ABS(W1525)</f>
        <v/>
      </c>
    </row>
    <row r="1526" ht="11.4" customHeight="1">
      <c r="A1526" s="67" t="inlineStr">
        <is>
          <t>大甜46</t>
        </is>
      </c>
      <c r="B1526" s="67" t="inlineStr">
        <is>
          <t>1044</t>
        </is>
      </c>
      <c r="C1526" s="67" t="inlineStr">
        <is>
          <t>1530</t>
        </is>
      </c>
      <c r="D1526" s="68" t="inlineStr">
        <is>
          <t>03</t>
        </is>
      </c>
      <c r="E1526" s="68" t="inlineStr">
        <is>
          <t>5 场地发展费</t>
        </is>
      </c>
      <c r="F1526" s="68" t="inlineStr">
        <is>
          <t>5.3 物业外工程</t>
        </is>
      </c>
      <c r="G1526" s="68" t="inlineStr">
        <is>
          <t>物业外工程</t>
        </is>
      </c>
      <c r="H1526" s="68" t="inlineStr">
        <is>
          <t>花槽</t>
        </is>
      </c>
      <c r="I1526" s="69" t="inlineStr">
        <is>
          <t>1000040033</t>
        </is>
      </c>
      <c r="J1526" s="69" t="inlineStr">
        <is>
          <t>独立成品花槽</t>
        </is>
      </c>
      <c r="K1526" s="70" t="n"/>
      <c r="L1526" s="70" t="n"/>
      <c r="M1526" s="71" t="inlineStr">
        <is>
          <t>只</t>
        </is>
      </c>
      <c r="N1526" s="72" t="n">
        <v>1635.14</v>
      </c>
      <c r="O1526" s="72">
        <f>ROUND(N1526*(1+$F$10),2)</f>
        <v/>
      </c>
      <c r="P1526" s="73">
        <f>ROUND(K1526*N1526,2)</f>
        <v/>
      </c>
      <c r="Q1526" s="74">
        <f>ROUND(L1526*N1526,2)</f>
        <v/>
      </c>
      <c r="R1526" s="75" t="n"/>
      <c r="S1526" s="76" t="n"/>
      <c r="T1526" s="77">
        <f>K1526-L1526</f>
        <v/>
      </c>
      <c r="U1526" s="77">
        <f>P1526-Q1526</f>
        <v/>
      </c>
      <c r="V1526" s="77">
        <f>ABS(U1526)</f>
        <v/>
      </c>
      <c r="W1526" s="78">
        <f>T1526/L1526</f>
        <v/>
      </c>
      <c r="X1526" s="79">
        <f>ABS(W1526)</f>
        <v/>
      </c>
    </row>
    <row r="1527" ht="11.4" customHeight="1">
      <c r="A1527" s="67" t="inlineStr">
        <is>
          <t>大甜46</t>
        </is>
      </c>
      <c r="B1527" s="67" t="inlineStr">
        <is>
          <t>1044</t>
        </is>
      </c>
      <c r="C1527" s="67" t="inlineStr">
        <is>
          <t>1530</t>
        </is>
      </c>
      <c r="D1527" s="68" t="inlineStr">
        <is>
          <t>03</t>
        </is>
      </c>
      <c r="E1527" s="68" t="inlineStr">
        <is>
          <t>5 场地发展费</t>
        </is>
      </c>
      <c r="F1527" s="68" t="inlineStr">
        <is>
          <t>5.3 物业外工程</t>
        </is>
      </c>
      <c r="G1527" s="68" t="inlineStr">
        <is>
          <t>物业外工程</t>
        </is>
      </c>
      <c r="H1527" s="68" t="inlineStr">
        <is>
          <t>开洞</t>
        </is>
      </c>
      <c r="I1527" s="69" t="inlineStr">
        <is>
          <t>1000021749</t>
        </is>
      </c>
      <c r="J1527" s="69" t="inlineStr">
        <is>
          <t>分离式厨房楼板开洞费</t>
        </is>
      </c>
      <c r="K1527" s="70" t="n"/>
      <c r="L1527" s="70" t="n"/>
      <c r="M1527" s="71" t="inlineStr">
        <is>
          <t>项</t>
        </is>
      </c>
      <c r="N1527" s="72" t="n">
        <v>1355</v>
      </c>
      <c r="O1527" s="72">
        <f>ROUND(N1527*(1+$F$10),2)</f>
        <v/>
      </c>
      <c r="P1527" s="73">
        <f>ROUND(K1527*N1527,2)</f>
        <v/>
      </c>
      <c r="Q1527" s="74">
        <f>ROUND(L1527*N1527,2)</f>
        <v/>
      </c>
      <c r="R1527" s="75" t="n"/>
      <c r="S1527" s="76" t="n"/>
      <c r="T1527" s="77">
        <f>K1527-L1527</f>
        <v/>
      </c>
      <c r="U1527" s="77">
        <f>P1527-Q1527</f>
        <v/>
      </c>
      <c r="V1527" s="77">
        <f>ABS(U1527)</f>
        <v/>
      </c>
      <c r="W1527" s="78">
        <f>T1527/L1527</f>
        <v/>
      </c>
      <c r="X1527" s="79">
        <f>ABS(W1527)</f>
        <v/>
      </c>
    </row>
    <row r="1528" ht="11.4" customHeight="1">
      <c r="A1528" s="67" t="inlineStr">
        <is>
          <t>大甜47</t>
        </is>
      </c>
      <c r="B1528" s="67" t="inlineStr">
        <is>
          <t>1045</t>
        </is>
      </c>
      <c r="C1528" s="67" t="inlineStr">
        <is>
          <t>1531</t>
        </is>
      </c>
      <c r="D1528" s="68" t="inlineStr">
        <is>
          <t>03</t>
        </is>
      </c>
      <c r="E1528" s="68" t="inlineStr">
        <is>
          <t>5 场地发展费</t>
        </is>
      </c>
      <c r="F1528" s="68" t="inlineStr">
        <is>
          <t>5.4 道路、停车场的地面和路沿石</t>
        </is>
      </c>
      <c r="G1528" s="68" t="inlineStr">
        <is>
          <t>DT道路、停车场的地面和路沿石</t>
        </is>
      </c>
      <c r="H1528" s="68" t="inlineStr">
        <is>
          <t>DT土方运输</t>
        </is>
      </c>
      <c r="I1528" s="69" t="inlineStr">
        <is>
          <t>1000040104</t>
        </is>
      </c>
      <c r="J1528" s="69" t="inlineStr">
        <is>
          <t>土方场外运输</t>
        </is>
      </c>
      <c r="K1528" s="70" t="n"/>
      <c r="L1528" s="70" t="n"/>
      <c r="M1528" s="71" t="inlineStr">
        <is>
          <t>项</t>
        </is>
      </c>
      <c r="N1528" s="72" t="n"/>
      <c r="O1528" s="72">
        <f>ROUND(N1528*(1+$F$10),2)</f>
        <v/>
      </c>
      <c r="P1528" s="73">
        <f>ROUND(K1528*N1528,2)</f>
        <v/>
      </c>
      <c r="Q1528" s="74">
        <f>ROUND(L1528*N1528,2)</f>
        <v/>
      </c>
      <c r="R1528" s="75" t="n"/>
      <c r="S1528" s="76" t="n"/>
      <c r="T1528" s="77">
        <f>K1528-L1528</f>
        <v/>
      </c>
      <c r="U1528" s="77">
        <f>P1528-Q1528</f>
        <v/>
      </c>
      <c r="V1528" s="77">
        <f>ABS(U1528)</f>
        <v/>
      </c>
      <c r="W1528" s="78">
        <f>T1528/L1528</f>
        <v/>
      </c>
      <c r="X1528" s="79">
        <f>ABS(W1528)</f>
        <v/>
      </c>
    </row>
    <row r="1529" ht="11.4" customHeight="1">
      <c r="A1529" s="67" t="inlineStr">
        <is>
          <t>大甜47</t>
        </is>
      </c>
      <c r="B1529" s="67" t="inlineStr">
        <is>
          <t>1045</t>
        </is>
      </c>
      <c r="C1529" s="67" t="inlineStr">
        <is>
          <t>1531</t>
        </is>
      </c>
      <c r="D1529" s="68" t="inlineStr">
        <is>
          <t>03</t>
        </is>
      </c>
      <c r="E1529" s="68" t="inlineStr">
        <is>
          <t>5 场地发展费</t>
        </is>
      </c>
      <c r="F1529" s="68" t="inlineStr">
        <is>
          <t>5.4 道路、停车场的地面和路沿石</t>
        </is>
      </c>
      <c r="G1529" s="68" t="inlineStr">
        <is>
          <t>DT道路、停车场的地面和路沿石</t>
        </is>
      </c>
      <c r="H1529" s="68" t="inlineStr">
        <is>
          <t>DT机械</t>
        </is>
      </c>
      <c r="I1529" s="69" t="inlineStr">
        <is>
          <t>1000040105</t>
        </is>
      </c>
      <c r="J1529" s="69" t="inlineStr">
        <is>
          <t>DT-道路大型机械进出场费</t>
        </is>
      </c>
      <c r="K1529" s="70" t="n"/>
      <c r="L1529" s="70" t="n"/>
      <c r="M1529" s="71" t="inlineStr">
        <is>
          <t>项</t>
        </is>
      </c>
      <c r="N1529" s="72" t="n"/>
      <c r="O1529" s="72">
        <f>ROUND(N1529*(1+$F$10),2)</f>
        <v/>
      </c>
      <c r="P1529" s="73">
        <f>ROUND(K1529*N1529,2)</f>
        <v/>
      </c>
      <c r="Q1529" s="74">
        <f>ROUND(L1529*N1529,2)</f>
        <v/>
      </c>
      <c r="R1529" s="75" t="n"/>
      <c r="S1529" s="76" t="n"/>
      <c r="T1529" s="77">
        <f>K1529-L1529</f>
        <v/>
      </c>
      <c r="U1529" s="77">
        <f>P1529-Q1529</f>
        <v/>
      </c>
      <c r="V1529" s="77">
        <f>ABS(U1529)</f>
        <v/>
      </c>
      <c r="W1529" s="78">
        <f>T1529/L1529</f>
        <v/>
      </c>
      <c r="X1529" s="79">
        <f>ABS(W1529)</f>
        <v/>
      </c>
    </row>
    <row r="1530" ht="11.4" customHeight="1">
      <c r="A1530" s="67" t="inlineStr">
        <is>
          <t>大甜47</t>
        </is>
      </c>
      <c r="B1530" s="67" t="inlineStr">
        <is>
          <t>1045</t>
        </is>
      </c>
      <c r="C1530" s="67" t="inlineStr">
        <is>
          <t>1531</t>
        </is>
      </c>
      <c r="D1530" s="68" t="inlineStr">
        <is>
          <t>03</t>
        </is>
      </c>
      <c r="E1530" s="68" t="inlineStr">
        <is>
          <t>5 场地发展费</t>
        </is>
      </c>
      <c r="F1530" s="68" t="inlineStr">
        <is>
          <t>5.4 道路、停车场的地面和路沿石</t>
        </is>
      </c>
      <c r="G1530" s="68" t="inlineStr">
        <is>
          <t>DT道路、停车场的地面和路沿石</t>
        </is>
      </c>
      <c r="H1530" s="68" t="inlineStr">
        <is>
          <t>DT道路</t>
        </is>
      </c>
      <c r="I1530" s="69" t="inlineStr">
        <is>
          <t>1000021750</t>
        </is>
      </c>
      <c r="J1530" s="69" t="inlineStr">
        <is>
          <t>DT-路沿石</t>
        </is>
      </c>
      <c r="K1530" s="70" t="n"/>
      <c r="L1530" s="70" t="n"/>
      <c r="M1530" s="71" t="inlineStr">
        <is>
          <t>米</t>
        </is>
      </c>
      <c r="N1530" s="72" t="n">
        <v>101.02</v>
      </c>
      <c r="O1530" s="72">
        <f>ROUND(N1530*(1+$F$10),2)</f>
        <v/>
      </c>
      <c r="P1530" s="73">
        <f>ROUND(K1530*N1530,2)</f>
        <v/>
      </c>
      <c r="Q1530" s="74">
        <f>ROUND(L1530*N1530,2)</f>
        <v/>
      </c>
      <c r="R1530" s="75" t="n"/>
      <c r="S1530" s="76" t="n"/>
      <c r="T1530" s="77">
        <f>K1530-L1530</f>
        <v/>
      </c>
      <c r="U1530" s="77">
        <f>P1530-Q1530</f>
        <v/>
      </c>
      <c r="V1530" s="77">
        <f>ABS(U1530)</f>
        <v/>
      </c>
      <c r="W1530" s="78">
        <f>T1530/L1530</f>
        <v/>
      </c>
      <c r="X1530" s="79">
        <f>ABS(W1530)</f>
        <v/>
      </c>
    </row>
    <row r="1531" ht="11.4" customHeight="1">
      <c r="A1531" s="67" t="inlineStr">
        <is>
          <t>大甜47</t>
        </is>
      </c>
      <c r="B1531" s="67" t="inlineStr">
        <is>
          <t>1045</t>
        </is>
      </c>
      <c r="C1531" s="67" t="inlineStr">
        <is>
          <t>1531</t>
        </is>
      </c>
      <c r="D1531" s="68" t="inlineStr">
        <is>
          <t>03</t>
        </is>
      </c>
      <c r="E1531" s="68" t="inlineStr">
        <is>
          <t>5 场地发展费</t>
        </is>
      </c>
      <c r="F1531" s="68" t="inlineStr">
        <is>
          <t>5.4 道路、停车场的地面和路沿石</t>
        </is>
      </c>
      <c r="G1531" s="68" t="inlineStr">
        <is>
          <t>DT道路、停车场的地面和路沿石</t>
        </is>
      </c>
      <c r="H1531" s="68" t="inlineStr">
        <is>
          <t>DT道路</t>
        </is>
      </c>
      <c r="I1531" s="69" t="inlineStr">
        <is>
          <t>1000021751</t>
        </is>
      </c>
      <c r="J1531" s="69" t="inlineStr">
        <is>
          <t>DT-道路基层-水泥石屑</t>
        </is>
      </c>
      <c r="K1531" s="70" t="n"/>
      <c r="L1531" s="70" t="n"/>
      <c r="M1531" s="71" t="inlineStr">
        <is>
          <t>m2</t>
        </is>
      </c>
      <c r="N1531" s="72" t="n">
        <v>108.25</v>
      </c>
      <c r="O1531" s="72">
        <f>ROUND(N1531*(1+$F$10),2)</f>
        <v/>
      </c>
      <c r="P1531" s="73">
        <f>ROUND(K1531*N1531,2)</f>
        <v/>
      </c>
      <c r="Q1531" s="74">
        <f>ROUND(L1531*N1531,2)</f>
        <v/>
      </c>
      <c r="R1531" s="75" t="n"/>
      <c r="S1531" s="76" t="n"/>
      <c r="T1531" s="77">
        <f>K1531-L1531</f>
        <v/>
      </c>
      <c r="U1531" s="77">
        <f>P1531-Q1531</f>
        <v/>
      </c>
      <c r="V1531" s="77">
        <f>ABS(U1531)</f>
        <v/>
      </c>
      <c r="W1531" s="78">
        <f>T1531/L1531</f>
        <v/>
      </c>
      <c r="X1531" s="79">
        <f>ABS(W1531)</f>
        <v/>
      </c>
    </row>
    <row r="1532" ht="11.4" customHeight="1">
      <c r="A1532" s="67" t="inlineStr">
        <is>
          <t>大甜47</t>
        </is>
      </c>
      <c r="B1532" s="67" t="inlineStr">
        <is>
          <t>1045</t>
        </is>
      </c>
      <c r="C1532" s="67" t="inlineStr">
        <is>
          <t>1531</t>
        </is>
      </c>
      <c r="D1532" s="68" t="inlineStr">
        <is>
          <t>03</t>
        </is>
      </c>
      <c r="E1532" s="68" t="inlineStr">
        <is>
          <t>5 场地发展费</t>
        </is>
      </c>
      <c r="F1532" s="68" t="inlineStr">
        <is>
          <t>5.4 道路、停车场的地面和路沿石</t>
        </is>
      </c>
      <c r="G1532" s="68" t="inlineStr">
        <is>
          <t>DT道路、停车场的地面和路沿石</t>
        </is>
      </c>
      <c r="H1532" s="68" t="inlineStr">
        <is>
          <t>DT道路</t>
        </is>
      </c>
      <c r="I1532" s="69" t="inlineStr">
        <is>
          <t>1000021752</t>
        </is>
      </c>
      <c r="J1532" s="69" t="inlineStr">
        <is>
          <t>DT-道路面层-混凝土</t>
        </is>
      </c>
      <c r="K1532" s="70" t="n"/>
      <c r="L1532" s="70" t="n"/>
      <c r="M1532" s="71" t="inlineStr">
        <is>
          <t>m2</t>
        </is>
      </c>
      <c r="N1532" s="72" t="n">
        <v>119.55</v>
      </c>
      <c r="O1532" s="72">
        <f>ROUND(N1532*(1+$F$10),2)</f>
        <v/>
      </c>
      <c r="P1532" s="73">
        <f>ROUND(K1532*N1532,2)</f>
        <v/>
      </c>
      <c r="Q1532" s="74">
        <f>ROUND(L1532*N1532,2)</f>
        <v/>
      </c>
      <c r="R1532" s="75" t="n"/>
      <c r="S1532" s="76" t="n"/>
      <c r="T1532" s="77">
        <f>K1532-L1532</f>
        <v/>
      </c>
      <c r="U1532" s="77">
        <f>P1532-Q1532</f>
        <v/>
      </c>
      <c r="V1532" s="77">
        <f>ABS(U1532)</f>
        <v/>
      </c>
      <c r="W1532" s="78">
        <f>T1532/L1532</f>
        <v/>
      </c>
      <c r="X1532" s="79">
        <f>ABS(W1532)</f>
        <v/>
      </c>
    </row>
    <row r="1533" ht="11.4" customHeight="1">
      <c r="A1533" s="67" t="inlineStr">
        <is>
          <t>大甜47</t>
        </is>
      </c>
      <c r="B1533" s="67" t="inlineStr">
        <is>
          <t>1045</t>
        </is>
      </c>
      <c r="C1533" s="67" t="inlineStr">
        <is>
          <t>1531</t>
        </is>
      </c>
      <c r="D1533" s="68" t="inlineStr">
        <is>
          <t>03</t>
        </is>
      </c>
      <c r="E1533" s="68" t="inlineStr">
        <is>
          <t>5 场地发展费</t>
        </is>
      </c>
      <c r="F1533" s="68" t="inlineStr">
        <is>
          <t>5.4 道路、停车场的地面和路沿石</t>
        </is>
      </c>
      <c r="G1533" s="68" t="inlineStr">
        <is>
          <t>DT道路、停车场的地面和路沿石</t>
        </is>
      </c>
      <c r="H1533" s="68" t="inlineStr">
        <is>
          <t>DT道路</t>
        </is>
      </c>
      <c r="I1533" s="69" t="inlineStr">
        <is>
          <t>1000021753</t>
        </is>
      </c>
      <c r="J1533" s="69" t="inlineStr">
        <is>
          <t>DT-道路面层-沥青+碎石</t>
        </is>
      </c>
      <c r="K1533" s="70" t="n"/>
      <c r="L1533" s="70" t="n"/>
      <c r="M1533" s="71" t="inlineStr">
        <is>
          <t>m2</t>
        </is>
      </c>
      <c r="N1533" s="72" t="n">
        <v>140.3</v>
      </c>
      <c r="O1533" s="72">
        <f>ROUND(N1533*(1+$F$10),2)</f>
        <v/>
      </c>
      <c r="P1533" s="73">
        <f>ROUND(K1533*N1533,2)</f>
        <v/>
      </c>
      <c r="Q1533" s="74">
        <f>ROUND(L1533*N1533,2)</f>
        <v/>
      </c>
      <c r="R1533" s="75" t="n"/>
      <c r="S1533" s="76" t="n"/>
      <c r="T1533" s="77">
        <f>K1533-L1533</f>
        <v/>
      </c>
      <c r="U1533" s="77">
        <f>P1533-Q1533</f>
        <v/>
      </c>
      <c r="V1533" s="77">
        <f>ABS(U1533)</f>
        <v/>
      </c>
      <c r="W1533" s="78">
        <f>T1533/L1533</f>
        <v/>
      </c>
      <c r="X1533" s="79">
        <f>ABS(W1533)</f>
        <v/>
      </c>
    </row>
    <row r="1534" ht="11.4" customHeight="1">
      <c r="A1534" s="67" t="inlineStr">
        <is>
          <t>大甜47</t>
        </is>
      </c>
      <c r="B1534" s="67" t="inlineStr">
        <is>
          <t>1045</t>
        </is>
      </c>
      <c r="C1534" s="67" t="inlineStr">
        <is>
          <t>1531</t>
        </is>
      </c>
      <c r="D1534" s="68" t="inlineStr">
        <is>
          <t>03</t>
        </is>
      </c>
      <c r="E1534" s="68" t="inlineStr">
        <is>
          <t>5 场地发展费</t>
        </is>
      </c>
      <c r="F1534" s="68" t="inlineStr">
        <is>
          <t>5.4 道路、停车场的地面和路沿石</t>
        </is>
      </c>
      <c r="G1534" s="68" t="inlineStr">
        <is>
          <t>DT道路、停车场的地面和路沿石</t>
        </is>
      </c>
      <c r="H1534" s="68" t="inlineStr">
        <is>
          <t>DT道路</t>
        </is>
      </c>
      <c r="I1534" s="69" t="inlineStr">
        <is>
          <t>1000021754</t>
        </is>
      </c>
      <c r="J1534" s="69" t="inlineStr">
        <is>
          <t>DT-拆除道路面层</t>
        </is>
      </c>
      <c r="K1534" s="70" t="n"/>
      <c r="L1534" s="70" t="n"/>
      <c r="M1534" s="71" t="inlineStr">
        <is>
          <t>m2</t>
        </is>
      </c>
      <c r="N1534" s="72" t="n">
        <v>28.27</v>
      </c>
      <c r="O1534" s="72">
        <f>ROUND(N1534*(1+$F$10),2)</f>
        <v/>
      </c>
      <c r="P1534" s="73">
        <f>ROUND(K1534*N1534,2)</f>
        <v/>
      </c>
      <c r="Q1534" s="74">
        <f>ROUND(L1534*N1534,2)</f>
        <v/>
      </c>
      <c r="R1534" s="75" t="n"/>
      <c r="S1534" s="76" t="n"/>
      <c r="T1534" s="77">
        <f>K1534-L1534</f>
        <v/>
      </c>
      <c r="U1534" s="77">
        <f>P1534-Q1534</f>
        <v/>
      </c>
      <c r="V1534" s="77">
        <f>ABS(U1534)</f>
        <v/>
      </c>
      <c r="W1534" s="78">
        <f>T1534/L1534</f>
        <v/>
      </c>
      <c r="X1534" s="79">
        <f>ABS(W1534)</f>
        <v/>
      </c>
    </row>
    <row r="1535" ht="11.4" customHeight="1">
      <c r="A1535" s="67" t="inlineStr">
        <is>
          <t>大甜47</t>
        </is>
      </c>
      <c r="B1535" s="67" t="inlineStr">
        <is>
          <t>1045</t>
        </is>
      </c>
      <c r="C1535" s="67" t="inlineStr">
        <is>
          <t>1531</t>
        </is>
      </c>
      <c r="D1535" s="68" t="inlineStr">
        <is>
          <t>03</t>
        </is>
      </c>
      <c r="E1535" s="68" t="inlineStr">
        <is>
          <t>5 场地发展费</t>
        </is>
      </c>
      <c r="F1535" s="68" t="inlineStr">
        <is>
          <t>5.4 道路、停车场的地面和路沿石</t>
        </is>
      </c>
      <c r="G1535" s="68" t="inlineStr">
        <is>
          <t>DT道路、停车场的地面和路沿石</t>
        </is>
      </c>
      <c r="H1535" s="68" t="inlineStr">
        <is>
          <t>DT道路</t>
        </is>
      </c>
      <c r="I1535" s="69" t="inlineStr">
        <is>
          <t>1000021755</t>
        </is>
      </c>
      <c r="J1535" s="69" t="inlineStr">
        <is>
          <t>DT-感应器预埋</t>
        </is>
      </c>
      <c r="K1535" s="70" t="n"/>
      <c r="L1535" s="70" t="n"/>
      <c r="M1535" s="71" t="inlineStr">
        <is>
          <t>套</t>
        </is>
      </c>
      <c r="N1535" s="72" t="n">
        <v>106.03</v>
      </c>
      <c r="O1535" s="72">
        <f>ROUND(N1535*(1+$F$10),2)</f>
        <v/>
      </c>
      <c r="P1535" s="73">
        <f>ROUND(K1535*N1535,2)</f>
        <v/>
      </c>
      <c r="Q1535" s="74">
        <f>ROUND(L1535*N1535,2)</f>
        <v/>
      </c>
      <c r="R1535" s="75" t="n"/>
      <c r="S1535" s="76" t="n"/>
      <c r="T1535" s="77">
        <f>K1535-L1535</f>
        <v/>
      </c>
      <c r="U1535" s="77">
        <f>P1535-Q1535</f>
        <v/>
      </c>
      <c r="V1535" s="77">
        <f>ABS(U1535)</f>
        <v/>
      </c>
      <c r="W1535" s="78">
        <f>T1535/L1535</f>
        <v/>
      </c>
      <c r="X1535" s="79">
        <f>ABS(W1535)</f>
        <v/>
      </c>
    </row>
    <row r="1536" ht="11.4" customHeight="1">
      <c r="A1536" s="67" t="inlineStr">
        <is>
          <t>大甜47</t>
        </is>
      </c>
      <c r="B1536" s="67" t="inlineStr">
        <is>
          <t>1045</t>
        </is>
      </c>
      <c r="C1536" s="67" t="inlineStr">
        <is>
          <t>1531</t>
        </is>
      </c>
      <c r="D1536" s="68" t="inlineStr">
        <is>
          <t>03</t>
        </is>
      </c>
      <c r="E1536" s="68" t="inlineStr">
        <is>
          <t>5 场地发展费</t>
        </is>
      </c>
      <c r="F1536" s="68" t="inlineStr">
        <is>
          <t>5.4 道路、停车场的地面和路沿石</t>
        </is>
      </c>
      <c r="G1536" s="68" t="inlineStr">
        <is>
          <t>DT道路、停车场的地面和路沿石</t>
        </is>
      </c>
      <c r="H1536" s="68" t="inlineStr">
        <is>
          <t>DT道路</t>
        </is>
      </c>
      <c r="I1536" s="69" t="inlineStr">
        <is>
          <t>1000021756</t>
        </is>
      </c>
      <c r="J1536" s="69" t="inlineStr">
        <is>
          <t>DT-路面、停车场画线</t>
        </is>
      </c>
      <c r="K1536" s="70" t="n"/>
      <c r="L1536" s="70" t="n"/>
      <c r="M1536" s="71" t="inlineStr">
        <is>
          <t>项</t>
        </is>
      </c>
      <c r="N1536" s="72" t="n">
        <v>15300</v>
      </c>
      <c r="O1536" s="72">
        <f>ROUND(N1536*(1+$F$10),2)</f>
        <v/>
      </c>
      <c r="P1536" s="73">
        <f>ROUND(K1536*N1536,2)</f>
        <v/>
      </c>
      <c r="Q1536" s="74">
        <f>ROUND(L1536*N1536,2)</f>
        <v/>
      </c>
      <c r="R1536" s="75" t="n"/>
      <c r="S1536" s="76" t="n"/>
      <c r="T1536" s="77">
        <f>K1536-L1536</f>
        <v/>
      </c>
      <c r="U1536" s="77">
        <f>P1536-Q1536</f>
        <v/>
      </c>
      <c r="V1536" s="77">
        <f>ABS(U1536)</f>
        <v/>
      </c>
      <c r="W1536" s="78">
        <f>T1536/L1536</f>
        <v/>
      </c>
      <c r="X1536" s="79">
        <f>ABS(W1536)</f>
        <v/>
      </c>
    </row>
    <row r="1537" ht="11.4" customHeight="1">
      <c r="A1537" s="67" t="inlineStr">
        <is>
          <t>大甜47</t>
        </is>
      </c>
      <c r="B1537" s="67" t="inlineStr">
        <is>
          <t>1045</t>
        </is>
      </c>
      <c r="C1537" s="67" t="inlineStr">
        <is>
          <t>1531</t>
        </is>
      </c>
      <c r="D1537" s="68" t="inlineStr">
        <is>
          <t>03</t>
        </is>
      </c>
      <c r="E1537" s="68" t="inlineStr">
        <is>
          <t>5 场地发展费</t>
        </is>
      </c>
      <c r="F1537" s="68" t="inlineStr">
        <is>
          <t>5.4 道路、停车场的地面和路沿石</t>
        </is>
      </c>
      <c r="G1537" s="68" t="inlineStr">
        <is>
          <t>DT道路、停车场的地面和路沿石</t>
        </is>
      </c>
      <c r="H1537" s="68" t="inlineStr">
        <is>
          <t>DT道路</t>
        </is>
      </c>
      <c r="I1537" s="69" t="inlineStr">
        <is>
          <t>1000021757</t>
        </is>
      </c>
      <c r="J1537" s="69" t="inlineStr">
        <is>
          <t>DT-停车位限位器（挡轮器）（每套2只）</t>
        </is>
      </c>
      <c r="K1537" s="70" t="n"/>
      <c r="L1537" s="70" t="n"/>
      <c r="M1537" s="71" t="inlineStr">
        <is>
          <t>套</t>
        </is>
      </c>
      <c r="N1537" s="72" t="n">
        <v>60.99</v>
      </c>
      <c r="O1537" s="72">
        <f>ROUND(N1537*(1+$F$10),2)</f>
        <v/>
      </c>
      <c r="P1537" s="73">
        <f>ROUND(K1537*N1537,2)</f>
        <v/>
      </c>
      <c r="Q1537" s="74">
        <f>ROUND(L1537*N1537,2)</f>
        <v/>
      </c>
      <c r="R1537" s="75" t="n"/>
      <c r="S1537" s="76" t="n"/>
      <c r="T1537" s="77">
        <f>K1537-L1537</f>
        <v/>
      </c>
      <c r="U1537" s="77">
        <f>P1537-Q1537</f>
        <v/>
      </c>
      <c r="V1537" s="77">
        <f>ABS(U1537)</f>
        <v/>
      </c>
      <c r="W1537" s="78">
        <f>T1537/L1537</f>
        <v/>
      </c>
      <c r="X1537" s="79">
        <f>ABS(W1537)</f>
        <v/>
      </c>
    </row>
    <row r="1538" ht="11.4" customHeight="1">
      <c r="A1538" s="67" t="inlineStr">
        <is>
          <t>大甜47</t>
        </is>
      </c>
      <c r="B1538" s="67" t="inlineStr">
        <is>
          <t>1045</t>
        </is>
      </c>
      <c r="C1538" s="67" t="inlineStr">
        <is>
          <t>1531</t>
        </is>
      </c>
      <c r="D1538" s="68" t="inlineStr">
        <is>
          <t>03</t>
        </is>
      </c>
      <c r="E1538" s="68" t="inlineStr">
        <is>
          <t>5 场地发展费</t>
        </is>
      </c>
      <c r="F1538" s="68" t="inlineStr">
        <is>
          <t>5.4 道路、停车场的地面和路沿石</t>
        </is>
      </c>
      <c r="G1538" s="68" t="inlineStr">
        <is>
          <t>DT道路、停车场的地面和路沿石</t>
        </is>
      </c>
      <c r="H1538" s="68" t="inlineStr">
        <is>
          <t>DT道路</t>
        </is>
      </c>
      <c r="I1538" s="69" t="inlineStr">
        <is>
          <t>1000021758</t>
        </is>
      </c>
      <c r="J1538" s="69" t="inlineStr">
        <is>
          <t>DT-减速带</t>
        </is>
      </c>
      <c r="K1538" s="70" t="n"/>
      <c r="L1538" s="70" t="n"/>
      <c r="M1538" s="71" t="inlineStr">
        <is>
          <t>米</t>
        </is>
      </c>
      <c r="N1538" s="72" t="n">
        <v>146.19</v>
      </c>
      <c r="O1538" s="72">
        <f>ROUND(N1538*(1+$F$10),2)</f>
        <v/>
      </c>
      <c r="P1538" s="73">
        <f>ROUND(K1538*N1538,2)</f>
        <v/>
      </c>
      <c r="Q1538" s="74">
        <f>ROUND(L1538*N1538,2)</f>
        <v/>
      </c>
      <c r="R1538" s="75" t="n"/>
      <c r="S1538" s="76" t="n"/>
      <c r="T1538" s="77">
        <f>K1538-L1538</f>
        <v/>
      </c>
      <c r="U1538" s="77">
        <f>P1538-Q1538</f>
        <v/>
      </c>
      <c r="V1538" s="77">
        <f>ABS(U1538)</f>
        <v/>
      </c>
      <c r="W1538" s="78">
        <f>T1538/L1538</f>
        <v/>
      </c>
      <c r="X1538" s="79">
        <f>ABS(W1538)</f>
        <v/>
      </c>
    </row>
    <row r="1539" ht="11.4" customHeight="1">
      <c r="A1539" s="67" t="inlineStr">
        <is>
          <t>大甜47</t>
        </is>
      </c>
      <c r="B1539" s="67" t="inlineStr">
        <is>
          <t>1045</t>
        </is>
      </c>
      <c r="C1539" s="67" t="inlineStr">
        <is>
          <t>1531</t>
        </is>
      </c>
      <c r="D1539" s="68" t="inlineStr">
        <is>
          <t>03</t>
        </is>
      </c>
      <c r="E1539" s="68" t="inlineStr">
        <is>
          <t>5 场地发展费</t>
        </is>
      </c>
      <c r="F1539" s="68" t="inlineStr">
        <is>
          <t>5.4 道路、停车场的地面和路沿石</t>
        </is>
      </c>
      <c r="G1539" s="68" t="inlineStr">
        <is>
          <t>DT道路、停车场的地面和路沿石</t>
        </is>
      </c>
      <c r="H1539" s="68" t="inlineStr">
        <is>
          <t>DT地面</t>
        </is>
      </c>
      <c r="I1539" s="69" t="inlineStr">
        <is>
          <t>1000021759</t>
        </is>
      </c>
      <c r="J1539" s="69" t="inlineStr">
        <is>
          <t>DT-植（嵌）草砖</t>
        </is>
      </c>
      <c r="K1539" s="70" t="n"/>
      <c r="L1539" s="70" t="n"/>
      <c r="M1539" s="71" t="inlineStr">
        <is>
          <t>m2</t>
        </is>
      </c>
      <c r="N1539" s="72" t="n">
        <v>265.42</v>
      </c>
      <c r="O1539" s="72">
        <f>ROUND(N1539*(1+$F$10),2)</f>
        <v/>
      </c>
      <c r="P1539" s="73">
        <f>ROUND(K1539*N1539,2)</f>
        <v/>
      </c>
      <c r="Q1539" s="74">
        <f>ROUND(L1539*N1539,2)</f>
        <v/>
      </c>
      <c r="R1539" s="75" t="n"/>
      <c r="S1539" s="76" t="n"/>
      <c r="T1539" s="77">
        <f>K1539-L1539</f>
        <v/>
      </c>
      <c r="U1539" s="77">
        <f>P1539-Q1539</f>
        <v/>
      </c>
      <c r="V1539" s="77">
        <f>ABS(U1539)</f>
        <v/>
      </c>
      <c r="W1539" s="78">
        <f>T1539/L1539</f>
        <v/>
      </c>
      <c r="X1539" s="79">
        <f>ABS(W1539)</f>
        <v/>
      </c>
    </row>
    <row r="1540" ht="11.4" customHeight="1">
      <c r="A1540" s="67" t="inlineStr">
        <is>
          <t>大甜47</t>
        </is>
      </c>
      <c r="B1540" s="67" t="inlineStr">
        <is>
          <t>1045</t>
        </is>
      </c>
      <c r="C1540" s="67" t="inlineStr">
        <is>
          <t>1531</t>
        </is>
      </c>
      <c r="D1540" s="68" t="inlineStr">
        <is>
          <t>03</t>
        </is>
      </c>
      <c r="E1540" s="68" t="inlineStr">
        <is>
          <t>5 场地发展费</t>
        </is>
      </c>
      <c r="F1540" s="68" t="inlineStr">
        <is>
          <t>5.4 道路、停车场的地面和路沿石</t>
        </is>
      </c>
      <c r="G1540" s="68" t="inlineStr">
        <is>
          <t>DT道路、停车场的地面和路沿石</t>
        </is>
      </c>
      <c r="H1540" s="68" t="inlineStr">
        <is>
          <t>DT地面</t>
        </is>
      </c>
      <c r="I1540" s="69" t="inlineStr">
        <is>
          <t>1000021760</t>
        </is>
      </c>
      <c r="J1540" s="69" t="inlineStr">
        <is>
          <t>DT-压花地面（仅压花工艺）</t>
        </is>
      </c>
      <c r="K1540" s="70" t="n"/>
      <c r="L1540" s="70" t="n"/>
      <c r="M1540" s="71" t="inlineStr">
        <is>
          <t>m2</t>
        </is>
      </c>
      <c r="N1540" s="72" t="n">
        <v>40.55</v>
      </c>
      <c r="O1540" s="72">
        <f>ROUND(N1540*(1+$F$10),2)</f>
        <v/>
      </c>
      <c r="P1540" s="73">
        <f>ROUND(K1540*N1540,2)</f>
        <v/>
      </c>
      <c r="Q1540" s="74">
        <f>ROUND(L1540*N1540,2)</f>
        <v/>
      </c>
      <c r="R1540" s="75" t="n"/>
      <c r="S1540" s="76" t="n"/>
      <c r="T1540" s="77">
        <f>K1540-L1540</f>
        <v/>
      </c>
      <c r="U1540" s="77">
        <f>P1540-Q1540</f>
        <v/>
      </c>
      <c r="V1540" s="77">
        <f>ABS(U1540)</f>
        <v/>
      </c>
      <c r="W1540" s="78">
        <f>T1540/L1540</f>
        <v/>
      </c>
      <c r="X1540" s="79">
        <f>ABS(W1540)</f>
        <v/>
      </c>
    </row>
    <row r="1541" ht="11.4" customHeight="1">
      <c r="A1541" s="67" t="inlineStr">
        <is>
          <t>大甜47</t>
        </is>
      </c>
      <c r="B1541" s="67" t="inlineStr">
        <is>
          <t>1045</t>
        </is>
      </c>
      <c r="C1541" s="67" t="inlineStr">
        <is>
          <t>1531</t>
        </is>
      </c>
      <c r="D1541" s="68" t="inlineStr">
        <is>
          <t>03</t>
        </is>
      </c>
      <c r="E1541" s="68" t="inlineStr">
        <is>
          <t>5 场地发展费</t>
        </is>
      </c>
      <c r="F1541" s="68" t="inlineStr">
        <is>
          <t>5.4 道路、停车场的地面和路沿石</t>
        </is>
      </c>
      <c r="G1541" s="68" t="inlineStr">
        <is>
          <t>DT道路、停车场的地面和路沿石</t>
        </is>
      </c>
      <c r="H1541" s="68" t="inlineStr">
        <is>
          <t>DT防护</t>
        </is>
      </c>
      <c r="I1541" s="69" t="inlineStr">
        <is>
          <t>1000021761</t>
        </is>
      </c>
      <c r="J1541" s="69" t="inlineStr">
        <is>
          <t>DT防撞杆</t>
        </is>
      </c>
      <c r="K1541" s="70" t="n"/>
      <c r="L1541" s="70" t="n"/>
      <c r="M1541" s="71" t="inlineStr">
        <is>
          <t>只</t>
        </is>
      </c>
      <c r="N1541" s="72" t="n">
        <v>257.95</v>
      </c>
      <c r="O1541" s="72">
        <f>ROUND(N1541*(1+$F$10),2)</f>
        <v/>
      </c>
      <c r="P1541" s="73">
        <f>ROUND(K1541*N1541,2)</f>
        <v/>
      </c>
      <c r="Q1541" s="74">
        <f>ROUND(L1541*N1541,2)</f>
        <v/>
      </c>
      <c r="R1541" s="75" t="n"/>
      <c r="S1541" s="76" t="n"/>
      <c r="T1541" s="77">
        <f>K1541-L1541</f>
        <v/>
      </c>
      <c r="U1541" s="77">
        <f>P1541-Q1541</f>
        <v/>
      </c>
      <c r="V1541" s="77">
        <f>ABS(U1541)</f>
        <v/>
      </c>
      <c r="W1541" s="78">
        <f>T1541/L1541</f>
        <v/>
      </c>
      <c r="X1541" s="79">
        <f>ABS(W1541)</f>
        <v/>
      </c>
    </row>
    <row r="1542" ht="11.4" customHeight="1">
      <c r="A1542" s="67" t="inlineStr">
        <is>
          <t>大甜47</t>
        </is>
      </c>
      <c r="B1542" s="67" t="inlineStr">
        <is>
          <t>1045</t>
        </is>
      </c>
      <c r="C1542" s="67" t="inlineStr">
        <is>
          <t>1531</t>
        </is>
      </c>
      <c r="D1542" s="68" t="inlineStr">
        <is>
          <t>03</t>
        </is>
      </c>
      <c r="E1542" s="68" t="inlineStr">
        <is>
          <t>5 场地发展费</t>
        </is>
      </c>
      <c r="F1542" s="68" t="inlineStr">
        <is>
          <t>5.4 道路、停车场的地面和路沿石</t>
        </is>
      </c>
      <c r="G1542" s="68" t="inlineStr">
        <is>
          <t>DT道路、停车场的地面和路沿石</t>
        </is>
      </c>
      <c r="H1542" s="68" t="inlineStr">
        <is>
          <t>DT防护</t>
        </is>
      </c>
      <c r="I1542" s="69" t="inlineStr">
        <is>
          <t>1000021762</t>
        </is>
      </c>
      <c r="J1542" s="69" t="inlineStr">
        <is>
          <t>DT防护栏杆安装</t>
        </is>
      </c>
      <c r="K1542" s="70" t="n"/>
      <c r="L1542" s="70" t="n"/>
      <c r="M1542" s="71" t="inlineStr">
        <is>
          <t>只</t>
        </is>
      </c>
      <c r="N1542" s="72" t="n">
        <v>81.83</v>
      </c>
      <c r="O1542" s="72">
        <f>ROUND(N1542*(1+$F$10),2)</f>
        <v/>
      </c>
      <c r="P1542" s="73">
        <f>ROUND(K1542*N1542,2)</f>
        <v/>
      </c>
      <c r="Q1542" s="74">
        <f>ROUND(L1542*N1542,2)</f>
        <v/>
      </c>
      <c r="R1542" s="75" t="n"/>
      <c r="S1542" s="76" t="n"/>
      <c r="T1542" s="77">
        <f>K1542-L1542</f>
        <v/>
      </c>
      <c r="U1542" s="77">
        <f>P1542-Q1542</f>
        <v/>
      </c>
      <c r="V1542" s="77">
        <f>ABS(U1542)</f>
        <v/>
      </c>
      <c r="W1542" s="78">
        <f>T1542/L1542</f>
        <v/>
      </c>
      <c r="X1542" s="79">
        <f>ABS(W1542)</f>
        <v/>
      </c>
    </row>
    <row r="1543" ht="11.4" customHeight="1">
      <c r="A1543" s="67" t="inlineStr">
        <is>
          <t>大甜47</t>
        </is>
      </c>
      <c r="B1543" s="67" t="inlineStr">
        <is>
          <t>1045</t>
        </is>
      </c>
      <c r="C1543" s="67" t="inlineStr">
        <is>
          <t>1531</t>
        </is>
      </c>
      <c r="D1543" s="68" t="inlineStr">
        <is>
          <t>03</t>
        </is>
      </c>
      <c r="E1543" s="68" t="inlineStr">
        <is>
          <t>5 场地发展费</t>
        </is>
      </c>
      <c r="F1543" s="68" t="inlineStr">
        <is>
          <t>5.4 道路、停车场的地面和路沿石</t>
        </is>
      </c>
      <c r="G1543" s="68" t="inlineStr">
        <is>
          <t>DT道路、停车场的地面和路沿石</t>
        </is>
      </c>
      <c r="H1543" s="68" t="inlineStr">
        <is>
          <t>DT埋管、电线</t>
        </is>
      </c>
      <c r="I1543" s="69" t="inlineStr">
        <is>
          <t>1000021763</t>
        </is>
      </c>
      <c r="J1543" s="69" t="inlineStr">
        <is>
          <t>DT-招牌电线</t>
        </is>
      </c>
      <c r="K1543" s="70" t="n"/>
      <c r="L1543" s="70" t="n"/>
      <c r="M1543" s="71" t="inlineStr">
        <is>
          <t>米</t>
        </is>
      </c>
      <c r="N1543" s="72" t="n">
        <v>35.3</v>
      </c>
      <c r="O1543" s="72">
        <f>ROUND(N1543*(1+$F$10),2)</f>
        <v/>
      </c>
      <c r="P1543" s="73">
        <f>ROUND(K1543*N1543,2)</f>
        <v/>
      </c>
      <c r="Q1543" s="74">
        <f>ROUND(L1543*N1543,2)</f>
        <v/>
      </c>
      <c r="R1543" s="75" t="n"/>
      <c r="S1543" s="76" t="n"/>
      <c r="T1543" s="77">
        <f>K1543-L1543</f>
        <v/>
      </c>
      <c r="U1543" s="77">
        <f>P1543-Q1543</f>
        <v/>
      </c>
      <c r="V1543" s="77">
        <f>ABS(U1543)</f>
        <v/>
      </c>
      <c r="W1543" s="78">
        <f>T1543/L1543</f>
        <v/>
      </c>
      <c r="X1543" s="79">
        <f>ABS(W1543)</f>
        <v/>
      </c>
    </row>
    <row r="1544" ht="11.4" customHeight="1">
      <c r="A1544" s="67" t="inlineStr">
        <is>
          <t>大甜48</t>
        </is>
      </c>
      <c r="B1544" s="67" t="inlineStr">
        <is>
          <t>1046</t>
        </is>
      </c>
      <c r="C1544" s="67" t="inlineStr">
        <is>
          <t>1532</t>
        </is>
      </c>
      <c r="D1544" s="68" t="inlineStr">
        <is>
          <t>03</t>
        </is>
      </c>
      <c r="E1544" s="68" t="inlineStr">
        <is>
          <t>5 场地发展费</t>
        </is>
      </c>
      <c r="F1544" s="68" t="inlineStr">
        <is>
          <t>5.5 场地照明</t>
        </is>
      </c>
      <c r="G1544" s="68" t="inlineStr">
        <is>
          <t>DT场地照明</t>
        </is>
      </c>
      <c r="H1544" s="68" t="inlineStr">
        <is>
          <t>DT场地灯具安装</t>
        </is>
      </c>
      <c r="I1544" s="69" t="inlineStr">
        <is>
          <t>1000021764</t>
        </is>
      </c>
      <c r="J1544" s="69" t="inlineStr">
        <is>
          <t>安装DT- L11 单头</t>
        </is>
      </c>
      <c r="K1544" s="70" t="n"/>
      <c r="L1544" s="70" t="n"/>
      <c r="M1544" s="71" t="inlineStr">
        <is>
          <t>个</t>
        </is>
      </c>
      <c r="N1544" s="72" t="n">
        <v>723.4400000000001</v>
      </c>
      <c r="O1544" s="72">
        <f>ROUND(N1544*(1+$F$10),2)</f>
        <v/>
      </c>
      <c r="P1544" s="73">
        <f>ROUND(K1544*N1544,2)</f>
        <v/>
      </c>
      <c r="Q1544" s="74">
        <f>ROUND(L1544*N1544,2)</f>
        <v/>
      </c>
      <c r="R1544" s="75" t="n"/>
      <c r="S1544" s="76" t="n"/>
      <c r="T1544" s="77">
        <f>K1544-L1544</f>
        <v/>
      </c>
      <c r="U1544" s="77">
        <f>P1544-Q1544</f>
        <v/>
      </c>
      <c r="V1544" s="77">
        <f>ABS(U1544)</f>
        <v/>
      </c>
      <c r="W1544" s="78">
        <f>T1544/L1544</f>
        <v/>
      </c>
      <c r="X1544" s="79">
        <f>ABS(W1544)</f>
        <v/>
      </c>
    </row>
    <row r="1545" ht="11.4" customHeight="1">
      <c r="A1545" s="67" t="inlineStr">
        <is>
          <t>大甜48</t>
        </is>
      </c>
      <c r="B1545" s="67" t="inlineStr">
        <is>
          <t>1046</t>
        </is>
      </c>
      <c r="C1545" s="67" t="inlineStr">
        <is>
          <t>1532</t>
        </is>
      </c>
      <c r="D1545" s="68" t="inlineStr">
        <is>
          <t>03</t>
        </is>
      </c>
      <c r="E1545" s="68" t="inlineStr">
        <is>
          <t>5 场地发展费</t>
        </is>
      </c>
      <c r="F1545" s="68" t="inlineStr">
        <is>
          <t>5.5 场地照明</t>
        </is>
      </c>
      <c r="G1545" s="68" t="inlineStr">
        <is>
          <t>DT场地照明</t>
        </is>
      </c>
      <c r="H1545" s="68" t="inlineStr">
        <is>
          <t>DT场地灯具安装</t>
        </is>
      </c>
      <c r="I1545" s="69" t="inlineStr">
        <is>
          <t>1000021765</t>
        </is>
      </c>
      <c r="J1545" s="69" t="inlineStr">
        <is>
          <t>安装DT- L11 双头</t>
        </is>
      </c>
      <c r="K1545" s="70" t="n"/>
      <c r="L1545" s="70" t="n"/>
      <c r="M1545" s="71" t="inlineStr">
        <is>
          <t>个</t>
        </is>
      </c>
      <c r="N1545" s="72" t="n">
        <v>723.4400000000001</v>
      </c>
      <c r="O1545" s="72">
        <f>ROUND(N1545*(1+$F$10),2)</f>
        <v/>
      </c>
      <c r="P1545" s="73">
        <f>ROUND(K1545*N1545,2)</f>
        <v/>
      </c>
      <c r="Q1545" s="74">
        <f>ROUND(L1545*N1545,2)</f>
        <v/>
      </c>
      <c r="R1545" s="75" t="n"/>
      <c r="S1545" s="76" t="n"/>
      <c r="T1545" s="77">
        <f>K1545-L1545</f>
        <v/>
      </c>
      <c r="U1545" s="77">
        <f>P1545-Q1545</f>
        <v/>
      </c>
      <c r="V1545" s="77">
        <f>ABS(U1545)</f>
        <v/>
      </c>
      <c r="W1545" s="78">
        <f>T1545/L1545</f>
        <v/>
      </c>
      <c r="X1545" s="79">
        <f>ABS(W1545)</f>
        <v/>
      </c>
    </row>
    <row r="1546" ht="11.4" customHeight="1">
      <c r="A1546" s="67" t="inlineStr">
        <is>
          <t>大甜48</t>
        </is>
      </c>
      <c r="B1546" s="67" t="inlineStr">
        <is>
          <t>1046</t>
        </is>
      </c>
      <c r="C1546" s="67" t="inlineStr">
        <is>
          <t>1532</t>
        </is>
      </c>
      <c r="D1546" s="68" t="inlineStr">
        <is>
          <t>03</t>
        </is>
      </c>
      <c r="E1546" s="68" t="inlineStr">
        <is>
          <t>5 场地发展费</t>
        </is>
      </c>
      <c r="F1546" s="68" t="inlineStr">
        <is>
          <t>5.5 场地照明</t>
        </is>
      </c>
      <c r="G1546" s="68" t="inlineStr">
        <is>
          <t>DT场地照明</t>
        </is>
      </c>
      <c r="H1546" s="68" t="inlineStr">
        <is>
          <t>DT场地灯具安装</t>
        </is>
      </c>
      <c r="I1546" s="69" t="inlineStr">
        <is>
          <t>1000021766</t>
        </is>
      </c>
      <c r="J1546" s="69" t="inlineStr">
        <is>
          <t>安装DT- LED时尚草坪灯具500MM  L12</t>
        </is>
      </c>
      <c r="K1546" s="70" t="n"/>
      <c r="L1546" s="70" t="n"/>
      <c r="M1546" s="71" t="inlineStr">
        <is>
          <t>个</t>
        </is>
      </c>
      <c r="N1546" s="72" t="n">
        <v>137.35</v>
      </c>
      <c r="O1546" s="72">
        <f>ROUND(N1546*(1+$F$10),2)</f>
        <v/>
      </c>
      <c r="P1546" s="73">
        <f>ROUND(K1546*N1546,2)</f>
        <v/>
      </c>
      <c r="Q1546" s="74">
        <f>ROUND(L1546*N1546,2)</f>
        <v/>
      </c>
      <c r="R1546" s="75" t="n"/>
      <c r="S1546" s="76" t="n"/>
      <c r="T1546" s="77">
        <f>K1546-L1546</f>
        <v/>
      </c>
      <c r="U1546" s="77">
        <f>P1546-Q1546</f>
        <v/>
      </c>
      <c r="V1546" s="77">
        <f>ABS(U1546)</f>
        <v/>
      </c>
      <c r="W1546" s="78">
        <f>T1546/L1546</f>
        <v/>
      </c>
      <c r="X1546" s="79">
        <f>ABS(W1546)</f>
        <v/>
      </c>
    </row>
    <row r="1547" ht="11.4" customHeight="1">
      <c r="A1547" s="67" t="inlineStr">
        <is>
          <t>大甜48</t>
        </is>
      </c>
      <c r="B1547" s="67" t="inlineStr">
        <is>
          <t>1046</t>
        </is>
      </c>
      <c r="C1547" s="67" t="inlineStr">
        <is>
          <t>1532</t>
        </is>
      </c>
      <c r="D1547" s="68" t="inlineStr">
        <is>
          <t>03</t>
        </is>
      </c>
      <c r="E1547" s="68" t="inlineStr">
        <is>
          <t>5 场地发展费</t>
        </is>
      </c>
      <c r="F1547" s="68" t="inlineStr">
        <is>
          <t>5.5 场地照明</t>
        </is>
      </c>
      <c r="G1547" s="68" t="inlineStr">
        <is>
          <t>DT场地照明</t>
        </is>
      </c>
      <c r="H1547" s="68" t="inlineStr">
        <is>
          <t>DT场地灯具安装</t>
        </is>
      </c>
      <c r="I1547" s="69" t="inlineStr">
        <is>
          <t>1000021767</t>
        </is>
      </c>
      <c r="J1547" s="69" t="inlineStr">
        <is>
          <t>DT-安装 飞利浦牌36w防水防尘荧光灯1管</t>
        </is>
      </c>
      <c r="K1547" s="70" t="n"/>
      <c r="L1547" s="70" t="n"/>
      <c r="M1547" s="71" t="inlineStr">
        <is>
          <t>个</t>
        </is>
      </c>
      <c r="N1547" s="72" t="n">
        <v>151.65</v>
      </c>
      <c r="O1547" s="72">
        <f>ROUND(N1547*(1+$F$10),2)</f>
        <v/>
      </c>
      <c r="P1547" s="73">
        <f>ROUND(K1547*N1547,2)</f>
        <v/>
      </c>
      <c r="Q1547" s="74">
        <f>ROUND(L1547*N1547,2)</f>
        <v/>
      </c>
      <c r="R1547" s="75" t="n"/>
      <c r="S1547" s="76" t="n"/>
      <c r="T1547" s="77">
        <f>K1547-L1547</f>
        <v/>
      </c>
      <c r="U1547" s="77">
        <f>P1547-Q1547</f>
        <v/>
      </c>
      <c r="V1547" s="77">
        <f>ABS(U1547)</f>
        <v/>
      </c>
      <c r="W1547" s="78">
        <f>T1547/L1547</f>
        <v/>
      </c>
      <c r="X1547" s="79">
        <f>ABS(W1547)</f>
        <v/>
      </c>
    </row>
    <row r="1548" ht="11.4" customHeight="1">
      <c r="A1548" s="67" t="inlineStr">
        <is>
          <t>大甜48</t>
        </is>
      </c>
      <c r="B1548" s="67" t="inlineStr">
        <is>
          <t>1046</t>
        </is>
      </c>
      <c r="C1548" s="67" t="inlineStr">
        <is>
          <t>1532</t>
        </is>
      </c>
      <c r="D1548" s="68" t="inlineStr">
        <is>
          <t>03</t>
        </is>
      </c>
      <c r="E1548" s="68" t="inlineStr">
        <is>
          <t>5 场地发展费</t>
        </is>
      </c>
      <c r="F1548" s="68" t="inlineStr">
        <is>
          <t>5.5 场地照明</t>
        </is>
      </c>
      <c r="G1548" s="68" t="inlineStr">
        <is>
          <t>DT场地照明</t>
        </is>
      </c>
      <c r="H1548" s="68" t="inlineStr">
        <is>
          <t>DT场地灯具安装</t>
        </is>
      </c>
      <c r="I1548" s="69" t="inlineStr">
        <is>
          <t>1000021768</t>
        </is>
      </c>
      <c r="J1548" s="69" t="inlineStr">
        <is>
          <t>DT-安装 飞利浦牌36w防水防尘荧光灯2管</t>
        </is>
      </c>
      <c r="K1548" s="70" t="n"/>
      <c r="L1548" s="70" t="n"/>
      <c r="M1548" s="71" t="inlineStr">
        <is>
          <t>个</t>
        </is>
      </c>
      <c r="N1548" s="72" t="n">
        <v>151.65</v>
      </c>
      <c r="O1548" s="72">
        <f>ROUND(N1548*(1+$F$10),2)</f>
        <v/>
      </c>
      <c r="P1548" s="73">
        <f>ROUND(K1548*N1548,2)</f>
        <v/>
      </c>
      <c r="Q1548" s="74">
        <f>ROUND(L1548*N1548,2)</f>
        <v/>
      </c>
      <c r="R1548" s="75" t="n"/>
      <c r="S1548" s="76" t="n"/>
      <c r="T1548" s="77">
        <f>K1548-L1548</f>
        <v/>
      </c>
      <c r="U1548" s="77">
        <f>P1548-Q1548</f>
        <v/>
      </c>
      <c r="V1548" s="77">
        <f>ABS(U1548)</f>
        <v/>
      </c>
      <c r="W1548" s="78">
        <f>T1548/L1548</f>
        <v/>
      </c>
      <c r="X1548" s="79">
        <f>ABS(W1548)</f>
        <v/>
      </c>
    </row>
    <row r="1549" ht="11.4" customHeight="1">
      <c r="A1549" s="67" t="inlineStr">
        <is>
          <t>大甜48</t>
        </is>
      </c>
      <c r="B1549" s="67" t="inlineStr">
        <is>
          <t>1046</t>
        </is>
      </c>
      <c r="C1549" s="67" t="inlineStr">
        <is>
          <t>1532</t>
        </is>
      </c>
      <c r="D1549" s="68" t="inlineStr">
        <is>
          <t>03</t>
        </is>
      </c>
      <c r="E1549" s="68" t="inlineStr">
        <is>
          <t>5 场地发展费</t>
        </is>
      </c>
      <c r="F1549" s="68" t="inlineStr">
        <is>
          <t>5.5 场地照明</t>
        </is>
      </c>
      <c r="G1549" s="68" t="inlineStr">
        <is>
          <t>DT场地照明</t>
        </is>
      </c>
      <c r="H1549" s="68" t="inlineStr">
        <is>
          <t>DT场地管线敷设</t>
        </is>
      </c>
      <c r="I1549" s="69" t="inlineStr">
        <is>
          <t>1000021769</t>
        </is>
      </c>
      <c r="J1549" s="69" t="inlineStr">
        <is>
          <t>DT-路灯电气管线敷设（含草坪灯管线）</t>
        </is>
      </c>
      <c r="K1549" s="70" t="n"/>
      <c r="L1549" s="70" t="n"/>
      <c r="M1549" s="71" t="inlineStr">
        <is>
          <t>米</t>
        </is>
      </c>
      <c r="N1549" s="72" t="n">
        <v>56.98</v>
      </c>
      <c r="O1549" s="72">
        <f>ROUND(N1549*(1+$F$10),2)</f>
        <v/>
      </c>
      <c r="P1549" s="73">
        <f>ROUND(K1549*N1549,2)</f>
        <v/>
      </c>
      <c r="Q1549" s="74">
        <f>ROUND(L1549*N1549,2)</f>
        <v/>
      </c>
      <c r="R1549" s="75" t="n"/>
      <c r="S1549" s="76" t="n"/>
      <c r="T1549" s="77">
        <f>K1549-L1549</f>
        <v/>
      </c>
      <c r="U1549" s="77">
        <f>P1549-Q1549</f>
        <v/>
      </c>
      <c r="V1549" s="77">
        <f>ABS(U1549)</f>
        <v/>
      </c>
      <c r="W1549" s="78">
        <f>T1549/L1549</f>
        <v/>
      </c>
      <c r="X1549" s="79">
        <f>ABS(W1549)</f>
        <v/>
      </c>
    </row>
    <row r="1550" ht="11.4" customHeight="1">
      <c r="A1550" s="67" t="inlineStr">
        <is>
          <t>大甜48</t>
        </is>
      </c>
      <c r="B1550" s="67" t="inlineStr">
        <is>
          <t>1046</t>
        </is>
      </c>
      <c r="C1550" s="67" t="inlineStr">
        <is>
          <t>1532</t>
        </is>
      </c>
      <c r="D1550" s="68" t="inlineStr">
        <is>
          <t>03</t>
        </is>
      </c>
      <c r="E1550" s="68" t="inlineStr">
        <is>
          <t>5 场地发展费</t>
        </is>
      </c>
      <c r="F1550" s="68" t="inlineStr">
        <is>
          <t>5.5 场地照明</t>
        </is>
      </c>
      <c r="G1550" s="68" t="inlineStr">
        <is>
          <t>DT场地照明</t>
        </is>
      </c>
      <c r="H1550" s="68" t="inlineStr">
        <is>
          <t>DT场地灯具主材</t>
        </is>
      </c>
      <c r="I1550" s="69" t="inlineStr">
        <is>
          <t>1000021449</t>
        </is>
      </c>
      <c r="J1550" s="69" t="inlineStr">
        <is>
          <t>DT-PHILIPS-L11-单头</t>
        </is>
      </c>
      <c r="K1550" s="70" t="n"/>
      <c r="L1550" s="70" t="n"/>
      <c r="M1550" s="71" t="inlineStr">
        <is>
          <t>个</t>
        </is>
      </c>
      <c r="N1550" s="72" t="n">
        <v>3230.77</v>
      </c>
      <c r="O1550" s="72">
        <f>ROUND(N1550*(1+$F$10),2)</f>
        <v/>
      </c>
      <c r="P1550" s="73">
        <f>ROUND(K1550*N1550,2)</f>
        <v/>
      </c>
      <c r="Q1550" s="74">
        <f>ROUND(L1550*N1550,2)</f>
        <v/>
      </c>
      <c r="R1550" s="75" t="n"/>
      <c r="S1550" s="76" t="n"/>
      <c r="T1550" s="77">
        <f>K1550-L1550</f>
        <v/>
      </c>
      <c r="U1550" s="77">
        <f>P1550-Q1550</f>
        <v/>
      </c>
      <c r="V1550" s="77">
        <f>ABS(U1550)</f>
        <v/>
      </c>
      <c r="W1550" s="78">
        <f>T1550/L1550</f>
        <v/>
      </c>
      <c r="X1550" s="79">
        <f>ABS(W1550)</f>
        <v/>
      </c>
    </row>
    <row r="1551" ht="11.4" customHeight="1">
      <c r="A1551" s="67" t="inlineStr">
        <is>
          <t>大甜48</t>
        </is>
      </c>
      <c r="B1551" s="67" t="inlineStr">
        <is>
          <t>1046</t>
        </is>
      </c>
      <c r="C1551" s="67" t="inlineStr">
        <is>
          <t>1532</t>
        </is>
      </c>
      <c r="D1551" s="68" t="inlineStr">
        <is>
          <t>03</t>
        </is>
      </c>
      <c r="E1551" s="68" t="inlineStr">
        <is>
          <t>5 场地发展费</t>
        </is>
      </c>
      <c r="F1551" s="68" t="inlineStr">
        <is>
          <t>5.5 场地照明</t>
        </is>
      </c>
      <c r="G1551" s="68" t="inlineStr">
        <is>
          <t>DT场地照明</t>
        </is>
      </c>
      <c r="H1551" s="68" t="inlineStr">
        <is>
          <t>DT场地灯具主材</t>
        </is>
      </c>
      <c r="I1551" s="69" t="inlineStr">
        <is>
          <t>1000021450</t>
        </is>
      </c>
      <c r="J1551" s="69" t="inlineStr">
        <is>
          <t>DT-PHILIPS-L11-双头</t>
        </is>
      </c>
      <c r="K1551" s="70" t="n"/>
      <c r="L1551" s="70" t="n"/>
      <c r="M1551" s="71" t="inlineStr">
        <is>
          <t>个</t>
        </is>
      </c>
      <c r="N1551" s="72" t="n">
        <v>5115.38</v>
      </c>
      <c r="O1551" s="72">
        <f>ROUND(N1551*(1+$F$10),2)</f>
        <v/>
      </c>
      <c r="P1551" s="73">
        <f>ROUND(K1551*N1551,2)</f>
        <v/>
      </c>
      <c r="Q1551" s="74">
        <f>ROUND(L1551*N1551,2)</f>
        <v/>
      </c>
      <c r="R1551" s="75" t="n"/>
      <c r="S1551" s="76" t="n"/>
      <c r="T1551" s="77">
        <f>K1551-L1551</f>
        <v/>
      </c>
      <c r="U1551" s="77">
        <f>P1551-Q1551</f>
        <v/>
      </c>
      <c r="V1551" s="77">
        <f>ABS(U1551)</f>
        <v/>
      </c>
      <c r="W1551" s="78">
        <f>T1551/L1551</f>
        <v/>
      </c>
      <c r="X1551" s="79">
        <f>ABS(W1551)</f>
        <v/>
      </c>
    </row>
    <row r="1552" ht="11.4" customHeight="1">
      <c r="A1552" s="67" t="inlineStr">
        <is>
          <t>大甜48</t>
        </is>
      </c>
      <c r="B1552" s="67" t="inlineStr">
        <is>
          <t>1046</t>
        </is>
      </c>
      <c r="C1552" s="67" t="inlineStr">
        <is>
          <t>1532</t>
        </is>
      </c>
      <c r="D1552" s="68" t="inlineStr">
        <is>
          <t>03</t>
        </is>
      </c>
      <c r="E1552" s="68" t="inlineStr">
        <is>
          <t>5 场地发展费</t>
        </is>
      </c>
      <c r="F1552" s="68" t="inlineStr">
        <is>
          <t>5.5 场地照明</t>
        </is>
      </c>
      <c r="G1552" s="68" t="inlineStr">
        <is>
          <t>DT场地照明</t>
        </is>
      </c>
      <c r="H1552" s="68" t="inlineStr">
        <is>
          <t>DT场地灯具主材</t>
        </is>
      </c>
      <c r="I1552" s="69" t="inlineStr">
        <is>
          <t>1000021451</t>
        </is>
      </c>
      <c r="J1552" s="69" t="inlineStr">
        <is>
          <t>DT-PHILIPSLED时尚草坪灯具500MM-L12</t>
        </is>
      </c>
      <c r="K1552" s="70" t="n"/>
      <c r="L1552" s="70" t="n"/>
      <c r="M1552" s="71" t="inlineStr">
        <is>
          <t>个</t>
        </is>
      </c>
      <c r="N1552" s="72" t="n">
        <v>565.38</v>
      </c>
      <c r="O1552" s="72">
        <f>ROUND(N1552*(1+$F$10),2)</f>
        <v/>
      </c>
      <c r="P1552" s="73">
        <f>ROUND(K1552*N1552,2)</f>
        <v/>
      </c>
      <c r="Q1552" s="74">
        <f>ROUND(L1552*N1552,2)</f>
        <v/>
      </c>
      <c r="R1552" s="75" t="n"/>
      <c r="S1552" s="76" t="n"/>
      <c r="T1552" s="77">
        <f>K1552-L1552</f>
        <v/>
      </c>
      <c r="U1552" s="77">
        <f>P1552-Q1552</f>
        <v/>
      </c>
      <c r="V1552" s="77">
        <f>ABS(U1552)</f>
        <v/>
      </c>
      <c r="W1552" s="78">
        <f>T1552/L1552</f>
        <v/>
      </c>
      <c r="X1552" s="79">
        <f>ABS(W1552)</f>
        <v/>
      </c>
    </row>
    <row r="1553" ht="11.4" customHeight="1">
      <c r="A1553" s="67" t="inlineStr">
        <is>
          <t>大甜48</t>
        </is>
      </c>
      <c r="B1553" s="67" t="inlineStr">
        <is>
          <t>1046</t>
        </is>
      </c>
      <c r="C1553" s="67" t="inlineStr">
        <is>
          <t>1532</t>
        </is>
      </c>
      <c r="D1553" s="68" t="inlineStr">
        <is>
          <t>03</t>
        </is>
      </c>
      <c r="E1553" s="68" t="inlineStr">
        <is>
          <t>5 场地发展费</t>
        </is>
      </c>
      <c r="F1553" s="68" t="inlineStr">
        <is>
          <t>5.5 场地照明</t>
        </is>
      </c>
      <c r="G1553" s="68" t="inlineStr">
        <is>
          <t>DT场地照明</t>
        </is>
      </c>
      <c r="H1553" s="68" t="inlineStr">
        <is>
          <t>DT场地灯具主材</t>
        </is>
      </c>
      <c r="I1553" s="69" t="inlineStr">
        <is>
          <t>1000021562</t>
        </is>
      </c>
      <c r="J1553" s="69" t="inlineStr">
        <is>
          <t>DT-OSRAM  L11 单头</t>
        </is>
      </c>
      <c r="K1553" s="70" t="n"/>
      <c r="L1553" s="70" t="n"/>
      <c r="M1553" s="71" t="inlineStr">
        <is>
          <t>个</t>
        </is>
      </c>
      <c r="N1553" s="72" t="n">
        <v>2789.23</v>
      </c>
      <c r="O1553" s="72">
        <f>ROUND(N1553*(1+$F$10),2)</f>
        <v/>
      </c>
      <c r="P1553" s="73">
        <f>ROUND(K1553*N1553,2)</f>
        <v/>
      </c>
      <c r="Q1553" s="74">
        <f>ROUND(L1553*N1553,2)</f>
        <v/>
      </c>
      <c r="R1553" s="75" t="n"/>
      <c r="S1553" s="76" t="n"/>
      <c r="T1553" s="77">
        <f>K1553-L1553</f>
        <v/>
      </c>
      <c r="U1553" s="77">
        <f>P1553-Q1553</f>
        <v/>
      </c>
      <c r="V1553" s="77">
        <f>ABS(U1553)</f>
        <v/>
      </c>
      <c r="W1553" s="78">
        <f>T1553/L1553</f>
        <v/>
      </c>
      <c r="X1553" s="79">
        <f>ABS(W1553)</f>
        <v/>
      </c>
    </row>
    <row r="1554" ht="11.4" customHeight="1">
      <c r="A1554" s="67" t="inlineStr">
        <is>
          <t>大甜48</t>
        </is>
      </c>
      <c r="B1554" s="67" t="inlineStr">
        <is>
          <t>1046</t>
        </is>
      </c>
      <c r="C1554" s="67" t="inlineStr">
        <is>
          <t>1532</t>
        </is>
      </c>
      <c r="D1554" s="68" t="inlineStr">
        <is>
          <t>03</t>
        </is>
      </c>
      <c r="E1554" s="68" t="inlineStr">
        <is>
          <t>5 场地发展费</t>
        </is>
      </c>
      <c r="F1554" s="68" t="inlineStr">
        <is>
          <t>5.5 场地照明</t>
        </is>
      </c>
      <c r="G1554" s="68" t="inlineStr">
        <is>
          <t>DT场地照明</t>
        </is>
      </c>
      <c r="H1554" s="68" t="inlineStr">
        <is>
          <t>DT场地灯具主材</t>
        </is>
      </c>
      <c r="I1554" s="69" t="inlineStr">
        <is>
          <t>1000021563</t>
        </is>
      </c>
      <c r="J1554" s="69" t="inlineStr">
        <is>
          <t>DT-OSRAM  L11 双头</t>
        </is>
      </c>
      <c r="K1554" s="70" t="n"/>
      <c r="L1554" s="70" t="n"/>
      <c r="M1554" s="71" t="inlineStr">
        <is>
          <t>个</t>
        </is>
      </c>
      <c r="N1554" s="72" t="n">
        <v>4173.08</v>
      </c>
      <c r="O1554" s="72">
        <f>ROUND(N1554*(1+$F$10),2)</f>
        <v/>
      </c>
      <c r="P1554" s="73">
        <f>ROUND(K1554*N1554,2)</f>
        <v/>
      </c>
      <c r="Q1554" s="74">
        <f>ROUND(L1554*N1554,2)</f>
        <v/>
      </c>
      <c r="R1554" s="75" t="n"/>
      <c r="S1554" s="76" t="n"/>
      <c r="T1554" s="77">
        <f>K1554-L1554</f>
        <v/>
      </c>
      <c r="U1554" s="77">
        <f>P1554-Q1554</f>
        <v/>
      </c>
      <c r="V1554" s="77">
        <f>ABS(U1554)</f>
        <v/>
      </c>
      <c r="W1554" s="78">
        <f>T1554/L1554</f>
        <v/>
      </c>
      <c r="X1554" s="79">
        <f>ABS(W1554)</f>
        <v/>
      </c>
    </row>
    <row r="1555" ht="11.4" customHeight="1">
      <c r="A1555" s="67" t="inlineStr">
        <is>
          <t>大甜48</t>
        </is>
      </c>
      <c r="B1555" s="67" t="inlineStr">
        <is>
          <t>1046</t>
        </is>
      </c>
      <c r="C1555" s="67" t="inlineStr">
        <is>
          <t>1532</t>
        </is>
      </c>
      <c r="D1555" s="68" t="inlineStr">
        <is>
          <t>03</t>
        </is>
      </c>
      <c r="E1555" s="68" t="inlineStr">
        <is>
          <t>5 场地发展费</t>
        </is>
      </c>
      <c r="F1555" s="68" t="inlineStr">
        <is>
          <t>5.5 场地照明</t>
        </is>
      </c>
      <c r="G1555" s="68" t="inlineStr">
        <is>
          <t>DT场地照明</t>
        </is>
      </c>
      <c r="H1555" s="68" t="inlineStr">
        <is>
          <t>DT场地灯具主材</t>
        </is>
      </c>
      <c r="I1555" s="69" t="inlineStr">
        <is>
          <t>1000021564</t>
        </is>
      </c>
      <c r="J1555" s="69" t="inlineStr">
        <is>
          <t>DT-OSRAMLED时尚草坪灯具500MM  L12</t>
        </is>
      </c>
      <c r="K1555" s="70" t="n"/>
      <c r="L1555" s="70" t="n"/>
      <c r="M1555" s="71" t="inlineStr">
        <is>
          <t>个</t>
        </is>
      </c>
      <c r="N1555" s="72" t="n">
        <v>338.78</v>
      </c>
      <c r="O1555" s="72">
        <f>ROUND(N1555*(1+$F$10),2)</f>
        <v/>
      </c>
      <c r="P1555" s="73">
        <f>ROUND(K1555*N1555,2)</f>
        <v/>
      </c>
      <c r="Q1555" s="74">
        <f>ROUND(L1555*N1555,2)</f>
        <v/>
      </c>
      <c r="R1555" s="75" t="n"/>
      <c r="S1555" s="76" t="n"/>
      <c r="T1555" s="77">
        <f>K1555-L1555</f>
        <v/>
      </c>
      <c r="U1555" s="77">
        <f>P1555-Q1555</f>
        <v/>
      </c>
      <c r="V1555" s="77">
        <f>ABS(U1555)</f>
        <v/>
      </c>
      <c r="W1555" s="78">
        <f>T1555/L1555</f>
        <v/>
      </c>
      <c r="X1555" s="79">
        <f>ABS(W1555)</f>
        <v/>
      </c>
    </row>
    <row r="1556" ht="11.4" customHeight="1">
      <c r="A1556" s="67" t="inlineStr">
        <is>
          <t>大甜48</t>
        </is>
      </c>
      <c r="B1556" s="67" t="inlineStr">
        <is>
          <t>1046</t>
        </is>
      </c>
      <c r="C1556" s="67" t="inlineStr">
        <is>
          <t>1532</t>
        </is>
      </c>
      <c r="D1556" s="68" t="inlineStr">
        <is>
          <t>03</t>
        </is>
      </c>
      <c r="E1556" s="68" t="inlineStr">
        <is>
          <t>5 场地发展费</t>
        </is>
      </c>
      <c r="F1556" s="68" t="inlineStr">
        <is>
          <t>5.5 场地照明</t>
        </is>
      </c>
      <c r="G1556" s="68" t="inlineStr">
        <is>
          <t>DT场地照明</t>
        </is>
      </c>
      <c r="H1556" s="68" t="inlineStr">
        <is>
          <t>DT场地灯具主材</t>
        </is>
      </c>
      <c r="I1556" s="69" t="inlineStr">
        <is>
          <t>1000021452</t>
        </is>
      </c>
      <c r="J1556" s="69" t="inlineStr">
        <is>
          <t>DT-主材-飞利浦牌36w防水防尘荧光灯1管</t>
        </is>
      </c>
      <c r="K1556" s="70" t="n"/>
      <c r="L1556" s="70" t="n"/>
      <c r="M1556" s="71" t="inlineStr">
        <is>
          <t>个</t>
        </is>
      </c>
      <c r="N1556" s="72" t="n">
        <v>179.49</v>
      </c>
      <c r="O1556" s="72">
        <f>ROUND(N1556*(1+$F$10),2)</f>
        <v/>
      </c>
      <c r="P1556" s="73">
        <f>ROUND(K1556*N1556,2)</f>
        <v/>
      </c>
      <c r="Q1556" s="74">
        <f>ROUND(L1556*N1556,2)</f>
        <v/>
      </c>
      <c r="R1556" s="75" t="n"/>
      <c r="S1556" s="76" t="n"/>
      <c r="T1556" s="77">
        <f>K1556-L1556</f>
        <v/>
      </c>
      <c r="U1556" s="77">
        <f>P1556-Q1556</f>
        <v/>
      </c>
      <c r="V1556" s="77">
        <f>ABS(U1556)</f>
        <v/>
      </c>
      <c r="W1556" s="78">
        <f>T1556/L1556</f>
        <v/>
      </c>
      <c r="X1556" s="79">
        <f>ABS(W1556)</f>
        <v/>
      </c>
    </row>
    <row r="1557" ht="11.4" customHeight="1">
      <c r="A1557" s="67" t="inlineStr">
        <is>
          <t>大甜48</t>
        </is>
      </c>
      <c r="B1557" s="67" t="inlineStr">
        <is>
          <t>1046</t>
        </is>
      </c>
      <c r="C1557" s="67" t="inlineStr">
        <is>
          <t>1532</t>
        </is>
      </c>
      <c r="D1557" s="68" t="inlineStr">
        <is>
          <t>03</t>
        </is>
      </c>
      <c r="E1557" s="68" t="inlineStr">
        <is>
          <t>5 场地发展费</t>
        </is>
      </c>
      <c r="F1557" s="68" t="inlineStr">
        <is>
          <t>5.5 场地照明</t>
        </is>
      </c>
      <c r="G1557" s="68" t="inlineStr">
        <is>
          <t>DT场地照明</t>
        </is>
      </c>
      <c r="H1557" s="68" t="inlineStr">
        <is>
          <t>DT场地灯具主材</t>
        </is>
      </c>
      <c r="I1557" s="69" t="inlineStr">
        <is>
          <t>1000021453</t>
        </is>
      </c>
      <c r="J1557" s="69" t="inlineStr">
        <is>
          <t>DT-主材-飞利浦牌36w防水防尘荧光灯2管</t>
        </is>
      </c>
      <c r="K1557" s="70" t="n"/>
      <c r="L1557" s="70" t="n"/>
      <c r="M1557" s="71" t="inlineStr">
        <is>
          <t>个</t>
        </is>
      </c>
      <c r="N1557" s="72" t="n">
        <v>287.18</v>
      </c>
      <c r="O1557" s="72">
        <f>ROUND(N1557*(1+$F$10),2)</f>
        <v/>
      </c>
      <c r="P1557" s="73">
        <f>ROUND(K1557*N1557,2)</f>
        <v/>
      </c>
      <c r="Q1557" s="74">
        <f>ROUND(L1557*N1557,2)</f>
        <v/>
      </c>
      <c r="R1557" s="75" t="n"/>
      <c r="S1557" s="76" t="n"/>
      <c r="T1557" s="77">
        <f>K1557-L1557</f>
        <v/>
      </c>
      <c r="U1557" s="77">
        <f>P1557-Q1557</f>
        <v/>
      </c>
      <c r="V1557" s="77">
        <f>ABS(U1557)</f>
        <v/>
      </c>
      <c r="W1557" s="78">
        <f>T1557/L1557</f>
        <v/>
      </c>
      <c r="X1557" s="79">
        <f>ABS(W1557)</f>
        <v/>
      </c>
    </row>
    <row r="1558" ht="11.4" customHeight="1">
      <c r="A1558" s="67" t="inlineStr">
        <is>
          <t>大甜48</t>
        </is>
      </c>
      <c r="B1558" s="67" t="inlineStr">
        <is>
          <t>1046</t>
        </is>
      </c>
      <c r="C1558" s="67" t="inlineStr">
        <is>
          <t>1532</t>
        </is>
      </c>
      <c r="D1558" s="68" t="inlineStr">
        <is>
          <t>03</t>
        </is>
      </c>
      <c r="E1558" s="68" t="inlineStr">
        <is>
          <t>5 场地发展费</t>
        </is>
      </c>
      <c r="F1558" s="68" t="inlineStr">
        <is>
          <t>5.5 场地照明</t>
        </is>
      </c>
      <c r="G1558" s="68" t="inlineStr">
        <is>
          <t>DT场地照明</t>
        </is>
      </c>
      <c r="H1558" s="68" t="inlineStr">
        <is>
          <t>DT场地路灯基础</t>
        </is>
      </c>
      <c r="I1558" s="69" t="inlineStr">
        <is>
          <t>1000021770</t>
        </is>
      </c>
      <c r="J1558" s="69" t="inlineStr">
        <is>
          <t>DT路灯基础</t>
        </is>
      </c>
      <c r="K1558" s="70" t="n"/>
      <c r="L1558" s="70" t="n"/>
      <c r="M1558" s="71" t="inlineStr">
        <is>
          <t>只</t>
        </is>
      </c>
      <c r="N1558" s="72" t="n">
        <v>537.89</v>
      </c>
      <c r="O1558" s="72">
        <f>ROUND(N1558*(1+$F$10),2)</f>
        <v/>
      </c>
      <c r="P1558" s="73">
        <f>ROUND(K1558*N1558,2)</f>
        <v/>
      </c>
      <c r="Q1558" s="74">
        <f>ROUND(L1558*N1558,2)</f>
        <v/>
      </c>
      <c r="R1558" s="75" t="n"/>
      <c r="S1558" s="76" t="n"/>
      <c r="T1558" s="77">
        <f>K1558-L1558</f>
        <v/>
      </c>
      <c r="U1558" s="77">
        <f>P1558-Q1558</f>
        <v/>
      </c>
      <c r="V1558" s="77">
        <f>ABS(U1558)</f>
        <v/>
      </c>
      <c r="W1558" s="78">
        <f>T1558/L1558</f>
        <v/>
      </c>
      <c r="X1558" s="79">
        <f>ABS(W1558)</f>
        <v/>
      </c>
    </row>
    <row r="1559" ht="11.4" customHeight="1">
      <c r="A1559" s="67" t="inlineStr">
        <is>
          <t>大甜49</t>
        </is>
      </c>
      <c r="B1559" s="67" t="inlineStr">
        <is>
          <t>1047</t>
        </is>
      </c>
      <c r="C1559" s="67" t="inlineStr">
        <is>
          <t>1533</t>
        </is>
      </c>
      <c r="D1559" s="68" t="inlineStr">
        <is>
          <t>03</t>
        </is>
      </c>
      <c r="E1559" s="68" t="inlineStr">
        <is>
          <t>5 场地发展费</t>
        </is>
      </c>
      <c r="F1559" s="68" t="inlineStr">
        <is>
          <t>5.6 场地给排水系统（含隔油池）</t>
        </is>
      </c>
      <c r="G1559" s="68" t="inlineStr">
        <is>
          <t>DT场地给排水系统</t>
        </is>
      </c>
      <c r="H1559" s="68" t="inlineStr">
        <is>
          <t>DT场地废水</t>
        </is>
      </c>
      <c r="I1559" s="69" t="inlineStr">
        <is>
          <t>1000040034</t>
        </is>
      </c>
      <c r="J1559" s="69" t="inlineStr">
        <is>
          <t>DT-室外地下污废水管DN300</t>
        </is>
      </c>
      <c r="K1559" s="70" t="n"/>
      <c r="L1559" s="70" t="n"/>
      <c r="M1559" s="71" t="inlineStr">
        <is>
          <t>米</t>
        </is>
      </c>
      <c r="N1559" s="72" t="n">
        <v>219.82</v>
      </c>
      <c r="O1559" s="72">
        <f>ROUND(N1559*(1+$F$10),2)</f>
        <v/>
      </c>
      <c r="P1559" s="73">
        <f>ROUND(K1559*N1559,2)</f>
        <v/>
      </c>
      <c r="Q1559" s="74">
        <f>ROUND(L1559*N1559,2)</f>
        <v/>
      </c>
      <c r="R1559" s="75" t="n"/>
      <c r="S1559" s="76" t="n"/>
      <c r="T1559" s="77">
        <f>K1559-L1559</f>
        <v/>
      </c>
      <c r="U1559" s="77">
        <f>P1559-Q1559</f>
        <v/>
      </c>
      <c r="V1559" s="77">
        <f>ABS(U1559)</f>
        <v/>
      </c>
      <c r="W1559" s="78">
        <f>T1559/L1559</f>
        <v/>
      </c>
      <c r="X1559" s="79">
        <f>ABS(W1559)</f>
        <v/>
      </c>
    </row>
    <row r="1560" ht="11.4" customHeight="1">
      <c r="A1560" s="67" t="inlineStr">
        <is>
          <t>大甜49</t>
        </is>
      </c>
      <c r="B1560" s="67" t="inlineStr">
        <is>
          <t>1047</t>
        </is>
      </c>
      <c r="C1560" s="67" t="inlineStr">
        <is>
          <t>1533</t>
        </is>
      </c>
      <c r="D1560" s="68" t="inlineStr">
        <is>
          <t>03</t>
        </is>
      </c>
      <c r="E1560" s="68" t="inlineStr">
        <is>
          <t>5 场地发展费</t>
        </is>
      </c>
      <c r="F1560" s="68" t="inlineStr">
        <is>
          <t>5.6 场地给排水系统（含隔油池）</t>
        </is>
      </c>
      <c r="G1560" s="68" t="inlineStr">
        <is>
          <t>DT场地给排水系统</t>
        </is>
      </c>
      <c r="H1560" s="68" t="inlineStr">
        <is>
          <t>DT场地废水</t>
        </is>
      </c>
      <c r="I1560" s="69" t="inlineStr">
        <is>
          <t>1000040035</t>
        </is>
      </c>
      <c r="J1560" s="69" t="inlineStr">
        <is>
          <t>DT-室外地下污废水管DN200</t>
        </is>
      </c>
      <c r="K1560" s="70" t="n"/>
      <c r="L1560" s="70" t="n"/>
      <c r="M1560" s="71" t="inlineStr">
        <is>
          <t>米</t>
        </is>
      </c>
      <c r="N1560" s="72" t="n">
        <v>135.14</v>
      </c>
      <c r="O1560" s="72">
        <f>ROUND(N1560*(1+$F$10),2)</f>
        <v/>
      </c>
      <c r="P1560" s="73">
        <f>ROUND(K1560*N1560,2)</f>
        <v/>
      </c>
      <c r="Q1560" s="74">
        <f>ROUND(L1560*N1560,2)</f>
        <v/>
      </c>
      <c r="R1560" s="75" t="n"/>
      <c r="S1560" s="76" t="n"/>
      <c r="T1560" s="77">
        <f>K1560-L1560</f>
        <v/>
      </c>
      <c r="U1560" s="77">
        <f>P1560-Q1560</f>
        <v/>
      </c>
      <c r="V1560" s="77">
        <f>ABS(U1560)</f>
        <v/>
      </c>
      <c r="W1560" s="78">
        <f>T1560/L1560</f>
        <v/>
      </c>
      <c r="X1560" s="79">
        <f>ABS(W1560)</f>
        <v/>
      </c>
    </row>
    <row r="1561" ht="11.4" customHeight="1">
      <c r="A1561" s="67" t="inlineStr">
        <is>
          <t>大甜49</t>
        </is>
      </c>
      <c r="B1561" s="67" t="inlineStr">
        <is>
          <t>1047</t>
        </is>
      </c>
      <c r="C1561" s="67" t="inlineStr">
        <is>
          <t>1533</t>
        </is>
      </c>
      <c r="D1561" s="68" t="inlineStr">
        <is>
          <t>03</t>
        </is>
      </c>
      <c r="E1561" s="68" t="inlineStr">
        <is>
          <t>5 场地发展费</t>
        </is>
      </c>
      <c r="F1561" s="68" t="inlineStr">
        <is>
          <t>5.6 场地给排水系统（含隔油池）</t>
        </is>
      </c>
      <c r="G1561" s="68" t="inlineStr">
        <is>
          <t>DT场地给排水系统</t>
        </is>
      </c>
      <c r="H1561" s="68" t="inlineStr">
        <is>
          <t>DT场地废水</t>
        </is>
      </c>
      <c r="I1561" s="69" t="inlineStr">
        <is>
          <t>1000040036</t>
        </is>
      </c>
      <c r="J1561" s="69" t="inlineStr">
        <is>
          <t>DT-室外地下污废水管DN110</t>
        </is>
      </c>
      <c r="K1561" s="70" t="n"/>
      <c r="L1561" s="70" t="n"/>
      <c r="M1561" s="71" t="inlineStr">
        <is>
          <t>米</t>
        </is>
      </c>
      <c r="N1561" s="72" t="n">
        <v>68.47</v>
      </c>
      <c r="O1561" s="72">
        <f>ROUND(N1561*(1+$F$10),2)</f>
        <v/>
      </c>
      <c r="P1561" s="73">
        <f>ROUND(K1561*N1561,2)</f>
        <v/>
      </c>
      <c r="Q1561" s="74">
        <f>ROUND(L1561*N1561,2)</f>
        <v/>
      </c>
      <c r="R1561" s="75" t="n"/>
      <c r="S1561" s="76" t="n"/>
      <c r="T1561" s="77">
        <f>K1561-L1561</f>
        <v/>
      </c>
      <c r="U1561" s="77">
        <f>P1561-Q1561</f>
        <v/>
      </c>
      <c r="V1561" s="77">
        <f>ABS(U1561)</f>
        <v/>
      </c>
      <c r="W1561" s="78">
        <f>T1561/L1561</f>
        <v/>
      </c>
      <c r="X1561" s="79">
        <f>ABS(W1561)</f>
        <v/>
      </c>
    </row>
    <row r="1562" ht="11.4" customHeight="1">
      <c r="A1562" s="67" t="inlineStr">
        <is>
          <t>大甜49</t>
        </is>
      </c>
      <c r="B1562" s="67" t="inlineStr">
        <is>
          <t>1047</t>
        </is>
      </c>
      <c r="C1562" s="67" t="inlineStr">
        <is>
          <t>1533</t>
        </is>
      </c>
      <c r="D1562" s="68" t="inlineStr">
        <is>
          <t>03</t>
        </is>
      </c>
      <c r="E1562" s="68" t="inlineStr">
        <is>
          <t>5 场地发展费</t>
        </is>
      </c>
      <c r="F1562" s="68" t="inlineStr">
        <is>
          <t>5.6 场地给排水系统（含隔油池）</t>
        </is>
      </c>
      <c r="G1562" s="68" t="inlineStr">
        <is>
          <t>DT场地给排水系统</t>
        </is>
      </c>
      <c r="H1562" s="68" t="inlineStr">
        <is>
          <t>DT场地废水</t>
        </is>
      </c>
      <c r="I1562" s="69" t="inlineStr">
        <is>
          <t>1000040037</t>
        </is>
      </c>
      <c r="J1562" s="69" t="inlineStr">
        <is>
          <t>DT-污废水检查井Φ1000</t>
        </is>
      </c>
      <c r="K1562" s="70" t="n"/>
      <c r="L1562" s="70" t="n"/>
      <c r="M1562" s="71" t="inlineStr">
        <is>
          <t>个</t>
        </is>
      </c>
      <c r="N1562" s="72" t="n">
        <v>3154.85</v>
      </c>
      <c r="O1562" s="72">
        <f>ROUND(N1562*(1+$F$10),2)</f>
        <v/>
      </c>
      <c r="P1562" s="73">
        <f>ROUND(K1562*N1562,2)</f>
        <v/>
      </c>
      <c r="Q1562" s="74">
        <f>ROUND(L1562*N1562,2)</f>
        <v/>
      </c>
      <c r="R1562" s="75" t="n"/>
      <c r="S1562" s="76" t="n"/>
      <c r="T1562" s="77">
        <f>K1562-L1562</f>
        <v/>
      </c>
      <c r="U1562" s="77">
        <f>P1562-Q1562</f>
        <v/>
      </c>
      <c r="V1562" s="77">
        <f>ABS(U1562)</f>
        <v/>
      </c>
      <c r="W1562" s="78">
        <f>T1562/L1562</f>
        <v/>
      </c>
      <c r="X1562" s="79">
        <f>ABS(W1562)</f>
        <v/>
      </c>
    </row>
    <row r="1563" ht="11.4" customHeight="1">
      <c r="A1563" s="67" t="inlineStr">
        <is>
          <t>大甜49</t>
        </is>
      </c>
      <c r="B1563" s="67" t="inlineStr">
        <is>
          <t>1047</t>
        </is>
      </c>
      <c r="C1563" s="67" t="inlineStr">
        <is>
          <t>1533</t>
        </is>
      </c>
      <c r="D1563" s="68" t="inlineStr">
        <is>
          <t>03</t>
        </is>
      </c>
      <c r="E1563" s="68" t="inlineStr">
        <is>
          <t>5 场地发展费</t>
        </is>
      </c>
      <c r="F1563" s="68" t="inlineStr">
        <is>
          <t>5.6 场地给排水系统（含隔油池）</t>
        </is>
      </c>
      <c r="G1563" s="68" t="inlineStr">
        <is>
          <t>DT场地给排水系统</t>
        </is>
      </c>
      <c r="H1563" s="68" t="inlineStr">
        <is>
          <t>DT场地雨水</t>
        </is>
      </c>
      <c r="I1563" s="69" t="inlineStr">
        <is>
          <t>1000040038</t>
        </is>
      </c>
      <c r="J1563" s="69" t="inlineStr">
        <is>
          <t>DT-室外地下雨水管DN300</t>
        </is>
      </c>
      <c r="K1563" s="70" t="n"/>
      <c r="L1563" s="70" t="n"/>
      <c r="M1563" s="71" t="inlineStr">
        <is>
          <t>米</t>
        </is>
      </c>
      <c r="N1563" s="72" t="n">
        <v>219.82</v>
      </c>
      <c r="O1563" s="72">
        <f>ROUND(N1563*(1+$F$10),2)</f>
        <v/>
      </c>
      <c r="P1563" s="73">
        <f>ROUND(K1563*N1563,2)</f>
        <v/>
      </c>
      <c r="Q1563" s="74">
        <f>ROUND(L1563*N1563,2)</f>
        <v/>
      </c>
      <c r="R1563" s="75" t="n"/>
      <c r="S1563" s="76" t="n"/>
      <c r="T1563" s="77">
        <f>K1563-L1563</f>
        <v/>
      </c>
      <c r="U1563" s="77">
        <f>P1563-Q1563</f>
        <v/>
      </c>
      <c r="V1563" s="77">
        <f>ABS(U1563)</f>
        <v/>
      </c>
      <c r="W1563" s="78">
        <f>T1563/L1563</f>
        <v/>
      </c>
      <c r="X1563" s="79">
        <f>ABS(W1563)</f>
        <v/>
      </c>
    </row>
    <row r="1564" ht="11.4" customHeight="1">
      <c r="A1564" s="67" t="inlineStr">
        <is>
          <t>大甜49</t>
        </is>
      </c>
      <c r="B1564" s="67" t="inlineStr">
        <is>
          <t>1047</t>
        </is>
      </c>
      <c r="C1564" s="67" t="inlineStr">
        <is>
          <t>1533</t>
        </is>
      </c>
      <c r="D1564" s="68" t="inlineStr">
        <is>
          <t>03</t>
        </is>
      </c>
      <c r="E1564" s="68" t="inlineStr">
        <is>
          <t>5 场地发展费</t>
        </is>
      </c>
      <c r="F1564" s="68" t="inlineStr">
        <is>
          <t>5.6 场地给排水系统（含隔油池）</t>
        </is>
      </c>
      <c r="G1564" s="68" t="inlineStr">
        <is>
          <t>DT场地给排水系统</t>
        </is>
      </c>
      <c r="H1564" s="68" t="inlineStr">
        <is>
          <t>DT场地雨水</t>
        </is>
      </c>
      <c r="I1564" s="69" t="inlineStr">
        <is>
          <t>1000040039</t>
        </is>
      </c>
      <c r="J1564" s="69" t="inlineStr">
        <is>
          <t>DT-室外地下雨水管DN200</t>
        </is>
      </c>
      <c r="K1564" s="70" t="n"/>
      <c r="L1564" s="70" t="n"/>
      <c r="M1564" s="71" t="inlineStr">
        <is>
          <t>米</t>
        </is>
      </c>
      <c r="N1564" s="72" t="n">
        <v>135.14</v>
      </c>
      <c r="O1564" s="72">
        <f>ROUND(N1564*(1+$F$10),2)</f>
        <v/>
      </c>
      <c r="P1564" s="73">
        <f>ROUND(K1564*N1564,2)</f>
        <v/>
      </c>
      <c r="Q1564" s="74">
        <f>ROUND(L1564*N1564,2)</f>
        <v/>
      </c>
      <c r="R1564" s="75" t="n"/>
      <c r="S1564" s="76" t="n"/>
      <c r="T1564" s="77">
        <f>K1564-L1564</f>
        <v/>
      </c>
      <c r="U1564" s="77">
        <f>P1564-Q1564</f>
        <v/>
      </c>
      <c r="V1564" s="77">
        <f>ABS(U1564)</f>
        <v/>
      </c>
      <c r="W1564" s="78">
        <f>T1564/L1564</f>
        <v/>
      </c>
      <c r="X1564" s="79">
        <f>ABS(W1564)</f>
        <v/>
      </c>
    </row>
    <row r="1565" ht="11.4" customHeight="1">
      <c r="A1565" s="67" t="inlineStr">
        <is>
          <t>大甜49</t>
        </is>
      </c>
      <c r="B1565" s="67" t="inlineStr">
        <is>
          <t>1047</t>
        </is>
      </c>
      <c r="C1565" s="67" t="inlineStr">
        <is>
          <t>1533</t>
        </is>
      </c>
      <c r="D1565" s="68" t="inlineStr">
        <is>
          <t>03</t>
        </is>
      </c>
      <c r="E1565" s="68" t="inlineStr">
        <is>
          <t>5 场地发展费</t>
        </is>
      </c>
      <c r="F1565" s="68" t="inlineStr">
        <is>
          <t>5.6 场地给排水系统（含隔油池）</t>
        </is>
      </c>
      <c r="G1565" s="68" t="inlineStr">
        <is>
          <t>DT场地给排水系统</t>
        </is>
      </c>
      <c r="H1565" s="68" t="inlineStr">
        <is>
          <t>DT场地雨水</t>
        </is>
      </c>
      <c r="I1565" s="69" t="inlineStr">
        <is>
          <t>1000040040</t>
        </is>
      </c>
      <c r="J1565" s="69" t="inlineStr">
        <is>
          <t>DT-室外地下雨水管DN110</t>
        </is>
      </c>
      <c r="K1565" s="70" t="n"/>
      <c r="L1565" s="70" t="n"/>
      <c r="M1565" s="71" t="inlineStr">
        <is>
          <t>米</t>
        </is>
      </c>
      <c r="N1565" s="72" t="n">
        <v>68.47</v>
      </c>
      <c r="O1565" s="72">
        <f>ROUND(N1565*(1+$F$10),2)</f>
        <v/>
      </c>
      <c r="P1565" s="73">
        <f>ROUND(K1565*N1565,2)</f>
        <v/>
      </c>
      <c r="Q1565" s="74">
        <f>ROUND(L1565*N1565,2)</f>
        <v/>
      </c>
      <c r="R1565" s="75" t="n"/>
      <c r="S1565" s="76" t="n"/>
      <c r="T1565" s="77">
        <f>K1565-L1565</f>
        <v/>
      </c>
      <c r="U1565" s="77">
        <f>P1565-Q1565</f>
        <v/>
      </c>
      <c r="V1565" s="77">
        <f>ABS(U1565)</f>
        <v/>
      </c>
      <c r="W1565" s="78">
        <f>T1565/L1565</f>
        <v/>
      </c>
      <c r="X1565" s="79">
        <f>ABS(W1565)</f>
        <v/>
      </c>
    </row>
    <row r="1566" ht="11.4" customHeight="1">
      <c r="A1566" s="67" t="inlineStr">
        <is>
          <t>大甜49</t>
        </is>
      </c>
      <c r="B1566" s="67" t="inlineStr">
        <is>
          <t>1047</t>
        </is>
      </c>
      <c r="C1566" s="67" t="inlineStr">
        <is>
          <t>1533</t>
        </is>
      </c>
      <c r="D1566" s="68" t="inlineStr">
        <is>
          <t>03</t>
        </is>
      </c>
      <c r="E1566" s="68" t="inlineStr">
        <is>
          <t>5 场地发展费</t>
        </is>
      </c>
      <c r="F1566" s="68" t="inlineStr">
        <is>
          <t>5.6 场地给排水系统（含隔油池）</t>
        </is>
      </c>
      <c r="G1566" s="68" t="inlineStr">
        <is>
          <t>DT场地给排水系统</t>
        </is>
      </c>
      <c r="H1566" s="68" t="inlineStr">
        <is>
          <t>DT场地雨水</t>
        </is>
      </c>
      <c r="I1566" s="69" t="inlineStr">
        <is>
          <t>1000040041</t>
        </is>
      </c>
      <c r="J1566" s="69" t="inlineStr">
        <is>
          <t>DT-雨水检查井Φ1000</t>
        </is>
      </c>
      <c r="K1566" s="70" t="n"/>
      <c r="L1566" s="70" t="n"/>
      <c r="M1566" s="71" t="inlineStr">
        <is>
          <t>个</t>
        </is>
      </c>
      <c r="N1566" s="72" t="n">
        <v>3154.85</v>
      </c>
      <c r="O1566" s="72">
        <f>ROUND(N1566*(1+$F$10),2)</f>
        <v/>
      </c>
      <c r="P1566" s="73">
        <f>ROUND(K1566*N1566,2)</f>
        <v/>
      </c>
      <c r="Q1566" s="74">
        <f>ROUND(L1566*N1566,2)</f>
        <v/>
      </c>
      <c r="R1566" s="75" t="n"/>
      <c r="S1566" s="76" t="n"/>
      <c r="T1566" s="77">
        <f>K1566-L1566</f>
        <v/>
      </c>
      <c r="U1566" s="77">
        <f>P1566-Q1566</f>
        <v/>
      </c>
      <c r="V1566" s="77">
        <f>ABS(U1566)</f>
        <v/>
      </c>
      <c r="W1566" s="78">
        <f>T1566/L1566</f>
        <v/>
      </c>
      <c r="X1566" s="79">
        <f>ABS(W1566)</f>
        <v/>
      </c>
    </row>
    <row r="1567" ht="11.4" customHeight="1">
      <c r="A1567" s="67" t="inlineStr">
        <is>
          <t>大甜49</t>
        </is>
      </c>
      <c r="B1567" s="67" t="inlineStr">
        <is>
          <t>1047</t>
        </is>
      </c>
      <c r="C1567" s="67" t="inlineStr">
        <is>
          <t>1533</t>
        </is>
      </c>
      <c r="D1567" s="68" t="inlineStr">
        <is>
          <t>03</t>
        </is>
      </c>
      <c r="E1567" s="68" t="inlineStr">
        <is>
          <t>5 场地发展费</t>
        </is>
      </c>
      <c r="F1567" s="68" t="inlineStr">
        <is>
          <t>5.6 场地给排水系统（含隔油池）</t>
        </is>
      </c>
      <c r="G1567" s="68" t="inlineStr">
        <is>
          <t>DT场地给排水系统</t>
        </is>
      </c>
      <c r="H1567" s="68" t="inlineStr">
        <is>
          <t>DT场地雨水</t>
        </is>
      </c>
      <c r="I1567" s="69" t="inlineStr">
        <is>
          <t>1000040042</t>
        </is>
      </c>
      <c r="J1567" s="69" t="inlineStr">
        <is>
          <t>DT-雨水进水口</t>
        </is>
      </c>
      <c r="K1567" s="70" t="n"/>
      <c r="L1567" s="70" t="n"/>
      <c r="M1567" s="71" t="inlineStr">
        <is>
          <t>个</t>
        </is>
      </c>
      <c r="N1567" s="72" t="n">
        <v>63.96</v>
      </c>
      <c r="O1567" s="72">
        <f>ROUND(N1567*(1+$F$10),2)</f>
        <v/>
      </c>
      <c r="P1567" s="73">
        <f>ROUND(K1567*N1567,2)</f>
        <v/>
      </c>
      <c r="Q1567" s="74">
        <f>ROUND(L1567*N1567,2)</f>
        <v/>
      </c>
      <c r="R1567" s="75" t="n"/>
      <c r="S1567" s="76" t="n"/>
      <c r="T1567" s="77">
        <f>K1567-L1567</f>
        <v/>
      </c>
      <c r="U1567" s="77">
        <f>P1567-Q1567</f>
        <v/>
      </c>
      <c r="V1567" s="77">
        <f>ABS(U1567)</f>
        <v/>
      </c>
      <c r="W1567" s="78">
        <f>T1567/L1567</f>
        <v/>
      </c>
      <c r="X1567" s="79">
        <f>ABS(W1567)</f>
        <v/>
      </c>
    </row>
    <row r="1568" ht="11.4" customHeight="1">
      <c r="A1568" s="67" t="inlineStr">
        <is>
          <t>大甜49</t>
        </is>
      </c>
      <c r="B1568" s="67" t="inlineStr">
        <is>
          <t>1047</t>
        </is>
      </c>
      <c r="C1568" s="67" t="inlineStr">
        <is>
          <t>1533</t>
        </is>
      </c>
      <c r="D1568" s="68" t="inlineStr">
        <is>
          <t>03</t>
        </is>
      </c>
      <c r="E1568" s="68" t="inlineStr">
        <is>
          <t>5 场地发展费</t>
        </is>
      </c>
      <c r="F1568" s="68" t="inlineStr">
        <is>
          <t>5.6 场地给排水系统（含隔油池）</t>
        </is>
      </c>
      <c r="G1568" s="68" t="inlineStr">
        <is>
          <t>DT场地给排水系统</t>
        </is>
      </c>
      <c r="H1568" s="68" t="inlineStr">
        <is>
          <t>DT室外给水</t>
        </is>
      </c>
      <c r="I1568" s="69" t="inlineStr">
        <is>
          <t>1000040043</t>
        </is>
      </c>
      <c r="J1568" s="69" t="inlineStr">
        <is>
          <t>DT-室外给水管DN32</t>
        </is>
      </c>
      <c r="K1568" s="70" t="n"/>
      <c r="L1568" s="70" t="n"/>
      <c r="M1568" s="71" t="inlineStr">
        <is>
          <t>米</t>
        </is>
      </c>
      <c r="N1568" s="72" t="n">
        <v>81.08</v>
      </c>
      <c r="O1568" s="72">
        <f>ROUND(N1568*(1+$F$10),2)</f>
        <v/>
      </c>
      <c r="P1568" s="73">
        <f>ROUND(K1568*N1568,2)</f>
        <v/>
      </c>
      <c r="Q1568" s="74">
        <f>ROUND(L1568*N1568,2)</f>
        <v/>
      </c>
      <c r="R1568" s="75" t="n"/>
      <c r="S1568" s="76" t="n"/>
      <c r="T1568" s="77">
        <f>K1568-L1568</f>
        <v/>
      </c>
      <c r="U1568" s="77">
        <f>P1568-Q1568</f>
        <v/>
      </c>
      <c r="V1568" s="77">
        <f>ABS(U1568)</f>
        <v/>
      </c>
      <c r="W1568" s="78">
        <f>T1568/L1568</f>
        <v/>
      </c>
      <c r="X1568" s="79">
        <f>ABS(W1568)</f>
        <v/>
      </c>
    </row>
    <row r="1569" ht="11.4" customHeight="1">
      <c r="A1569" s="67" t="inlineStr">
        <is>
          <t>大甜49</t>
        </is>
      </c>
      <c r="B1569" s="67" t="inlineStr">
        <is>
          <t>1047</t>
        </is>
      </c>
      <c r="C1569" s="67" t="inlineStr">
        <is>
          <t>1533</t>
        </is>
      </c>
      <c r="D1569" s="68" t="inlineStr">
        <is>
          <t>03</t>
        </is>
      </c>
      <c r="E1569" s="68" t="inlineStr">
        <is>
          <t>5 场地发展费</t>
        </is>
      </c>
      <c r="F1569" s="68" t="inlineStr">
        <is>
          <t>5.6 场地给排水系统（含隔油池）</t>
        </is>
      </c>
      <c r="G1569" s="68" t="inlineStr">
        <is>
          <t>DT场地给排水系统</t>
        </is>
      </c>
      <c r="H1569" s="68" t="inlineStr">
        <is>
          <t>DT室外给水</t>
        </is>
      </c>
      <c r="I1569" s="69" t="inlineStr">
        <is>
          <t>1000040044</t>
        </is>
      </c>
      <c r="J1569" s="69" t="inlineStr">
        <is>
          <t>DT-室外给水管DN25</t>
        </is>
      </c>
      <c r="K1569" s="70" t="n"/>
      <c r="L1569" s="70" t="n"/>
      <c r="M1569" s="71" t="inlineStr">
        <is>
          <t>米</t>
        </is>
      </c>
      <c r="N1569" s="72" t="n">
        <v>70.27</v>
      </c>
      <c r="O1569" s="72">
        <f>ROUND(N1569*(1+$F$10),2)</f>
        <v/>
      </c>
      <c r="P1569" s="73">
        <f>ROUND(K1569*N1569,2)</f>
        <v/>
      </c>
      <c r="Q1569" s="74">
        <f>ROUND(L1569*N1569,2)</f>
        <v/>
      </c>
      <c r="R1569" s="75" t="n"/>
      <c r="S1569" s="76" t="n"/>
      <c r="T1569" s="77">
        <f>K1569-L1569</f>
        <v/>
      </c>
      <c r="U1569" s="77">
        <f>P1569-Q1569</f>
        <v/>
      </c>
      <c r="V1569" s="77">
        <f>ABS(U1569)</f>
        <v/>
      </c>
      <c r="W1569" s="78">
        <f>T1569/L1569</f>
        <v/>
      </c>
      <c r="X1569" s="79">
        <f>ABS(W1569)</f>
        <v/>
      </c>
    </row>
    <row r="1570" ht="11.4" customHeight="1">
      <c r="A1570" s="67" t="inlineStr">
        <is>
          <t>大甜49</t>
        </is>
      </c>
      <c r="B1570" s="67" t="inlineStr">
        <is>
          <t>1047</t>
        </is>
      </c>
      <c r="C1570" s="67" t="inlineStr">
        <is>
          <t>1533</t>
        </is>
      </c>
      <c r="D1570" s="68" t="inlineStr">
        <is>
          <t>03</t>
        </is>
      </c>
      <c r="E1570" s="68" t="inlineStr">
        <is>
          <t>5 场地发展费</t>
        </is>
      </c>
      <c r="F1570" s="68" t="inlineStr">
        <is>
          <t>5.6 场地给排水系统（含隔油池）</t>
        </is>
      </c>
      <c r="G1570" s="68" t="inlineStr">
        <is>
          <t>DT场地给排水系统</t>
        </is>
      </c>
      <c r="H1570" s="68" t="inlineStr">
        <is>
          <t>DT室外给水</t>
        </is>
      </c>
      <c r="I1570" s="69" t="inlineStr">
        <is>
          <t>1000040045</t>
        </is>
      </c>
      <c r="J1570" s="69" t="inlineStr">
        <is>
          <t>DT-室外给水管DN20</t>
        </is>
      </c>
      <c r="K1570" s="70" t="n"/>
      <c r="L1570" s="70" t="n"/>
      <c r="M1570" s="71" t="inlineStr">
        <is>
          <t>米</t>
        </is>
      </c>
      <c r="N1570" s="72" t="n">
        <v>63.06</v>
      </c>
      <c r="O1570" s="72">
        <f>ROUND(N1570*(1+$F$10),2)</f>
        <v/>
      </c>
      <c r="P1570" s="73">
        <f>ROUND(K1570*N1570,2)</f>
        <v/>
      </c>
      <c r="Q1570" s="74">
        <f>ROUND(L1570*N1570,2)</f>
        <v/>
      </c>
      <c r="R1570" s="75" t="n"/>
      <c r="S1570" s="76" t="n"/>
      <c r="T1570" s="77">
        <f>K1570-L1570</f>
        <v/>
      </c>
      <c r="U1570" s="77">
        <f>P1570-Q1570</f>
        <v/>
      </c>
      <c r="V1570" s="77">
        <f>ABS(U1570)</f>
        <v/>
      </c>
      <c r="W1570" s="78">
        <f>T1570/L1570</f>
        <v/>
      </c>
      <c r="X1570" s="79">
        <f>ABS(W1570)</f>
        <v/>
      </c>
    </row>
    <row r="1571" ht="11.4" customHeight="1">
      <c r="A1571" s="67" t="inlineStr">
        <is>
          <t>大甜49</t>
        </is>
      </c>
      <c r="B1571" s="67" t="inlineStr">
        <is>
          <t>1047</t>
        </is>
      </c>
      <c r="C1571" s="67" t="inlineStr">
        <is>
          <t>1533</t>
        </is>
      </c>
      <c r="D1571" s="68" t="inlineStr">
        <is>
          <t>03</t>
        </is>
      </c>
      <c r="E1571" s="68" t="inlineStr">
        <is>
          <t>5 场地发展费</t>
        </is>
      </c>
      <c r="F1571" s="68" t="inlineStr">
        <is>
          <t>5.6 场地给排水系统（含隔油池）</t>
        </is>
      </c>
      <c r="G1571" s="68" t="inlineStr">
        <is>
          <t>DT场地给排水系统</t>
        </is>
      </c>
      <c r="H1571" s="68" t="inlineStr">
        <is>
          <t>DT室外给水</t>
        </is>
      </c>
      <c r="I1571" s="69" t="inlineStr">
        <is>
          <t>1000040046</t>
        </is>
      </c>
      <c r="J1571" s="69" t="inlineStr">
        <is>
          <t>DT-水表</t>
        </is>
      </c>
      <c r="K1571" s="70" t="n"/>
      <c r="L1571" s="70" t="n"/>
      <c r="M1571" s="71" t="inlineStr">
        <is>
          <t>套</t>
        </is>
      </c>
      <c r="N1571" s="72" t="n">
        <v>891.89</v>
      </c>
      <c r="O1571" s="72">
        <f>ROUND(N1571*(1+$F$10),2)</f>
        <v/>
      </c>
      <c r="P1571" s="73">
        <f>ROUND(K1571*N1571,2)</f>
        <v/>
      </c>
      <c r="Q1571" s="74">
        <f>ROUND(L1571*N1571,2)</f>
        <v/>
      </c>
      <c r="R1571" s="75" t="n"/>
      <c r="S1571" s="76" t="n"/>
      <c r="T1571" s="77">
        <f>K1571-L1571</f>
        <v/>
      </c>
      <c r="U1571" s="77">
        <f>P1571-Q1571</f>
        <v/>
      </c>
      <c r="V1571" s="77">
        <f>ABS(U1571)</f>
        <v/>
      </c>
      <c r="W1571" s="78">
        <f>T1571/L1571</f>
        <v/>
      </c>
      <c r="X1571" s="79">
        <f>ABS(W1571)</f>
        <v/>
      </c>
    </row>
    <row r="1572" ht="11.4" customHeight="1">
      <c r="A1572" s="67" t="inlineStr">
        <is>
          <t>大甜50</t>
        </is>
      </c>
      <c r="B1572" s="67" t="inlineStr">
        <is>
          <t>1048</t>
        </is>
      </c>
      <c r="C1572" s="67" t="inlineStr">
        <is>
          <t>1534</t>
        </is>
      </c>
      <c r="D1572" s="68" t="inlineStr">
        <is>
          <t>03</t>
        </is>
      </c>
      <c r="E1572" s="68" t="inlineStr">
        <is>
          <t>5 场地发展费</t>
        </is>
      </c>
      <c r="F1572" s="68" t="inlineStr">
        <is>
          <t>5.6 场地给排水系统（含隔油池）</t>
        </is>
      </c>
      <c r="G1572" s="68" t="inlineStr">
        <is>
          <t>DT绿化</t>
        </is>
      </c>
      <c r="H1572" s="68" t="inlineStr">
        <is>
          <t>DT绿化</t>
        </is>
      </c>
      <c r="I1572" s="69" t="inlineStr">
        <is>
          <t>1000040047</t>
        </is>
      </c>
      <c r="J1572" s="69" t="inlineStr">
        <is>
          <t>DT-室外植物绿化工程</t>
        </is>
      </c>
      <c r="K1572" s="70" t="n"/>
      <c r="L1572" s="70" t="n"/>
      <c r="M1572" s="71" t="inlineStr">
        <is>
          <t>m2</t>
        </is>
      </c>
      <c r="N1572" s="72" t="n">
        <v>172.07</v>
      </c>
      <c r="O1572" s="72">
        <f>ROUND(N1572*(1+$F$10),2)</f>
        <v/>
      </c>
      <c r="P1572" s="73">
        <f>ROUND(K1572*N1572,2)</f>
        <v/>
      </c>
      <c r="Q1572" s="74">
        <f>ROUND(L1572*N1572,2)</f>
        <v/>
      </c>
      <c r="R1572" s="75" t="n"/>
      <c r="S1572" s="76" t="n"/>
      <c r="T1572" s="77">
        <f>K1572-L1572</f>
        <v/>
      </c>
      <c r="U1572" s="77">
        <f>P1572-Q1572</f>
        <v/>
      </c>
      <c r="V1572" s="77">
        <f>ABS(U1572)</f>
        <v/>
      </c>
      <c r="W1572" s="78">
        <f>T1572/L1572</f>
        <v/>
      </c>
      <c r="X1572" s="79">
        <f>ABS(W1572)</f>
        <v/>
      </c>
    </row>
    <row r="1573" ht="11.4" customHeight="1">
      <c r="A1573" s="67" t="inlineStr">
        <is>
          <t>大甜51</t>
        </is>
      </c>
      <c r="B1573" s="67" t="inlineStr">
        <is>
          <t>1049</t>
        </is>
      </c>
      <c r="C1573" s="67" t="inlineStr">
        <is>
          <t>1540</t>
        </is>
      </c>
      <c r="D1573" s="68" t="inlineStr">
        <is>
          <t>03</t>
        </is>
      </c>
      <c r="E1573" s="68" t="inlineStr">
        <is>
          <t>5 场地发展费</t>
        </is>
      </c>
      <c r="F1573" s="68" t="inlineStr">
        <is>
          <t>5.8 楼梯结构新建/改造</t>
        </is>
      </c>
      <c r="G1573" s="68" t="inlineStr">
        <is>
          <t>楼梯结构新建/改造</t>
        </is>
      </c>
      <c r="H1573" s="68" t="inlineStr">
        <is>
          <t>楼梯结构新建/改造</t>
        </is>
      </c>
      <c r="I1573" s="69" t="inlineStr">
        <is>
          <t>1000021771</t>
        </is>
      </c>
      <c r="J1573" s="69" t="inlineStr">
        <is>
          <t>新建钢结构楼梯（含设计及资质证明）</t>
        </is>
      </c>
      <c r="K1573" s="70" t="n"/>
      <c r="L1573" s="70" t="n"/>
      <c r="M1573" s="71" t="inlineStr">
        <is>
          <t>吨</t>
        </is>
      </c>
      <c r="N1573" s="72" t="n">
        <v>9020</v>
      </c>
      <c r="O1573" s="72">
        <f>ROUND(N1573*(1+$F$10),2)</f>
        <v/>
      </c>
      <c r="P1573" s="73">
        <f>ROUND(K1573*N1573,2)</f>
        <v/>
      </c>
      <c r="Q1573" s="74">
        <f>ROUND(L1573*N1573,2)</f>
        <v/>
      </c>
      <c r="R1573" s="75" t="n"/>
      <c r="S1573" s="76" t="n"/>
      <c r="T1573" s="77">
        <f>K1573-L1573</f>
        <v/>
      </c>
      <c r="U1573" s="77">
        <f>P1573-Q1573</f>
        <v/>
      </c>
      <c r="V1573" s="77">
        <f>ABS(U1573)</f>
        <v/>
      </c>
      <c r="W1573" s="78">
        <f>T1573/L1573</f>
        <v/>
      </c>
      <c r="X1573" s="79">
        <f>ABS(W1573)</f>
        <v/>
      </c>
    </row>
    <row r="1574" ht="11.4" customHeight="1">
      <c r="A1574" s="67" t="inlineStr">
        <is>
          <t>大甜51</t>
        </is>
      </c>
      <c r="B1574" s="67" t="inlineStr">
        <is>
          <t>1049</t>
        </is>
      </c>
      <c r="C1574" s="67" t="inlineStr">
        <is>
          <t>1540</t>
        </is>
      </c>
      <c r="D1574" s="68" t="inlineStr">
        <is>
          <t>03</t>
        </is>
      </c>
      <c r="E1574" s="68" t="inlineStr">
        <is>
          <t>5 场地发展费</t>
        </is>
      </c>
      <c r="F1574" s="68" t="inlineStr">
        <is>
          <t>5.8 楼梯结构新建/改造</t>
        </is>
      </c>
      <c r="G1574" s="68" t="inlineStr">
        <is>
          <t>楼梯结构新建/改造</t>
        </is>
      </c>
      <c r="H1574" s="68" t="inlineStr">
        <is>
          <t>楼梯结构新建/改造</t>
        </is>
      </c>
      <c r="I1574" s="69" t="inlineStr">
        <is>
          <t>1000040106</t>
        </is>
      </c>
      <c r="J1574" s="69" t="inlineStr">
        <is>
          <t>新建钢砼楼梯</t>
        </is>
      </c>
      <c r="K1574" s="70" t="n"/>
      <c r="L1574" s="70" t="n"/>
      <c r="M1574" s="71" t="inlineStr">
        <is>
          <t>项</t>
        </is>
      </c>
      <c r="N1574" s="72" t="n"/>
      <c r="O1574" s="72">
        <f>ROUND(N1574*(1+$F$10),2)</f>
        <v/>
      </c>
      <c r="P1574" s="73">
        <f>ROUND(K1574*N1574,2)</f>
        <v/>
      </c>
      <c r="Q1574" s="74">
        <f>ROUND(L1574*N1574,2)</f>
        <v/>
      </c>
      <c r="R1574" s="75" t="n"/>
      <c r="S1574" s="76" t="n"/>
      <c r="T1574" s="77">
        <f>K1574-L1574</f>
        <v/>
      </c>
      <c r="U1574" s="77">
        <f>P1574-Q1574</f>
        <v/>
      </c>
      <c r="V1574" s="77">
        <f>ABS(U1574)</f>
        <v/>
      </c>
      <c r="W1574" s="78">
        <f>T1574/L1574</f>
        <v/>
      </c>
      <c r="X1574" s="79">
        <f>ABS(W1574)</f>
        <v/>
      </c>
    </row>
    <row r="1575" ht="11.4" customHeight="1">
      <c r="A1575" s="67" t="inlineStr">
        <is>
          <t>大甜51</t>
        </is>
      </c>
      <c r="B1575" s="67" t="inlineStr">
        <is>
          <t>1049</t>
        </is>
      </c>
      <c r="C1575" s="67" t="inlineStr">
        <is>
          <t>1540</t>
        </is>
      </c>
      <c r="D1575" s="68" t="inlineStr">
        <is>
          <t>03</t>
        </is>
      </c>
      <c r="E1575" s="68" t="inlineStr">
        <is>
          <t>5 场地发展费</t>
        </is>
      </c>
      <c r="F1575" s="68" t="inlineStr">
        <is>
          <t>5.8 楼梯结构新建/改造</t>
        </is>
      </c>
      <c r="G1575" s="68" t="inlineStr">
        <is>
          <t>楼梯结构新建/改造</t>
        </is>
      </c>
      <c r="H1575" s="68" t="inlineStr">
        <is>
          <t>楼梯结构新建/改造</t>
        </is>
      </c>
      <c r="I1575" s="69" t="inlineStr">
        <is>
          <t>1000040107</t>
        </is>
      </c>
      <c r="J1575" s="69" t="inlineStr">
        <is>
          <t>改建钢结构楼梯</t>
        </is>
      </c>
      <c r="K1575" s="70" t="n"/>
      <c r="L1575" s="70" t="n"/>
      <c r="M1575" s="71" t="inlineStr">
        <is>
          <t>项</t>
        </is>
      </c>
      <c r="N1575" s="72" t="n"/>
      <c r="O1575" s="72">
        <f>ROUND(N1575*(1+$F$10),2)</f>
        <v/>
      </c>
      <c r="P1575" s="73">
        <f>ROUND(K1575*N1575,2)</f>
        <v/>
      </c>
      <c r="Q1575" s="74">
        <f>ROUND(L1575*N1575,2)</f>
        <v/>
      </c>
      <c r="R1575" s="75" t="n"/>
      <c r="S1575" s="76" t="n"/>
      <c r="T1575" s="77">
        <f>K1575-L1575</f>
        <v/>
      </c>
      <c r="U1575" s="77">
        <f>P1575-Q1575</f>
        <v/>
      </c>
      <c r="V1575" s="77">
        <f>ABS(U1575)</f>
        <v/>
      </c>
      <c r="W1575" s="78">
        <f>T1575/L1575</f>
        <v/>
      </c>
      <c r="X1575" s="79">
        <f>ABS(W1575)</f>
        <v/>
      </c>
    </row>
    <row r="1576" ht="11.4" customHeight="1">
      <c r="A1576" s="67" t="inlineStr">
        <is>
          <t>大甜51</t>
        </is>
      </c>
      <c r="B1576" s="67" t="inlineStr">
        <is>
          <t>1049</t>
        </is>
      </c>
      <c r="C1576" s="67" t="inlineStr">
        <is>
          <t>1540</t>
        </is>
      </c>
      <c r="D1576" s="68" t="inlineStr">
        <is>
          <t>03</t>
        </is>
      </c>
      <c r="E1576" s="68" t="inlineStr">
        <is>
          <t>5 场地发展费</t>
        </is>
      </c>
      <c r="F1576" s="68" t="inlineStr">
        <is>
          <t>5.8 楼梯结构新建/改造</t>
        </is>
      </c>
      <c r="G1576" s="68" t="inlineStr">
        <is>
          <t>楼梯结构新建/改造</t>
        </is>
      </c>
      <c r="H1576" s="68" t="inlineStr">
        <is>
          <t>楼梯结构新建/改造</t>
        </is>
      </c>
      <c r="I1576" s="69" t="inlineStr">
        <is>
          <t>1000040108</t>
        </is>
      </c>
      <c r="J1576" s="69" t="inlineStr">
        <is>
          <t>改建钢砼楼梯</t>
        </is>
      </c>
      <c r="K1576" s="70" t="n"/>
      <c r="L1576" s="70" t="n"/>
      <c r="M1576" s="71" t="inlineStr">
        <is>
          <t>项</t>
        </is>
      </c>
      <c r="N1576" s="72" t="n"/>
      <c r="O1576" s="72">
        <f>ROUND(N1576*(1+$F$10),2)</f>
        <v/>
      </c>
      <c r="P1576" s="73">
        <f>ROUND(K1576*N1576,2)</f>
        <v/>
      </c>
      <c r="Q1576" s="74">
        <f>ROUND(L1576*N1576,2)</f>
        <v/>
      </c>
      <c r="R1576" s="75" t="n"/>
      <c r="S1576" s="76" t="n"/>
      <c r="T1576" s="77">
        <f>K1576-L1576</f>
        <v/>
      </c>
      <c r="U1576" s="77">
        <f>P1576-Q1576</f>
        <v/>
      </c>
      <c r="V1576" s="77">
        <f>ABS(U1576)</f>
        <v/>
      </c>
      <c r="W1576" s="78">
        <f>T1576/L1576</f>
        <v/>
      </c>
      <c r="X1576" s="79">
        <f>ABS(W1576)</f>
        <v/>
      </c>
    </row>
    <row r="1577" ht="11.4" customHeight="1">
      <c r="A1577" s="67" t="inlineStr">
        <is>
          <t>大甜56</t>
        </is>
      </c>
      <c r="B1577" s="67" t="inlineStr">
        <is>
          <t>1054</t>
        </is>
      </c>
      <c r="C1577" s="67" t="inlineStr">
        <is>
          <t>1611</t>
        </is>
      </c>
      <c r="D1577" s="68" t="inlineStr">
        <is>
          <t>03</t>
        </is>
      </c>
      <c r="E1577" s="68" t="inlineStr">
        <is>
          <t>6 物业施工费</t>
        </is>
      </c>
      <c r="F1577" s="68" t="inlineStr">
        <is>
          <t>6.1 总承包工程</t>
        </is>
      </c>
      <c r="G1577" s="68" t="inlineStr">
        <is>
          <t>6.1.1 内部装修工程</t>
        </is>
      </c>
      <c r="H1577" s="68" t="inlineStr">
        <is>
          <t>大堂地面（不含卫生间及楼梯）</t>
        </is>
      </c>
      <c r="I1577" s="69" t="inlineStr">
        <is>
          <t>1000021456</t>
        </is>
      </c>
      <c r="J1577" s="69" t="inlineStr">
        <is>
          <t>国产同质砖（琛雄，含不超过50mm厚的找平层）</t>
        </is>
      </c>
      <c r="K1577" s="70" t="n"/>
      <c r="L1577" s="70" t="n"/>
      <c r="M1577" s="71" t="inlineStr">
        <is>
          <t>m2</t>
        </is>
      </c>
      <c r="N1577" s="72" t="n">
        <v>180.78</v>
      </c>
      <c r="O1577" s="72">
        <f>ROUND(N1577*(1+$F$10),2)</f>
        <v/>
      </c>
      <c r="P1577" s="73">
        <f>ROUND(K1577*N1577,2)</f>
        <v/>
      </c>
      <c r="Q1577" s="74">
        <f>ROUND(L1577*N1577,2)</f>
        <v/>
      </c>
      <c r="R1577" s="75" t="n"/>
      <c r="S1577" s="76" t="n"/>
      <c r="T1577" s="77">
        <f>K1577-L1577</f>
        <v/>
      </c>
      <c r="U1577" s="77">
        <f>P1577-Q1577</f>
        <v/>
      </c>
      <c r="V1577" s="77">
        <f>ABS(U1577)</f>
        <v/>
      </c>
      <c r="W1577" s="78">
        <f>T1577/L1577</f>
        <v/>
      </c>
      <c r="X1577" s="79">
        <f>ABS(W1577)</f>
        <v/>
      </c>
    </row>
    <row r="1578" ht="11.4" customHeight="1">
      <c r="A1578" s="67" t="inlineStr">
        <is>
          <t>大甜56</t>
        </is>
      </c>
      <c r="B1578" s="67" t="inlineStr">
        <is>
          <t>1054</t>
        </is>
      </c>
      <c r="C1578" s="67" t="inlineStr">
        <is>
          <t>1611</t>
        </is>
      </c>
      <c r="D1578" s="68" t="inlineStr">
        <is>
          <t>03</t>
        </is>
      </c>
      <c r="E1578" s="68" t="inlineStr">
        <is>
          <t>6 物业施工费</t>
        </is>
      </c>
      <c r="F1578" s="68" t="inlineStr">
        <is>
          <t>6.1 总承包工程</t>
        </is>
      </c>
      <c r="G1578" s="68" t="inlineStr">
        <is>
          <t>6.1.1 内部装修工程</t>
        </is>
      </c>
      <c r="H1578" s="68" t="inlineStr">
        <is>
          <t>大堂地面（不含卫生间及楼梯）</t>
        </is>
      </c>
      <c r="I1578" s="69" t="inlineStr">
        <is>
          <t>1000021457</t>
        </is>
      </c>
      <c r="J1578" s="69" t="inlineStr">
        <is>
          <t>国产同质砖踢脚（琛雄）</t>
        </is>
      </c>
      <c r="K1578" s="70" t="n"/>
      <c r="L1578" s="70" t="n"/>
      <c r="M1578" s="71" t="inlineStr">
        <is>
          <t>米</t>
        </is>
      </c>
      <c r="N1578" s="72" t="n">
        <v>41.36</v>
      </c>
      <c r="O1578" s="72">
        <f>ROUND(N1578*(1+$F$10),2)</f>
        <v/>
      </c>
      <c r="P1578" s="73">
        <f>ROUND(K1578*N1578,2)</f>
        <v/>
      </c>
      <c r="Q1578" s="74">
        <f>ROUND(L1578*N1578,2)</f>
        <v/>
      </c>
      <c r="R1578" s="75" t="n"/>
      <c r="S1578" s="76" t="n"/>
      <c r="T1578" s="77">
        <f>K1578-L1578</f>
        <v/>
      </c>
      <c r="U1578" s="77">
        <f>P1578-Q1578</f>
        <v/>
      </c>
      <c r="V1578" s="77">
        <f>ABS(U1578)</f>
        <v/>
      </c>
      <c r="W1578" s="78">
        <f>T1578/L1578</f>
        <v/>
      </c>
      <c r="X1578" s="79">
        <f>ABS(W1578)</f>
        <v/>
      </c>
    </row>
    <row r="1579" ht="11.4" customHeight="1">
      <c r="A1579" s="67" t="inlineStr">
        <is>
          <t>大甜56</t>
        </is>
      </c>
      <c r="B1579" s="67" t="inlineStr">
        <is>
          <t>1054</t>
        </is>
      </c>
      <c r="C1579" s="67" t="inlineStr">
        <is>
          <t>1611</t>
        </is>
      </c>
      <c r="D1579" s="68" t="inlineStr">
        <is>
          <t>03</t>
        </is>
      </c>
      <c r="E1579" s="68" t="inlineStr">
        <is>
          <t>6 物业施工费</t>
        </is>
      </c>
      <c r="F1579" s="68" t="inlineStr">
        <is>
          <t>6.1 总承包工程</t>
        </is>
      </c>
      <c r="G1579" s="68" t="inlineStr">
        <is>
          <t>6.1.1 内部装修工程</t>
        </is>
      </c>
      <c r="H1579" s="68" t="inlineStr">
        <is>
          <t>大堂地面（不含卫生间及楼梯）</t>
        </is>
      </c>
      <c r="I1579" s="69" t="inlineStr">
        <is>
          <t>1000021643</t>
        </is>
      </c>
      <c r="J1579" s="69" t="inlineStr">
        <is>
          <t>国产同质砖（共荣，含不超过50mm厚的找平层）</t>
        </is>
      </c>
      <c r="K1579" s="70" t="n"/>
      <c r="L1579" s="70" t="n"/>
      <c r="M1579" s="71" t="inlineStr">
        <is>
          <t>m2</t>
        </is>
      </c>
      <c r="N1579" s="72" t="n">
        <v>160.21</v>
      </c>
      <c r="O1579" s="72">
        <f>ROUND(N1579*(1+$F$10),2)</f>
        <v/>
      </c>
      <c r="P1579" s="73">
        <f>ROUND(K1579*N1579,2)</f>
        <v/>
      </c>
      <c r="Q1579" s="74">
        <f>ROUND(L1579*N1579,2)</f>
        <v/>
      </c>
      <c r="R1579" s="75" t="n"/>
      <c r="S1579" s="76" t="n"/>
      <c r="T1579" s="77">
        <f>K1579-L1579</f>
        <v/>
      </c>
      <c r="U1579" s="77">
        <f>P1579-Q1579</f>
        <v/>
      </c>
      <c r="V1579" s="77">
        <f>ABS(U1579)</f>
        <v/>
      </c>
      <c r="W1579" s="78">
        <f>T1579/L1579</f>
        <v/>
      </c>
      <c r="X1579" s="79">
        <f>ABS(W1579)</f>
        <v/>
      </c>
    </row>
    <row r="1580" ht="11.4" customHeight="1">
      <c r="A1580" s="67" t="inlineStr">
        <is>
          <t>大甜56</t>
        </is>
      </c>
      <c r="B1580" s="67" t="inlineStr">
        <is>
          <t>1054</t>
        </is>
      </c>
      <c r="C1580" s="67" t="inlineStr">
        <is>
          <t>1611</t>
        </is>
      </c>
      <c r="D1580" s="68" t="inlineStr">
        <is>
          <t>03</t>
        </is>
      </c>
      <c r="E1580" s="68" t="inlineStr">
        <is>
          <t>6 物业施工费</t>
        </is>
      </c>
      <c r="F1580" s="68" t="inlineStr">
        <is>
          <t>6.1 总承包工程</t>
        </is>
      </c>
      <c r="G1580" s="68" t="inlineStr">
        <is>
          <t>6.1.1 内部装修工程</t>
        </is>
      </c>
      <c r="H1580" s="68" t="inlineStr">
        <is>
          <t>大堂地面（不含卫生间及楼梯）</t>
        </is>
      </c>
      <c r="I1580" s="69" t="inlineStr">
        <is>
          <t>1000021644</t>
        </is>
      </c>
      <c r="J1580" s="69" t="inlineStr">
        <is>
          <t>国产同质砖踢脚（共荣）</t>
        </is>
      </c>
      <c r="K1580" s="70" t="n"/>
      <c r="L1580" s="70" t="n"/>
      <c r="M1580" s="71" t="inlineStr">
        <is>
          <t>米</t>
        </is>
      </c>
      <c r="N1580" s="72" t="n">
        <v>38.94</v>
      </c>
      <c r="O1580" s="72">
        <f>ROUND(N1580*(1+$F$10),2)</f>
        <v/>
      </c>
      <c r="P1580" s="73">
        <f>ROUND(K1580*N1580,2)</f>
        <v/>
      </c>
      <c r="Q1580" s="74">
        <f>ROUND(L1580*N1580,2)</f>
        <v/>
      </c>
      <c r="R1580" s="75" t="n"/>
      <c r="S1580" s="76" t="n"/>
      <c r="T1580" s="77">
        <f>K1580-L1580</f>
        <v/>
      </c>
      <c r="U1580" s="77">
        <f>P1580-Q1580</f>
        <v/>
      </c>
      <c r="V1580" s="77">
        <f>ABS(U1580)</f>
        <v/>
      </c>
      <c r="W1580" s="78">
        <f>T1580/L1580</f>
        <v/>
      </c>
      <c r="X1580" s="79">
        <f>ABS(W1580)</f>
        <v/>
      </c>
    </row>
    <row r="1581" ht="11.4" customHeight="1">
      <c r="A1581" s="67" t="inlineStr">
        <is>
          <t>大甜56</t>
        </is>
      </c>
      <c r="B1581" s="67" t="inlineStr">
        <is>
          <t>1054</t>
        </is>
      </c>
      <c r="C1581" s="67" t="inlineStr">
        <is>
          <t>1611</t>
        </is>
      </c>
      <c r="D1581" s="68" t="inlineStr">
        <is>
          <t>03</t>
        </is>
      </c>
      <c r="E1581" s="68" t="inlineStr">
        <is>
          <t>6 物业施工费</t>
        </is>
      </c>
      <c r="F1581" s="68" t="inlineStr">
        <is>
          <t>6.1 总承包工程</t>
        </is>
      </c>
      <c r="G1581" s="68" t="inlineStr">
        <is>
          <t>6.1.1 内部装修工程</t>
        </is>
      </c>
      <c r="H1581" s="68" t="inlineStr">
        <is>
          <t>大堂地面（不含卫生间及楼梯）</t>
        </is>
      </c>
      <c r="I1581" s="69" t="inlineStr">
        <is>
          <t>1000021622</t>
        </is>
      </c>
      <c r="J1581" s="69" t="inlineStr">
        <is>
          <t>国产同质砖（冠军，含不超过50mm厚的找平层）</t>
        </is>
      </c>
      <c r="K1581" s="70" t="n"/>
      <c r="L1581" s="70" t="n"/>
      <c r="M1581" s="71" t="inlineStr">
        <is>
          <t>m2</t>
        </is>
      </c>
      <c r="N1581" s="72" t="n">
        <v>181.99</v>
      </c>
      <c r="O1581" s="72">
        <f>ROUND(N1581*(1+$F$10),2)</f>
        <v/>
      </c>
      <c r="P1581" s="73">
        <f>ROUND(K1581*N1581,2)</f>
        <v/>
      </c>
      <c r="Q1581" s="74">
        <f>ROUND(L1581*N1581,2)</f>
        <v/>
      </c>
      <c r="R1581" s="75" t="n"/>
      <c r="S1581" s="76" t="n"/>
      <c r="T1581" s="77">
        <f>K1581-L1581</f>
        <v/>
      </c>
      <c r="U1581" s="77">
        <f>P1581-Q1581</f>
        <v/>
      </c>
      <c r="V1581" s="77">
        <f>ABS(U1581)</f>
        <v/>
      </c>
      <c r="W1581" s="78">
        <f>T1581/L1581</f>
        <v/>
      </c>
      <c r="X1581" s="79">
        <f>ABS(W1581)</f>
        <v/>
      </c>
    </row>
    <row r="1582" ht="11.4" customHeight="1">
      <c r="A1582" s="67" t="inlineStr">
        <is>
          <t>大甜56</t>
        </is>
      </c>
      <c r="B1582" s="67" t="inlineStr">
        <is>
          <t>1054</t>
        </is>
      </c>
      <c r="C1582" s="67" t="inlineStr">
        <is>
          <t>1611</t>
        </is>
      </c>
      <c r="D1582" s="68" t="inlineStr">
        <is>
          <t>03</t>
        </is>
      </c>
      <c r="E1582" s="68" t="inlineStr">
        <is>
          <t>6 物业施工费</t>
        </is>
      </c>
      <c r="F1582" s="68" t="inlineStr">
        <is>
          <t>6.1 总承包工程</t>
        </is>
      </c>
      <c r="G1582" s="68" t="inlineStr">
        <is>
          <t>6.1.1 内部装修工程</t>
        </is>
      </c>
      <c r="H1582" s="68" t="inlineStr">
        <is>
          <t>大堂地面（不含卫生间及楼梯）</t>
        </is>
      </c>
      <c r="I1582" s="69" t="inlineStr">
        <is>
          <t>1000021623</t>
        </is>
      </c>
      <c r="J1582" s="69" t="inlineStr">
        <is>
          <t>国产同质砖踢脚（冠军）</t>
        </is>
      </c>
      <c r="K1582" s="70" t="n"/>
      <c r="L1582" s="70" t="n"/>
      <c r="M1582" s="71" t="inlineStr">
        <is>
          <t>米</t>
        </is>
      </c>
      <c r="N1582" s="72" t="n">
        <v>42.57</v>
      </c>
      <c r="O1582" s="72">
        <f>ROUND(N1582*(1+$F$10),2)</f>
        <v/>
      </c>
      <c r="P1582" s="73">
        <f>ROUND(K1582*N1582,2)</f>
        <v/>
      </c>
      <c r="Q1582" s="74">
        <f>ROUND(L1582*N1582,2)</f>
        <v/>
      </c>
      <c r="R1582" s="75" t="n"/>
      <c r="S1582" s="76" t="n"/>
      <c r="T1582" s="77">
        <f>K1582-L1582</f>
        <v/>
      </c>
      <c r="U1582" s="77">
        <f>P1582-Q1582</f>
        <v/>
      </c>
      <c r="V1582" s="77">
        <f>ABS(U1582)</f>
        <v/>
      </c>
      <c r="W1582" s="78">
        <f>T1582/L1582</f>
        <v/>
      </c>
      <c r="X1582" s="79">
        <f>ABS(W1582)</f>
        <v/>
      </c>
    </row>
    <row r="1583" ht="11.4" customHeight="1">
      <c r="A1583" s="67" t="inlineStr">
        <is>
          <t>大甜56</t>
        </is>
      </c>
      <c r="B1583" s="67" t="inlineStr">
        <is>
          <t>1054</t>
        </is>
      </c>
      <c r="C1583" s="67" t="inlineStr">
        <is>
          <t>1611</t>
        </is>
      </c>
      <c r="D1583" s="68" t="inlineStr">
        <is>
          <t>03</t>
        </is>
      </c>
      <c r="E1583" s="68" t="inlineStr">
        <is>
          <t>6 物业施工费</t>
        </is>
      </c>
      <c r="F1583" s="68" t="inlineStr">
        <is>
          <t>6.1 总承包工程</t>
        </is>
      </c>
      <c r="G1583" s="68" t="inlineStr">
        <is>
          <t>6.1.1 内部装修工程</t>
        </is>
      </c>
      <c r="H1583" s="68" t="inlineStr">
        <is>
          <t>大堂地面（不含卫生间及楼梯）</t>
        </is>
      </c>
      <c r="I1583" s="69" t="inlineStr">
        <is>
          <t>1000051755</t>
        </is>
      </c>
      <c r="J1583" s="69" t="inlineStr">
        <is>
          <t>600*600mm灰色水泥地砖（琛雄，含不超过50mm厚的找平层）</t>
        </is>
      </c>
      <c r="K1583" s="70" t="n"/>
      <c r="L1583" s="70" t="n"/>
      <c r="M1583" s="71" t="inlineStr">
        <is>
          <t>m2</t>
        </is>
      </c>
      <c r="N1583" s="72" t="n">
        <v>187.98</v>
      </c>
      <c r="O1583" s="72">
        <f>ROUND(N1583*(1+$F$10),2)</f>
        <v/>
      </c>
      <c r="P1583" s="73">
        <f>ROUND(K1583*N1583,2)</f>
        <v/>
      </c>
      <c r="Q1583" s="74">
        <f>ROUND(L1583*N1583,2)</f>
        <v/>
      </c>
      <c r="R1583" s="75" t="n"/>
      <c r="S1583" s="76" t="n"/>
      <c r="T1583" s="77">
        <f>K1583-L1583</f>
        <v/>
      </c>
      <c r="U1583" s="77">
        <f>P1583-Q1583</f>
        <v/>
      </c>
      <c r="V1583" s="77">
        <f>ABS(U1583)</f>
        <v/>
      </c>
      <c r="W1583" s="78">
        <f>T1583/L1583</f>
        <v/>
      </c>
      <c r="X1583" s="79">
        <f>ABS(W1583)</f>
        <v/>
      </c>
    </row>
    <row r="1584" ht="11.4" customHeight="1">
      <c r="A1584" s="67" t="inlineStr">
        <is>
          <t>大甜56</t>
        </is>
      </c>
      <c r="B1584" s="67" t="inlineStr">
        <is>
          <t>1054</t>
        </is>
      </c>
      <c r="C1584" s="67" t="inlineStr">
        <is>
          <t>1611</t>
        </is>
      </c>
      <c r="D1584" s="68" t="inlineStr">
        <is>
          <t>03</t>
        </is>
      </c>
      <c r="E1584" s="68" t="inlineStr">
        <is>
          <t>6 物业施工费</t>
        </is>
      </c>
      <c r="F1584" s="68" t="inlineStr">
        <is>
          <t>6.1 总承包工程</t>
        </is>
      </c>
      <c r="G1584" s="68" t="inlineStr">
        <is>
          <t>6.1.1 内部装修工程</t>
        </is>
      </c>
      <c r="H1584" s="68" t="inlineStr">
        <is>
          <t>大堂地面（不含卫生间及楼梯）</t>
        </is>
      </c>
      <c r="I1584" s="69" t="inlineStr">
        <is>
          <t>1000051756</t>
        </is>
      </c>
      <c r="J1584" s="69" t="inlineStr">
        <is>
          <t>600*600mm灰色水泥地砖（共荣，含不超过50mm厚的找平层）</t>
        </is>
      </c>
      <c r="K1584" s="70" t="n"/>
      <c r="L1584" s="70" t="n"/>
      <c r="M1584" s="71" t="inlineStr">
        <is>
          <t>m2</t>
        </is>
      </c>
      <c r="N1584" s="72" t="n">
        <v>171.66</v>
      </c>
      <c r="O1584" s="72">
        <f>ROUND(N1584*(1+$F$10),2)</f>
        <v/>
      </c>
      <c r="P1584" s="73">
        <f>ROUND(K1584*N1584,2)</f>
        <v/>
      </c>
      <c r="Q1584" s="74">
        <f>ROUND(L1584*N1584,2)</f>
        <v/>
      </c>
      <c r="R1584" s="75" t="n"/>
      <c r="S1584" s="76" t="n"/>
      <c r="T1584" s="77">
        <f>K1584-L1584</f>
        <v/>
      </c>
      <c r="U1584" s="77">
        <f>P1584-Q1584</f>
        <v/>
      </c>
      <c r="V1584" s="77">
        <f>ABS(U1584)</f>
        <v/>
      </c>
      <c r="W1584" s="78">
        <f>T1584/L1584</f>
        <v/>
      </c>
      <c r="X1584" s="79">
        <f>ABS(W1584)</f>
        <v/>
      </c>
    </row>
    <row r="1585" ht="11.4" customHeight="1">
      <c r="A1585" s="67" t="inlineStr">
        <is>
          <t>大甜56</t>
        </is>
      </c>
      <c r="B1585" s="67" t="inlineStr">
        <is>
          <t>1054</t>
        </is>
      </c>
      <c r="C1585" s="67" t="inlineStr">
        <is>
          <t>1611</t>
        </is>
      </c>
      <c r="D1585" s="68" t="inlineStr">
        <is>
          <t>03</t>
        </is>
      </c>
      <c r="E1585" s="68" t="inlineStr">
        <is>
          <t>6 物业施工费</t>
        </is>
      </c>
      <c r="F1585" s="68" t="inlineStr">
        <is>
          <t>6.1 总承包工程</t>
        </is>
      </c>
      <c r="G1585" s="68" t="inlineStr">
        <is>
          <t>6.1.1 内部装修工程</t>
        </is>
      </c>
      <c r="H1585" s="68" t="inlineStr">
        <is>
          <t>大堂地面（不含卫生间及楼梯）</t>
        </is>
      </c>
      <c r="I1585" s="69" t="inlineStr">
        <is>
          <t>1000051757</t>
        </is>
      </c>
      <c r="J1585" s="69" t="inlineStr">
        <is>
          <t>600*600mm灰色水泥地砖（冠军，含不超过50mm厚的找平层）</t>
        </is>
      </c>
      <c r="K1585" s="70" t="n"/>
      <c r="L1585" s="70" t="n"/>
      <c r="M1585" s="71" t="inlineStr">
        <is>
          <t>m2</t>
        </is>
      </c>
      <c r="N1585" s="72" t="n">
        <v>189.15</v>
      </c>
      <c r="O1585" s="72">
        <f>ROUND(N1585*(1+$F$10),2)</f>
        <v/>
      </c>
      <c r="P1585" s="73">
        <f>ROUND(K1585*N1585,2)</f>
        <v/>
      </c>
      <c r="Q1585" s="74">
        <f>ROUND(L1585*N1585,2)</f>
        <v/>
      </c>
      <c r="R1585" s="75" t="n"/>
      <c r="S1585" s="76" t="n"/>
      <c r="T1585" s="77">
        <f>K1585-L1585</f>
        <v/>
      </c>
      <c r="U1585" s="77">
        <f>P1585-Q1585</f>
        <v/>
      </c>
      <c r="V1585" s="77">
        <f>ABS(U1585)</f>
        <v/>
      </c>
      <c r="W1585" s="78">
        <f>T1585/L1585</f>
        <v/>
      </c>
      <c r="X1585" s="79">
        <f>ABS(W1585)</f>
        <v/>
      </c>
    </row>
    <row r="1586" ht="11.4" customHeight="1">
      <c r="A1586" s="67" t="inlineStr">
        <is>
          <t>大甜56</t>
        </is>
      </c>
      <c r="B1586" s="67" t="inlineStr">
        <is>
          <t>1054</t>
        </is>
      </c>
      <c r="C1586" s="67" t="inlineStr">
        <is>
          <t>1611</t>
        </is>
      </c>
      <c r="D1586" s="68" t="inlineStr">
        <is>
          <t>03</t>
        </is>
      </c>
      <c r="E1586" s="68" t="inlineStr">
        <is>
          <t>6 物业施工费</t>
        </is>
      </c>
      <c r="F1586" s="68" t="inlineStr">
        <is>
          <t>6.1 总承包工程</t>
        </is>
      </c>
      <c r="G1586" s="68" t="inlineStr">
        <is>
          <t>6.1.1 内部装修工程</t>
        </is>
      </c>
      <c r="H1586" s="68" t="inlineStr">
        <is>
          <t>大堂地面（不含卫生间及楼梯）</t>
        </is>
      </c>
      <c r="I1586" s="69" t="inlineStr">
        <is>
          <t>1000053612</t>
        </is>
      </c>
      <c r="J1586" s="69" t="inlineStr">
        <is>
          <t>灰色水泥纹踢脚（琛雄）</t>
        </is>
      </c>
      <c r="K1586" s="70" t="n"/>
      <c r="L1586" s="70" t="n"/>
      <c r="M1586" s="71" t="inlineStr">
        <is>
          <t>米</t>
        </is>
      </c>
      <c r="N1586" s="72" t="n">
        <v>41.36</v>
      </c>
      <c r="O1586" s="72">
        <f>ROUND(N1586*(1+$F$10),2)</f>
        <v/>
      </c>
      <c r="P1586" s="73">
        <f>ROUND(K1586*N1586,2)</f>
        <v/>
      </c>
      <c r="Q1586" s="74">
        <f>ROUND(L1586*N1586,2)</f>
        <v/>
      </c>
      <c r="R1586" s="75" t="n"/>
      <c r="S1586" s="76" t="n"/>
      <c r="T1586" s="77">
        <f>K1586-L1586</f>
        <v/>
      </c>
      <c r="U1586" s="77">
        <f>P1586-Q1586</f>
        <v/>
      </c>
      <c r="V1586" s="77">
        <f>ABS(U1586)</f>
        <v/>
      </c>
      <c r="W1586" s="78">
        <f>T1586/L1586</f>
        <v/>
      </c>
      <c r="X1586" s="79">
        <f>ABS(W1586)</f>
        <v/>
      </c>
    </row>
    <row r="1587" ht="11.4" customHeight="1">
      <c r="A1587" s="67" t="inlineStr">
        <is>
          <t>大甜56</t>
        </is>
      </c>
      <c r="B1587" s="67" t="inlineStr">
        <is>
          <t>1054</t>
        </is>
      </c>
      <c r="C1587" s="67" t="inlineStr">
        <is>
          <t>1611</t>
        </is>
      </c>
      <c r="D1587" s="68" t="inlineStr">
        <is>
          <t>03</t>
        </is>
      </c>
      <c r="E1587" s="68" t="inlineStr">
        <is>
          <t>6 物业施工费</t>
        </is>
      </c>
      <c r="F1587" s="68" t="inlineStr">
        <is>
          <t>6.1 总承包工程</t>
        </is>
      </c>
      <c r="G1587" s="68" t="inlineStr">
        <is>
          <t>6.1.1 内部装修工程</t>
        </is>
      </c>
      <c r="H1587" s="68" t="inlineStr">
        <is>
          <t>大堂地面（不含卫生间及楼梯）</t>
        </is>
      </c>
      <c r="I1587" s="69" t="inlineStr">
        <is>
          <t>1000053613</t>
        </is>
      </c>
      <c r="J1587" s="69" t="inlineStr">
        <is>
          <t>灰色水泥纹踢脚（共荣）</t>
        </is>
      </c>
      <c r="K1587" s="70" t="n"/>
      <c r="L1587" s="70" t="n"/>
      <c r="M1587" s="71" t="inlineStr">
        <is>
          <t>米</t>
        </is>
      </c>
      <c r="N1587" s="72" t="n">
        <v>38.94</v>
      </c>
      <c r="O1587" s="72">
        <f>ROUND(N1587*(1+$F$10),2)</f>
        <v/>
      </c>
      <c r="P1587" s="73">
        <f>ROUND(K1587*N1587,2)</f>
        <v/>
      </c>
      <c r="Q1587" s="74">
        <f>ROUND(L1587*N1587,2)</f>
        <v/>
      </c>
      <c r="R1587" s="75" t="n"/>
      <c r="S1587" s="76" t="n"/>
      <c r="T1587" s="77">
        <f>K1587-L1587</f>
        <v/>
      </c>
      <c r="U1587" s="77">
        <f>P1587-Q1587</f>
        <v/>
      </c>
      <c r="V1587" s="77">
        <f>ABS(U1587)</f>
        <v/>
      </c>
      <c r="W1587" s="78">
        <f>T1587/L1587</f>
        <v/>
      </c>
      <c r="X1587" s="79">
        <f>ABS(W1587)</f>
        <v/>
      </c>
    </row>
    <row r="1588" ht="11.4" customHeight="1">
      <c r="A1588" s="67" t="inlineStr">
        <is>
          <t>大甜56</t>
        </is>
      </c>
      <c r="B1588" s="67" t="inlineStr">
        <is>
          <t>1054</t>
        </is>
      </c>
      <c r="C1588" s="67" t="inlineStr">
        <is>
          <t>1611</t>
        </is>
      </c>
      <c r="D1588" s="68" t="inlineStr">
        <is>
          <t>03</t>
        </is>
      </c>
      <c r="E1588" s="68" t="inlineStr">
        <is>
          <t>6 物业施工费</t>
        </is>
      </c>
      <c r="F1588" s="68" t="inlineStr">
        <is>
          <t>6.1 总承包工程</t>
        </is>
      </c>
      <c r="G1588" s="68" t="inlineStr">
        <is>
          <t>6.1.1 内部装修工程</t>
        </is>
      </c>
      <c r="H1588" s="68" t="inlineStr">
        <is>
          <t>大堂地面（不含卫生间及楼梯）</t>
        </is>
      </c>
      <c r="I1588" s="69" t="inlineStr">
        <is>
          <t>1000053614</t>
        </is>
      </c>
      <c r="J1588" s="69" t="inlineStr">
        <is>
          <t>灰色水泥纹踢脚（冠军）</t>
        </is>
      </c>
      <c r="K1588" s="70" t="n"/>
      <c r="L1588" s="70" t="n"/>
      <c r="M1588" s="71" t="inlineStr">
        <is>
          <t>米</t>
        </is>
      </c>
      <c r="N1588" s="72" t="n">
        <v>40.15</v>
      </c>
      <c r="O1588" s="72">
        <f>ROUND(N1588*(1+$F$10),2)</f>
        <v/>
      </c>
      <c r="P1588" s="73">
        <f>ROUND(K1588*N1588,2)</f>
        <v/>
      </c>
      <c r="Q1588" s="74">
        <f>ROUND(L1588*N1588,2)</f>
        <v/>
      </c>
      <c r="R1588" s="75" t="n"/>
      <c r="S1588" s="76" t="n"/>
      <c r="T1588" s="77">
        <f>K1588-L1588</f>
        <v/>
      </c>
      <c r="U1588" s="77">
        <f>P1588-Q1588</f>
        <v/>
      </c>
      <c r="V1588" s="77">
        <f>ABS(U1588)</f>
        <v/>
      </c>
      <c r="W1588" s="78">
        <f>T1588/L1588</f>
        <v/>
      </c>
      <c r="X1588" s="79">
        <f>ABS(W1588)</f>
        <v/>
      </c>
    </row>
    <row r="1589" ht="11.4" customHeight="1">
      <c r="A1589" s="67" t="inlineStr">
        <is>
          <t>大甜56</t>
        </is>
      </c>
      <c r="B1589" s="67" t="inlineStr">
        <is>
          <t>1054</t>
        </is>
      </c>
      <c r="C1589" s="67" t="inlineStr">
        <is>
          <t>1611</t>
        </is>
      </c>
      <c r="D1589" s="68" t="inlineStr">
        <is>
          <t>03</t>
        </is>
      </c>
      <c r="E1589" s="68" t="inlineStr">
        <is>
          <t>6 物业施工费</t>
        </is>
      </c>
      <c r="F1589" s="68" t="inlineStr">
        <is>
          <t>6.1 总承包工程</t>
        </is>
      </c>
      <c r="G1589" s="68" t="inlineStr">
        <is>
          <t>6.1.1 内部装修工程</t>
        </is>
      </c>
      <c r="H1589" s="68" t="inlineStr">
        <is>
          <t>大堂地面（不含卫生间及楼梯）</t>
        </is>
      </c>
      <c r="I1589" s="69" t="inlineStr">
        <is>
          <t>1000021679</t>
        </is>
      </c>
      <c r="J1589" s="69" t="inlineStr">
        <is>
          <t>混凝土地面砖（琛雄，人字形拼接）</t>
        </is>
      </c>
      <c r="K1589" s="70" t="n"/>
      <c r="L1589" s="70" t="n"/>
      <c r="M1589" s="71" t="inlineStr">
        <is>
          <t>m2</t>
        </is>
      </c>
      <c r="N1589" s="72" t="n">
        <v>219.86</v>
      </c>
      <c r="O1589" s="72">
        <f>ROUND(N1589*(1+$F$10),2)</f>
        <v/>
      </c>
      <c r="P1589" s="73">
        <f>ROUND(K1589*N1589,2)</f>
        <v/>
      </c>
      <c r="Q1589" s="74">
        <f>ROUND(L1589*N1589,2)</f>
        <v/>
      </c>
      <c r="R1589" s="75" t="n"/>
      <c r="S1589" s="76" t="n"/>
      <c r="T1589" s="77">
        <f>K1589-L1589</f>
        <v/>
      </c>
      <c r="U1589" s="77">
        <f>P1589-Q1589</f>
        <v/>
      </c>
      <c r="V1589" s="77">
        <f>ABS(U1589)</f>
        <v/>
      </c>
      <c r="W1589" s="78">
        <f>T1589/L1589</f>
        <v/>
      </c>
      <c r="X1589" s="79">
        <f>ABS(W1589)</f>
        <v/>
      </c>
    </row>
    <row r="1590" ht="11.4" customHeight="1">
      <c r="A1590" s="67" t="inlineStr">
        <is>
          <t>大甜56</t>
        </is>
      </c>
      <c r="B1590" s="67" t="inlineStr">
        <is>
          <t>1054</t>
        </is>
      </c>
      <c r="C1590" s="67" t="inlineStr">
        <is>
          <t>1611</t>
        </is>
      </c>
      <c r="D1590" s="68" t="inlineStr">
        <is>
          <t>03</t>
        </is>
      </c>
      <c r="E1590" s="68" t="inlineStr">
        <is>
          <t>6 物业施工费</t>
        </is>
      </c>
      <c r="F1590" s="68" t="inlineStr">
        <is>
          <t>6.1 总承包工程</t>
        </is>
      </c>
      <c r="G1590" s="68" t="inlineStr">
        <is>
          <t>6.1.1 内部装修工程</t>
        </is>
      </c>
      <c r="H1590" s="68" t="inlineStr">
        <is>
          <t>大堂地面（不含卫生间及楼梯）</t>
        </is>
      </c>
      <c r="I1590" s="69" t="inlineStr">
        <is>
          <t>1000021678</t>
        </is>
      </c>
      <c r="J1590" s="69" t="inlineStr">
        <is>
          <t>混凝土地面砖（共荣，人字形拼接）</t>
        </is>
      </c>
      <c r="K1590" s="70" t="n"/>
      <c r="L1590" s="70" t="n"/>
      <c r="M1590" s="71" t="inlineStr">
        <is>
          <t>m2</t>
        </is>
      </c>
      <c r="N1590" s="72" t="n">
        <v>203.42</v>
      </c>
      <c r="O1590" s="72">
        <f>ROUND(N1590*(1+$F$10),2)</f>
        <v/>
      </c>
      <c r="P1590" s="73">
        <f>ROUND(K1590*N1590,2)</f>
        <v/>
      </c>
      <c r="Q1590" s="74">
        <f>ROUND(L1590*N1590,2)</f>
        <v/>
      </c>
      <c r="R1590" s="75" t="n"/>
      <c r="S1590" s="76" t="n"/>
      <c r="T1590" s="77">
        <f>K1590-L1590</f>
        <v/>
      </c>
      <c r="U1590" s="77">
        <f>P1590-Q1590</f>
        <v/>
      </c>
      <c r="V1590" s="77">
        <f>ABS(U1590)</f>
        <v/>
      </c>
      <c r="W1590" s="78">
        <f>T1590/L1590</f>
        <v/>
      </c>
      <c r="X1590" s="79">
        <f>ABS(W1590)</f>
        <v/>
      </c>
    </row>
    <row r="1591" ht="11.4" customHeight="1">
      <c r="A1591" s="67" t="inlineStr">
        <is>
          <t>大甜56</t>
        </is>
      </c>
      <c r="B1591" s="67" t="inlineStr">
        <is>
          <t>1054</t>
        </is>
      </c>
      <c r="C1591" s="67" t="inlineStr">
        <is>
          <t>1611</t>
        </is>
      </c>
      <c r="D1591" s="68" t="inlineStr">
        <is>
          <t>03</t>
        </is>
      </c>
      <c r="E1591" s="68" t="inlineStr">
        <is>
          <t>6 物业施工费</t>
        </is>
      </c>
      <c r="F1591" s="68" t="inlineStr">
        <is>
          <t>6.1 总承包工程</t>
        </is>
      </c>
      <c r="G1591" s="68" t="inlineStr">
        <is>
          <t>6.1.1 内部装修工程</t>
        </is>
      </c>
      <c r="H1591" s="68" t="inlineStr">
        <is>
          <t>大堂地面（不含卫生间及楼梯）</t>
        </is>
      </c>
      <c r="I1591" s="69" t="inlineStr">
        <is>
          <t>1000021460</t>
        </is>
      </c>
      <c r="J1591" s="69" t="inlineStr">
        <is>
          <t>混凝土地面砖（冠军，人字形拼接）</t>
        </is>
      </c>
      <c r="K1591" s="70" t="n"/>
      <c r="L1591" s="70" t="n"/>
      <c r="M1591" s="71" t="inlineStr">
        <is>
          <t>m2</t>
        </is>
      </c>
      <c r="N1591" s="72" t="n">
        <v>222.39</v>
      </c>
      <c r="O1591" s="72">
        <f>ROUND(N1591*(1+$F$10),2)</f>
        <v/>
      </c>
      <c r="P1591" s="73">
        <f>ROUND(K1591*N1591,2)</f>
        <v/>
      </c>
      <c r="Q1591" s="74">
        <f>ROUND(L1591*N1591,2)</f>
        <v/>
      </c>
      <c r="R1591" s="75" t="n"/>
      <c r="S1591" s="76" t="n"/>
      <c r="T1591" s="77">
        <f>K1591-L1591</f>
        <v/>
      </c>
      <c r="U1591" s="77">
        <f>P1591-Q1591</f>
        <v/>
      </c>
      <c r="V1591" s="77">
        <f>ABS(U1591)</f>
        <v/>
      </c>
      <c r="W1591" s="78">
        <f>T1591/L1591</f>
        <v/>
      </c>
      <c r="X1591" s="79">
        <f>ABS(W1591)</f>
        <v/>
      </c>
    </row>
    <row r="1592" ht="11.4" customHeight="1">
      <c r="A1592" s="67" t="inlineStr">
        <is>
          <t>大甜56</t>
        </is>
      </c>
      <c r="B1592" s="67" t="inlineStr">
        <is>
          <t>1054</t>
        </is>
      </c>
      <c r="C1592" s="67" t="inlineStr">
        <is>
          <t>1611</t>
        </is>
      </c>
      <c r="D1592" s="68" t="inlineStr">
        <is>
          <t>03</t>
        </is>
      </c>
      <c r="E1592" s="68" t="inlineStr">
        <is>
          <t>6 物业施工费</t>
        </is>
      </c>
      <c r="F1592" s="68" t="inlineStr">
        <is>
          <t>6.1 总承包工程</t>
        </is>
      </c>
      <c r="G1592" s="68" t="inlineStr">
        <is>
          <t>6.1.1 内部装修工程</t>
        </is>
      </c>
      <c r="H1592" s="68" t="inlineStr">
        <is>
          <t>大堂地面（不含卫生间及楼梯）</t>
        </is>
      </c>
      <c r="I1592" s="69" t="inlineStr">
        <is>
          <t>1000041810</t>
        </is>
      </c>
      <c r="J1592" s="69" t="inlineStr">
        <is>
          <t>黑色踢脚（琛雄，Geometry）</t>
        </is>
      </c>
      <c r="K1592" s="70" t="n"/>
      <c r="L1592" s="70" t="n"/>
      <c r="M1592" s="71" t="inlineStr">
        <is>
          <t>米</t>
        </is>
      </c>
      <c r="N1592" s="72" t="n">
        <v>41.36</v>
      </c>
      <c r="O1592" s="72">
        <f>ROUND(N1592*(1+$F$10),2)</f>
        <v/>
      </c>
      <c r="P1592" s="73">
        <f>ROUND(K1592*N1592,2)</f>
        <v/>
      </c>
      <c r="Q1592" s="74">
        <f>ROUND(L1592*N1592,2)</f>
        <v/>
      </c>
      <c r="R1592" s="75" t="n"/>
      <c r="S1592" s="76" t="n"/>
      <c r="T1592" s="77">
        <f>K1592-L1592</f>
        <v/>
      </c>
      <c r="U1592" s="77">
        <f>P1592-Q1592</f>
        <v/>
      </c>
      <c r="V1592" s="77">
        <f>ABS(U1592)</f>
        <v/>
      </c>
      <c r="W1592" s="78">
        <f>T1592/L1592</f>
        <v/>
      </c>
      <c r="X1592" s="79">
        <f>ABS(W1592)</f>
        <v/>
      </c>
    </row>
    <row r="1593" ht="11.4" customHeight="1">
      <c r="A1593" s="67" t="inlineStr">
        <is>
          <t>大甜56</t>
        </is>
      </c>
      <c r="B1593" s="67" t="inlineStr">
        <is>
          <t>1054</t>
        </is>
      </c>
      <c r="C1593" s="67" t="inlineStr">
        <is>
          <t>1611</t>
        </is>
      </c>
      <c r="D1593" s="68" t="inlineStr">
        <is>
          <t>03</t>
        </is>
      </c>
      <c r="E1593" s="68" t="inlineStr">
        <is>
          <t>6 物业施工费</t>
        </is>
      </c>
      <c r="F1593" s="68" t="inlineStr">
        <is>
          <t>6.1 总承包工程</t>
        </is>
      </c>
      <c r="G1593" s="68" t="inlineStr">
        <is>
          <t>6.1.1 内部装修工程</t>
        </is>
      </c>
      <c r="H1593" s="68" t="inlineStr">
        <is>
          <t>大堂地面（不含卫生间及楼梯）</t>
        </is>
      </c>
      <c r="I1593" s="69" t="inlineStr">
        <is>
          <t>1000041812</t>
        </is>
      </c>
      <c r="J1593" s="69" t="inlineStr">
        <is>
          <t>黑色踢脚（共荣，Geometry）</t>
        </is>
      </c>
      <c r="K1593" s="70" t="n"/>
      <c r="L1593" s="70" t="n"/>
      <c r="M1593" s="71" t="inlineStr">
        <is>
          <t>米</t>
        </is>
      </c>
      <c r="N1593" s="72" t="n">
        <v>40.15</v>
      </c>
      <c r="O1593" s="72">
        <f>ROUND(N1593*(1+$F$10),2)</f>
        <v/>
      </c>
      <c r="P1593" s="73">
        <f>ROUND(K1593*N1593,2)</f>
        <v/>
      </c>
      <c r="Q1593" s="74">
        <f>ROUND(L1593*N1593,2)</f>
        <v/>
      </c>
      <c r="R1593" s="75" t="n"/>
      <c r="S1593" s="76" t="n"/>
      <c r="T1593" s="77">
        <f>K1593-L1593</f>
        <v/>
      </c>
      <c r="U1593" s="77">
        <f>P1593-Q1593</f>
        <v/>
      </c>
      <c r="V1593" s="77">
        <f>ABS(U1593)</f>
        <v/>
      </c>
      <c r="W1593" s="78">
        <f>T1593/L1593</f>
        <v/>
      </c>
      <c r="X1593" s="79">
        <f>ABS(W1593)</f>
        <v/>
      </c>
    </row>
    <row r="1594" ht="11.4" customHeight="1">
      <c r="A1594" s="67" t="inlineStr">
        <is>
          <t>大甜56</t>
        </is>
      </c>
      <c r="B1594" s="67" t="inlineStr">
        <is>
          <t>1054</t>
        </is>
      </c>
      <c r="C1594" s="67" t="inlineStr">
        <is>
          <t>1611</t>
        </is>
      </c>
      <c r="D1594" s="68" t="inlineStr">
        <is>
          <t>03</t>
        </is>
      </c>
      <c r="E1594" s="68" t="inlineStr">
        <is>
          <t>6 物业施工费</t>
        </is>
      </c>
      <c r="F1594" s="68" t="inlineStr">
        <is>
          <t>6.1 总承包工程</t>
        </is>
      </c>
      <c r="G1594" s="68" t="inlineStr">
        <is>
          <t>6.1.1 内部装修工程</t>
        </is>
      </c>
      <c r="H1594" s="68" t="inlineStr">
        <is>
          <t>大堂地面（不含卫生间及楼梯）</t>
        </is>
      </c>
      <c r="I1594" s="69" t="inlineStr">
        <is>
          <t>1000041818</t>
        </is>
      </c>
      <c r="J1594" s="69" t="inlineStr">
        <is>
          <t>黑色踢脚（冠军，Geometry）</t>
        </is>
      </c>
      <c r="K1594" s="70" t="n"/>
      <c r="L1594" s="70" t="n"/>
      <c r="M1594" s="71" t="inlineStr">
        <is>
          <t>米</t>
        </is>
      </c>
      <c r="N1594" s="72" t="n">
        <v>41.36</v>
      </c>
      <c r="O1594" s="72">
        <f>ROUND(N1594*(1+$F$10),2)</f>
        <v/>
      </c>
      <c r="P1594" s="73">
        <f>ROUND(K1594*N1594,2)</f>
        <v/>
      </c>
      <c r="Q1594" s="74">
        <f>ROUND(L1594*N1594,2)</f>
        <v/>
      </c>
      <c r="R1594" s="75" t="n"/>
      <c r="S1594" s="76" t="n"/>
      <c r="T1594" s="77">
        <f>K1594-L1594</f>
        <v/>
      </c>
      <c r="U1594" s="77">
        <f>P1594-Q1594</f>
        <v/>
      </c>
      <c r="V1594" s="77">
        <f>ABS(U1594)</f>
        <v/>
      </c>
      <c r="W1594" s="78">
        <f>T1594/L1594</f>
        <v/>
      </c>
      <c r="X1594" s="79">
        <f>ABS(W1594)</f>
        <v/>
      </c>
    </row>
    <row r="1595" ht="11.4" customHeight="1">
      <c r="A1595" s="67" t="inlineStr">
        <is>
          <t>大甜56</t>
        </is>
      </c>
      <c r="B1595" s="67" t="inlineStr">
        <is>
          <t>1054</t>
        </is>
      </c>
      <c r="C1595" s="67" t="inlineStr">
        <is>
          <t>1611</t>
        </is>
      </c>
      <c r="D1595" s="68" t="inlineStr">
        <is>
          <t>03</t>
        </is>
      </c>
      <c r="E1595" s="68" t="inlineStr">
        <is>
          <t>6 物业施工费</t>
        </is>
      </c>
      <c r="F1595" s="68" t="inlineStr">
        <is>
          <t>6.1 总承包工程</t>
        </is>
      </c>
      <c r="G1595" s="68" t="inlineStr">
        <is>
          <t>6.1.1 内部装修工程</t>
        </is>
      </c>
      <c r="H1595" s="68" t="inlineStr">
        <is>
          <t>大堂地面（不含卫生间及楼梯）</t>
        </is>
      </c>
      <c r="I1595" s="69" t="inlineStr">
        <is>
          <t>1000021666</t>
        </is>
      </c>
      <c r="J1595" s="69" t="inlineStr">
        <is>
          <t>600*600mm水磨石地砖（琛雄，含不超过50mm厚的找平层）</t>
        </is>
      </c>
      <c r="K1595" s="70" t="n"/>
      <c r="L1595" s="70" t="n"/>
      <c r="M1595" s="71" t="inlineStr">
        <is>
          <t>m2</t>
        </is>
      </c>
      <c r="N1595" s="72" t="n">
        <v>196.14</v>
      </c>
      <c r="O1595" s="72">
        <f>ROUND(N1595*(1+$F$10),2)</f>
        <v/>
      </c>
      <c r="P1595" s="73">
        <f>ROUND(K1595*N1595,2)</f>
        <v/>
      </c>
      <c r="Q1595" s="74">
        <f>ROUND(L1595*N1595,2)</f>
        <v/>
      </c>
      <c r="R1595" s="75" t="n"/>
      <c r="S1595" s="76" t="n"/>
      <c r="T1595" s="77">
        <f>K1595-L1595</f>
        <v/>
      </c>
      <c r="U1595" s="77">
        <f>P1595-Q1595</f>
        <v/>
      </c>
      <c r="V1595" s="77">
        <f>ABS(U1595)</f>
        <v/>
      </c>
      <c r="W1595" s="78">
        <f>T1595/L1595</f>
        <v/>
      </c>
      <c r="X1595" s="79">
        <f>ABS(W1595)</f>
        <v/>
      </c>
    </row>
    <row r="1596" ht="11.4" customHeight="1">
      <c r="A1596" s="67" t="inlineStr">
        <is>
          <t>大甜56</t>
        </is>
      </c>
      <c r="B1596" s="67" t="inlineStr">
        <is>
          <t>1054</t>
        </is>
      </c>
      <c r="C1596" s="67" t="inlineStr">
        <is>
          <t>1611</t>
        </is>
      </c>
      <c r="D1596" s="68" t="inlineStr">
        <is>
          <t>03</t>
        </is>
      </c>
      <c r="E1596" s="68" t="inlineStr">
        <is>
          <t>6 物业施工费</t>
        </is>
      </c>
      <c r="F1596" s="68" t="inlineStr">
        <is>
          <t>6.1 总承包工程</t>
        </is>
      </c>
      <c r="G1596" s="68" t="inlineStr">
        <is>
          <t>6.1.1 内部装修工程</t>
        </is>
      </c>
      <c r="H1596" s="68" t="inlineStr">
        <is>
          <t>大堂地面（不含卫生间及楼梯）</t>
        </is>
      </c>
      <c r="I1596" s="69" t="inlineStr">
        <is>
          <t>1000021667</t>
        </is>
      </c>
      <c r="J1596" s="69" t="inlineStr">
        <is>
          <t>琛雄水磨石踢脚</t>
        </is>
      </c>
      <c r="K1596" s="70" t="n"/>
      <c r="L1596" s="70" t="n"/>
      <c r="M1596" s="71" t="inlineStr">
        <is>
          <t>米</t>
        </is>
      </c>
      <c r="N1596" s="72" t="n">
        <v>41.47</v>
      </c>
      <c r="O1596" s="72">
        <f>ROUND(N1596*(1+$F$10),2)</f>
        <v/>
      </c>
      <c r="P1596" s="73">
        <f>ROUND(K1596*N1596,2)</f>
        <v/>
      </c>
      <c r="Q1596" s="74">
        <f>ROUND(L1596*N1596,2)</f>
        <v/>
      </c>
      <c r="R1596" s="75" t="n"/>
      <c r="S1596" s="76" t="n"/>
      <c r="T1596" s="77">
        <f>K1596-L1596</f>
        <v/>
      </c>
      <c r="U1596" s="77">
        <f>P1596-Q1596</f>
        <v/>
      </c>
      <c r="V1596" s="77">
        <f>ABS(U1596)</f>
        <v/>
      </c>
      <c r="W1596" s="78">
        <f>T1596/L1596</f>
        <v/>
      </c>
      <c r="X1596" s="79">
        <f>ABS(W1596)</f>
        <v/>
      </c>
    </row>
    <row r="1597" ht="11.4" customHeight="1">
      <c r="A1597" s="67" t="inlineStr">
        <is>
          <t>大甜56</t>
        </is>
      </c>
      <c r="B1597" s="67" t="inlineStr">
        <is>
          <t>1054</t>
        </is>
      </c>
      <c r="C1597" s="67" t="inlineStr">
        <is>
          <t>1611</t>
        </is>
      </c>
      <c r="D1597" s="68" t="inlineStr">
        <is>
          <t>03</t>
        </is>
      </c>
      <c r="E1597" s="68" t="inlineStr">
        <is>
          <t>6 物业施工费</t>
        </is>
      </c>
      <c r="F1597" s="68" t="inlineStr">
        <is>
          <t>6.1 总承包工程</t>
        </is>
      </c>
      <c r="G1597" s="68" t="inlineStr">
        <is>
          <t>6.1.1 内部装修工程</t>
        </is>
      </c>
      <c r="H1597" s="68" t="inlineStr">
        <is>
          <t>大堂地面（不含卫生间及楼梯）</t>
        </is>
      </c>
      <c r="I1597" s="69" t="inlineStr">
        <is>
          <t>1000021462</t>
        </is>
      </c>
      <c r="J1597" s="69" t="inlineStr">
        <is>
          <t>600*600mm水磨石地砖（共荣，含不超过50mm厚的找平层）</t>
        </is>
      </c>
      <c r="K1597" s="70" t="n"/>
      <c r="L1597" s="70" t="n"/>
      <c r="M1597" s="71" t="inlineStr">
        <is>
          <t>m2</t>
        </is>
      </c>
      <c r="N1597" s="72" t="n">
        <v>179.82</v>
      </c>
      <c r="O1597" s="72">
        <f>ROUND(N1597*(1+$F$10),2)</f>
        <v/>
      </c>
      <c r="P1597" s="73">
        <f>ROUND(K1597*N1597,2)</f>
        <v/>
      </c>
      <c r="Q1597" s="74">
        <f>ROUND(L1597*N1597,2)</f>
        <v/>
      </c>
      <c r="R1597" s="75" t="n"/>
      <c r="S1597" s="76" t="n"/>
      <c r="T1597" s="77">
        <f>K1597-L1597</f>
        <v/>
      </c>
      <c r="U1597" s="77">
        <f>P1597-Q1597</f>
        <v/>
      </c>
      <c r="V1597" s="77">
        <f>ABS(U1597)</f>
        <v/>
      </c>
      <c r="W1597" s="78">
        <f>T1597/L1597</f>
        <v/>
      </c>
      <c r="X1597" s="79">
        <f>ABS(W1597)</f>
        <v/>
      </c>
    </row>
    <row r="1598" ht="11.4" customHeight="1">
      <c r="A1598" s="67" t="inlineStr">
        <is>
          <t>大甜56</t>
        </is>
      </c>
      <c r="B1598" s="67" t="inlineStr">
        <is>
          <t>1054</t>
        </is>
      </c>
      <c r="C1598" s="67" t="inlineStr">
        <is>
          <t>1611</t>
        </is>
      </c>
      <c r="D1598" s="68" t="inlineStr">
        <is>
          <t>03</t>
        </is>
      </c>
      <c r="E1598" s="68" t="inlineStr">
        <is>
          <t>6 物业施工费</t>
        </is>
      </c>
      <c r="F1598" s="68" t="inlineStr">
        <is>
          <t>6.1 总承包工程</t>
        </is>
      </c>
      <c r="G1598" s="68" t="inlineStr">
        <is>
          <t>6.1.1 内部装修工程</t>
        </is>
      </c>
      <c r="H1598" s="68" t="inlineStr">
        <is>
          <t>大堂地面（不含卫生间及楼梯）</t>
        </is>
      </c>
      <c r="I1598" s="69" t="inlineStr">
        <is>
          <t>1000021463</t>
        </is>
      </c>
      <c r="J1598" s="69" t="inlineStr">
        <is>
          <t>共荣水磨石踢脚</t>
        </is>
      </c>
      <c r="K1598" s="70" t="n"/>
      <c r="L1598" s="70" t="n"/>
      <c r="M1598" s="71" t="inlineStr">
        <is>
          <t>米</t>
        </is>
      </c>
      <c r="N1598" s="72" t="n">
        <v>37.84</v>
      </c>
      <c r="O1598" s="72">
        <f>ROUND(N1598*(1+$F$10),2)</f>
        <v/>
      </c>
      <c r="P1598" s="73">
        <f>ROUND(K1598*N1598,2)</f>
        <v/>
      </c>
      <c r="Q1598" s="74">
        <f>ROUND(L1598*N1598,2)</f>
        <v/>
      </c>
      <c r="R1598" s="75" t="n"/>
      <c r="S1598" s="76" t="n"/>
      <c r="T1598" s="77">
        <f>K1598-L1598</f>
        <v/>
      </c>
      <c r="U1598" s="77">
        <f>P1598-Q1598</f>
        <v/>
      </c>
      <c r="V1598" s="77">
        <f>ABS(U1598)</f>
        <v/>
      </c>
      <c r="W1598" s="78">
        <f>T1598/L1598</f>
        <v/>
      </c>
      <c r="X1598" s="79">
        <f>ABS(W1598)</f>
        <v/>
      </c>
    </row>
    <row r="1599" ht="11.4" customHeight="1">
      <c r="A1599" s="67" t="inlineStr">
        <is>
          <t>大甜56</t>
        </is>
      </c>
      <c r="B1599" s="67" t="inlineStr">
        <is>
          <t>1054</t>
        </is>
      </c>
      <c r="C1599" s="67" t="inlineStr">
        <is>
          <t>1611</t>
        </is>
      </c>
      <c r="D1599" s="68" t="inlineStr">
        <is>
          <t>03</t>
        </is>
      </c>
      <c r="E1599" s="68" t="inlineStr">
        <is>
          <t>6 物业施工费</t>
        </is>
      </c>
      <c r="F1599" s="68" t="inlineStr">
        <is>
          <t>6.1 总承包工程</t>
        </is>
      </c>
      <c r="G1599" s="68" t="inlineStr">
        <is>
          <t>6.1.1 内部装修工程</t>
        </is>
      </c>
      <c r="H1599" s="68" t="inlineStr">
        <is>
          <t>大堂地面（不含卫生间及楼梯）</t>
        </is>
      </c>
      <c r="I1599" s="69" t="inlineStr">
        <is>
          <t>1000021668</t>
        </is>
      </c>
      <c r="J1599" s="69" t="inlineStr">
        <is>
          <t>600*600mm水磨石地砖（冠军，含不超过50mm厚的找平层）</t>
        </is>
      </c>
      <c r="K1599" s="70" t="n"/>
      <c r="L1599" s="70" t="n"/>
      <c r="M1599" s="71" t="inlineStr">
        <is>
          <t>m2</t>
        </is>
      </c>
      <c r="N1599" s="72" t="n">
        <v>193.81</v>
      </c>
      <c r="O1599" s="72">
        <f>ROUND(N1599*(1+$F$10),2)</f>
        <v/>
      </c>
      <c r="P1599" s="73">
        <f>ROUND(K1599*N1599,2)</f>
        <v/>
      </c>
      <c r="Q1599" s="74">
        <f>ROUND(L1599*N1599,2)</f>
        <v/>
      </c>
      <c r="R1599" s="75" t="n"/>
      <c r="S1599" s="76" t="n"/>
      <c r="T1599" s="77">
        <f>K1599-L1599</f>
        <v/>
      </c>
      <c r="U1599" s="77">
        <f>P1599-Q1599</f>
        <v/>
      </c>
      <c r="V1599" s="77">
        <f>ABS(U1599)</f>
        <v/>
      </c>
      <c r="W1599" s="78">
        <f>T1599/L1599</f>
        <v/>
      </c>
      <c r="X1599" s="79">
        <f>ABS(W1599)</f>
        <v/>
      </c>
    </row>
    <row r="1600" ht="11.4" customHeight="1">
      <c r="A1600" s="67" t="inlineStr">
        <is>
          <t>大甜56</t>
        </is>
      </c>
      <c r="B1600" s="67" t="inlineStr">
        <is>
          <t>1054</t>
        </is>
      </c>
      <c r="C1600" s="67" t="inlineStr">
        <is>
          <t>1611</t>
        </is>
      </c>
      <c r="D1600" s="68" t="inlineStr">
        <is>
          <t>03</t>
        </is>
      </c>
      <c r="E1600" s="68" t="inlineStr">
        <is>
          <t>6 物业施工费</t>
        </is>
      </c>
      <c r="F1600" s="68" t="inlineStr">
        <is>
          <t>6.1 总承包工程</t>
        </is>
      </c>
      <c r="G1600" s="68" t="inlineStr">
        <is>
          <t>6.1.1 内部装修工程</t>
        </is>
      </c>
      <c r="H1600" s="68" t="inlineStr">
        <is>
          <t>大堂地面（不含卫生间及楼梯）</t>
        </is>
      </c>
      <c r="I1600" s="69" t="inlineStr">
        <is>
          <t>1000021669</t>
        </is>
      </c>
      <c r="J1600" s="69" t="inlineStr">
        <is>
          <t>冠军水磨石踢脚</t>
        </is>
      </c>
      <c r="K1600" s="70" t="n"/>
      <c r="L1600" s="70" t="n"/>
      <c r="M1600" s="71" t="inlineStr">
        <is>
          <t>米</t>
        </is>
      </c>
      <c r="N1600" s="72" t="n">
        <v>39.05</v>
      </c>
      <c r="O1600" s="72">
        <f>ROUND(N1600*(1+$F$10),2)</f>
        <v/>
      </c>
      <c r="P1600" s="73">
        <f>ROUND(K1600*N1600,2)</f>
        <v/>
      </c>
      <c r="Q1600" s="74">
        <f>ROUND(L1600*N1600,2)</f>
        <v/>
      </c>
      <c r="R1600" s="75" t="n"/>
      <c r="S1600" s="76" t="n"/>
      <c r="T1600" s="77">
        <f>K1600-L1600</f>
        <v/>
      </c>
      <c r="U1600" s="77">
        <f>P1600-Q1600</f>
        <v/>
      </c>
      <c r="V1600" s="77">
        <f>ABS(U1600)</f>
        <v/>
      </c>
      <c r="W1600" s="78">
        <f>T1600/L1600</f>
        <v/>
      </c>
      <c r="X1600" s="79">
        <f>ABS(W1600)</f>
        <v/>
      </c>
    </row>
    <row r="1601" ht="11.4" customHeight="1">
      <c r="A1601" s="67" t="inlineStr">
        <is>
          <t>大甜56</t>
        </is>
      </c>
      <c r="B1601" s="67" t="inlineStr">
        <is>
          <t>1054</t>
        </is>
      </c>
      <c r="C1601" s="67" t="inlineStr">
        <is>
          <t>1611</t>
        </is>
      </c>
      <c r="D1601" s="68" t="inlineStr">
        <is>
          <t>03</t>
        </is>
      </c>
      <c r="E1601" s="68" t="inlineStr">
        <is>
          <t>6 物业施工费</t>
        </is>
      </c>
      <c r="F1601" s="68" t="inlineStr">
        <is>
          <t>6.1 总承包工程</t>
        </is>
      </c>
      <c r="G1601" s="68" t="inlineStr">
        <is>
          <t>6.1.1 内部装修工程</t>
        </is>
      </c>
      <c r="H1601" s="68" t="inlineStr">
        <is>
          <t>大堂地面（不含卫生间及楼梯）</t>
        </is>
      </c>
      <c r="I1601" s="69" t="inlineStr">
        <is>
          <t>1000021670</t>
        </is>
      </c>
      <c r="J1601" s="69" t="inlineStr">
        <is>
          <t>木纹砖(琛雄，含不超过50mm厚的找平层)</t>
        </is>
      </c>
      <c r="K1601" s="70" t="n"/>
      <c r="L1601" s="70" t="n"/>
      <c r="M1601" s="71" t="inlineStr">
        <is>
          <t>m2</t>
        </is>
      </c>
      <c r="N1601" s="72" t="n">
        <v>178.2</v>
      </c>
      <c r="O1601" s="72">
        <f>ROUND(N1601*(1+$F$10),2)</f>
        <v/>
      </c>
      <c r="P1601" s="73">
        <f>ROUND(K1601*N1601,2)</f>
        <v/>
      </c>
      <c r="Q1601" s="74">
        <f>ROUND(L1601*N1601,2)</f>
        <v/>
      </c>
      <c r="R1601" s="75" t="n"/>
      <c r="S1601" s="76" t="n"/>
      <c r="T1601" s="77">
        <f>K1601-L1601</f>
        <v/>
      </c>
      <c r="U1601" s="77">
        <f>P1601-Q1601</f>
        <v/>
      </c>
      <c r="V1601" s="77">
        <f>ABS(U1601)</f>
        <v/>
      </c>
      <c r="W1601" s="78">
        <f>T1601/L1601</f>
        <v/>
      </c>
      <c r="X1601" s="79">
        <f>ABS(W1601)</f>
        <v/>
      </c>
    </row>
    <row r="1602" ht="11.4" customHeight="1">
      <c r="A1602" s="67" t="inlineStr">
        <is>
          <t>大甜56</t>
        </is>
      </c>
      <c r="B1602" s="67" t="inlineStr">
        <is>
          <t>1054</t>
        </is>
      </c>
      <c r="C1602" s="67" t="inlineStr">
        <is>
          <t>1611</t>
        </is>
      </c>
      <c r="D1602" s="68" t="inlineStr">
        <is>
          <t>03</t>
        </is>
      </c>
      <c r="E1602" s="68" t="inlineStr">
        <is>
          <t>6 物业施工费</t>
        </is>
      </c>
      <c r="F1602" s="68" t="inlineStr">
        <is>
          <t>6.1 总承包工程</t>
        </is>
      </c>
      <c r="G1602" s="68" t="inlineStr">
        <is>
          <t>6.1.1 内部装修工程</t>
        </is>
      </c>
      <c r="H1602" s="68" t="inlineStr">
        <is>
          <t>大堂地面（不含卫生间及楼梯）</t>
        </is>
      </c>
      <c r="I1602" s="69" t="inlineStr">
        <is>
          <t>1000021464</t>
        </is>
      </c>
      <c r="J1602" s="69" t="inlineStr">
        <is>
          <t>木纹砖（共荣，含不超过50mm厚的找平层）</t>
        </is>
      </c>
      <c r="K1602" s="70" t="n"/>
      <c r="L1602" s="70" t="n"/>
      <c r="M1602" s="71" t="inlineStr">
        <is>
          <t>m2</t>
        </is>
      </c>
      <c r="N1602" s="72" t="n">
        <v>170.67</v>
      </c>
      <c r="O1602" s="72">
        <f>ROUND(N1602*(1+$F$10),2)</f>
        <v/>
      </c>
      <c r="P1602" s="73">
        <f>ROUND(K1602*N1602,2)</f>
        <v/>
      </c>
      <c r="Q1602" s="74">
        <f>ROUND(L1602*N1602,2)</f>
        <v/>
      </c>
      <c r="R1602" s="75" t="n"/>
      <c r="S1602" s="76" t="n"/>
      <c r="T1602" s="77">
        <f>K1602-L1602</f>
        <v/>
      </c>
      <c r="U1602" s="77">
        <f>P1602-Q1602</f>
        <v/>
      </c>
      <c r="V1602" s="77">
        <f>ABS(U1602)</f>
        <v/>
      </c>
      <c r="W1602" s="78">
        <f>T1602/L1602</f>
        <v/>
      </c>
      <c r="X1602" s="79">
        <f>ABS(W1602)</f>
        <v/>
      </c>
    </row>
    <row r="1603" ht="11.4" customHeight="1">
      <c r="A1603" s="67" t="inlineStr">
        <is>
          <t>大甜56</t>
        </is>
      </c>
      <c r="B1603" s="67" t="inlineStr">
        <is>
          <t>1054</t>
        </is>
      </c>
      <c r="C1603" s="67" t="inlineStr">
        <is>
          <t>1611</t>
        </is>
      </c>
      <c r="D1603" s="68" t="inlineStr">
        <is>
          <t>03</t>
        </is>
      </c>
      <c r="E1603" s="68" t="inlineStr">
        <is>
          <t>6 物业施工费</t>
        </is>
      </c>
      <c r="F1603" s="68" t="inlineStr">
        <is>
          <t>6.1 总承包工程</t>
        </is>
      </c>
      <c r="G1603" s="68" t="inlineStr">
        <is>
          <t>6.1.1 内部装修工程</t>
        </is>
      </c>
      <c r="H1603" s="68" t="inlineStr">
        <is>
          <t>大堂地面（不含卫生间及楼梯）</t>
        </is>
      </c>
      <c r="I1603" s="69" t="inlineStr">
        <is>
          <t>1000021671</t>
        </is>
      </c>
      <c r="J1603" s="69" t="inlineStr">
        <is>
          <t>木纹砖(冠军，含不超过50mm厚的找平层)</t>
        </is>
      </c>
      <c r="K1603" s="70" t="n"/>
      <c r="L1603" s="70" t="n"/>
      <c r="M1603" s="71" t="inlineStr">
        <is>
          <t>m2</t>
        </is>
      </c>
      <c r="N1603" s="72" t="n">
        <v>181.7</v>
      </c>
      <c r="O1603" s="72">
        <f>ROUND(N1603*(1+$F$10),2)</f>
        <v/>
      </c>
      <c r="P1603" s="73">
        <f>ROUND(K1603*N1603,2)</f>
        <v/>
      </c>
      <c r="Q1603" s="74">
        <f>ROUND(L1603*N1603,2)</f>
        <v/>
      </c>
      <c r="R1603" s="75" t="n"/>
      <c r="S1603" s="76" t="n"/>
      <c r="T1603" s="77">
        <f>K1603-L1603</f>
        <v/>
      </c>
      <c r="U1603" s="77">
        <f>P1603-Q1603</f>
        <v/>
      </c>
      <c r="V1603" s="77">
        <f>ABS(U1603)</f>
        <v/>
      </c>
      <c r="W1603" s="78">
        <f>T1603/L1603</f>
        <v/>
      </c>
      <c r="X1603" s="79">
        <f>ABS(W1603)</f>
        <v/>
      </c>
    </row>
    <row r="1604" ht="11.4" customHeight="1">
      <c r="A1604" s="67" t="inlineStr">
        <is>
          <t>大甜56</t>
        </is>
      </c>
      <c r="B1604" s="67" t="inlineStr">
        <is>
          <t>1054</t>
        </is>
      </c>
      <c r="C1604" s="67" t="inlineStr">
        <is>
          <t>1611</t>
        </is>
      </c>
      <c r="D1604" s="68" t="inlineStr">
        <is>
          <t>03</t>
        </is>
      </c>
      <c r="E1604" s="68" t="inlineStr">
        <is>
          <t>6 物业施工费</t>
        </is>
      </c>
      <c r="F1604" s="68" t="inlineStr">
        <is>
          <t>6.1 总承包工程</t>
        </is>
      </c>
      <c r="G1604" s="68" t="inlineStr">
        <is>
          <t>6.1.1 内部装修工程</t>
        </is>
      </c>
      <c r="H1604" s="68" t="inlineStr">
        <is>
          <t>大堂地面（不含卫生间及楼梯）</t>
        </is>
      </c>
      <c r="I1604" s="69" t="inlineStr">
        <is>
          <t>1000021715</t>
        </is>
      </c>
      <c r="J1604" s="69" t="inlineStr">
        <is>
          <t>地面灰砖（琛雄，Luna）</t>
        </is>
      </c>
      <c r="K1604" s="70" t="n"/>
      <c r="L1604" s="70" t="n"/>
      <c r="M1604" s="71" t="inlineStr">
        <is>
          <t>m2</t>
        </is>
      </c>
      <c r="N1604" s="72" t="n">
        <v>180.78</v>
      </c>
      <c r="O1604" s="72">
        <f>ROUND(N1604*(1+$F$10),2)</f>
        <v/>
      </c>
      <c r="P1604" s="73">
        <f>ROUND(K1604*N1604,2)</f>
        <v/>
      </c>
      <c r="Q1604" s="74">
        <f>ROUND(L1604*N1604,2)</f>
        <v/>
      </c>
      <c r="R1604" s="75" t="n"/>
      <c r="S1604" s="76" t="n"/>
      <c r="T1604" s="77">
        <f>K1604-L1604</f>
        <v/>
      </c>
      <c r="U1604" s="77">
        <f>P1604-Q1604</f>
        <v/>
      </c>
      <c r="V1604" s="77">
        <f>ABS(U1604)</f>
        <v/>
      </c>
      <c r="W1604" s="78">
        <f>T1604/L1604</f>
        <v/>
      </c>
      <c r="X1604" s="79">
        <f>ABS(W1604)</f>
        <v/>
      </c>
    </row>
    <row r="1605" ht="11.4" customHeight="1">
      <c r="A1605" s="67" t="inlineStr">
        <is>
          <t>大甜56</t>
        </is>
      </c>
      <c r="B1605" s="67" t="inlineStr">
        <is>
          <t>1054</t>
        </is>
      </c>
      <c r="C1605" s="67" t="inlineStr">
        <is>
          <t>1611</t>
        </is>
      </c>
      <c r="D1605" s="68" t="inlineStr">
        <is>
          <t>03</t>
        </is>
      </c>
      <c r="E1605" s="68" t="inlineStr">
        <is>
          <t>6 物业施工费</t>
        </is>
      </c>
      <c r="F1605" s="68" t="inlineStr">
        <is>
          <t>6.1 总承包工程</t>
        </is>
      </c>
      <c r="G1605" s="68" t="inlineStr">
        <is>
          <t>6.1.1 内部装修工程</t>
        </is>
      </c>
      <c r="H1605" s="68" t="inlineStr">
        <is>
          <t>大堂地面（不含卫生间及楼梯）</t>
        </is>
      </c>
      <c r="I1605" s="69" t="inlineStr">
        <is>
          <t>1000041815</t>
        </is>
      </c>
      <c r="J1605" s="69" t="inlineStr">
        <is>
          <t>地面灰砖（共荣，Luna）</t>
        </is>
      </c>
      <c r="K1605" s="70" t="n"/>
      <c r="L1605" s="70" t="n"/>
      <c r="M1605" s="71" t="inlineStr">
        <is>
          <t>m2</t>
        </is>
      </c>
      <c r="N1605" s="72" t="n">
        <v>162.63</v>
      </c>
      <c r="O1605" s="72">
        <f>ROUND(N1605*(1+$F$10),2)</f>
        <v/>
      </c>
      <c r="P1605" s="73">
        <f>ROUND(K1605*N1605,2)</f>
        <v/>
      </c>
      <c r="Q1605" s="74">
        <f>ROUND(L1605*N1605,2)</f>
        <v/>
      </c>
      <c r="R1605" s="75" t="n"/>
      <c r="S1605" s="76" t="n"/>
      <c r="T1605" s="77">
        <f>K1605-L1605</f>
        <v/>
      </c>
      <c r="U1605" s="77">
        <f>P1605-Q1605</f>
        <v/>
      </c>
      <c r="V1605" s="77">
        <f>ABS(U1605)</f>
        <v/>
      </c>
      <c r="W1605" s="78">
        <f>T1605/L1605</f>
        <v/>
      </c>
      <c r="X1605" s="79">
        <f>ABS(W1605)</f>
        <v/>
      </c>
    </row>
    <row r="1606" ht="11.4" customHeight="1">
      <c r="A1606" s="67" t="inlineStr">
        <is>
          <t>大甜56</t>
        </is>
      </c>
      <c r="B1606" s="67" t="inlineStr">
        <is>
          <t>1054</t>
        </is>
      </c>
      <c r="C1606" s="67" t="inlineStr">
        <is>
          <t>1611</t>
        </is>
      </c>
      <c r="D1606" s="68" t="inlineStr">
        <is>
          <t>03</t>
        </is>
      </c>
      <c r="E1606" s="68" t="inlineStr">
        <is>
          <t>6 物业施工费</t>
        </is>
      </c>
      <c r="F1606" s="68" t="inlineStr">
        <is>
          <t>6.1 总承包工程</t>
        </is>
      </c>
      <c r="G1606" s="68" t="inlineStr">
        <is>
          <t>6.1.1 内部装修工程</t>
        </is>
      </c>
      <c r="H1606" s="68" t="inlineStr">
        <is>
          <t>大堂地面（不含卫生间及楼梯）</t>
        </is>
      </c>
      <c r="I1606" s="69" t="inlineStr">
        <is>
          <t>1000041821</t>
        </is>
      </c>
      <c r="J1606" s="69" t="inlineStr">
        <is>
          <t>地面灰砖（冠军，Luna）</t>
        </is>
      </c>
      <c r="K1606" s="70" t="n"/>
      <c r="L1606" s="70" t="n"/>
      <c r="M1606" s="71" t="inlineStr">
        <is>
          <t>m2</t>
        </is>
      </c>
      <c r="N1606" s="72" t="n">
        <v>183.2</v>
      </c>
      <c r="O1606" s="72">
        <f>ROUND(N1606*(1+$F$10),2)</f>
        <v/>
      </c>
      <c r="P1606" s="73">
        <f>ROUND(K1606*N1606,2)</f>
        <v/>
      </c>
      <c r="Q1606" s="74">
        <f>ROUND(L1606*N1606,2)</f>
        <v/>
      </c>
      <c r="R1606" s="75" t="n"/>
      <c r="S1606" s="76" t="n"/>
      <c r="T1606" s="77">
        <f>K1606-L1606</f>
        <v/>
      </c>
      <c r="U1606" s="77">
        <f>P1606-Q1606</f>
        <v/>
      </c>
      <c r="V1606" s="77">
        <f>ABS(U1606)</f>
        <v/>
      </c>
      <c r="W1606" s="78">
        <f>T1606/L1606</f>
        <v/>
      </c>
      <c r="X1606" s="79">
        <f>ABS(W1606)</f>
        <v/>
      </c>
    </row>
    <row r="1607" ht="11.4" customHeight="1">
      <c r="A1607" s="67" t="inlineStr">
        <is>
          <t>大甜56</t>
        </is>
      </c>
      <c r="B1607" s="67" t="inlineStr">
        <is>
          <t>1054</t>
        </is>
      </c>
      <c r="C1607" s="67" t="inlineStr">
        <is>
          <t>1611</t>
        </is>
      </c>
      <c r="D1607" s="68" t="inlineStr">
        <is>
          <t>03</t>
        </is>
      </c>
      <c r="E1607" s="68" t="inlineStr">
        <is>
          <t>6 物业施工费</t>
        </is>
      </c>
      <c r="F1607" s="68" t="inlineStr">
        <is>
          <t>6.1 总承包工程</t>
        </is>
      </c>
      <c r="G1607" s="68" t="inlineStr">
        <is>
          <t>6.1.1 内部装修工程</t>
        </is>
      </c>
      <c r="H1607" s="68" t="inlineStr">
        <is>
          <t>大堂地面（不含卫生间及楼梯）</t>
        </is>
      </c>
      <c r="I1607" s="69" t="inlineStr">
        <is>
          <t>1000021461</t>
        </is>
      </c>
      <c r="J1607" s="69" t="inlineStr">
        <is>
          <t>儿童乐园800*800mm白色亚光砖地面（琛雄）</t>
        </is>
      </c>
      <c r="K1607" s="70" t="n"/>
      <c r="L1607" s="70" t="n"/>
      <c r="M1607" s="71" t="inlineStr">
        <is>
          <t>m2</t>
        </is>
      </c>
      <c r="N1607" s="72" t="n">
        <v>205.46</v>
      </c>
      <c r="O1607" s="72">
        <f>ROUND(N1607*(1+$F$10),2)</f>
        <v/>
      </c>
      <c r="P1607" s="73">
        <f>ROUND(K1607*N1607,2)</f>
        <v/>
      </c>
      <c r="Q1607" s="74">
        <f>ROUND(L1607*N1607,2)</f>
        <v/>
      </c>
      <c r="R1607" s="75" t="n"/>
      <c r="S1607" s="76" t="n"/>
      <c r="T1607" s="77">
        <f>K1607-L1607</f>
        <v/>
      </c>
      <c r="U1607" s="77">
        <f>P1607-Q1607</f>
        <v/>
      </c>
      <c r="V1607" s="77">
        <f>ABS(U1607)</f>
        <v/>
      </c>
      <c r="W1607" s="78">
        <f>T1607/L1607</f>
        <v/>
      </c>
      <c r="X1607" s="79">
        <f>ABS(W1607)</f>
        <v/>
      </c>
    </row>
    <row r="1608" ht="11.4" customHeight="1">
      <c r="A1608" s="67" t="inlineStr">
        <is>
          <t>大甜56</t>
        </is>
      </c>
      <c r="B1608" s="67" t="inlineStr">
        <is>
          <t>1054</t>
        </is>
      </c>
      <c r="C1608" s="67" t="inlineStr">
        <is>
          <t>1611</t>
        </is>
      </c>
      <c r="D1608" s="68" t="inlineStr">
        <is>
          <t>03</t>
        </is>
      </c>
      <c r="E1608" s="68" t="inlineStr">
        <is>
          <t>6 物业施工费</t>
        </is>
      </c>
      <c r="F1608" s="68" t="inlineStr">
        <is>
          <t>6.1 总承包工程</t>
        </is>
      </c>
      <c r="G1608" s="68" t="inlineStr">
        <is>
          <t>6.1.1 内部装修工程</t>
        </is>
      </c>
      <c r="H1608" s="68" t="inlineStr">
        <is>
          <t>大堂地面（不含卫生间及楼梯）</t>
        </is>
      </c>
      <c r="I1608" s="69" t="inlineStr">
        <is>
          <t>1000021680</t>
        </is>
      </c>
      <c r="J1608" s="69" t="inlineStr">
        <is>
          <t>儿童乐园800*800mm白色亚光砖地面（共荣）</t>
        </is>
      </c>
      <c r="K1608" s="70" t="n"/>
      <c r="L1608" s="70" t="n"/>
      <c r="M1608" s="71" t="inlineStr">
        <is>
          <t>m2</t>
        </is>
      </c>
      <c r="N1608" s="72" t="n">
        <v>195.26</v>
      </c>
      <c r="O1608" s="72">
        <f>ROUND(N1608*(1+$F$10),2)</f>
        <v/>
      </c>
      <c r="P1608" s="73">
        <f>ROUND(K1608*N1608,2)</f>
        <v/>
      </c>
      <c r="Q1608" s="74">
        <f>ROUND(L1608*N1608,2)</f>
        <v/>
      </c>
      <c r="R1608" s="75" t="n"/>
      <c r="S1608" s="76" t="n"/>
      <c r="T1608" s="77">
        <f>K1608-L1608</f>
        <v/>
      </c>
      <c r="U1608" s="77">
        <f>P1608-Q1608</f>
        <v/>
      </c>
      <c r="V1608" s="77">
        <f>ABS(U1608)</f>
        <v/>
      </c>
      <c r="W1608" s="78">
        <f>T1608/L1608</f>
        <v/>
      </c>
      <c r="X1608" s="79">
        <f>ABS(W1608)</f>
        <v/>
      </c>
    </row>
    <row r="1609" ht="11.4" customHeight="1">
      <c r="A1609" s="67" t="inlineStr">
        <is>
          <t>大甜56</t>
        </is>
      </c>
      <c r="B1609" s="67" t="inlineStr">
        <is>
          <t>1054</t>
        </is>
      </c>
      <c r="C1609" s="67" t="inlineStr">
        <is>
          <t>1611</t>
        </is>
      </c>
      <c r="D1609" s="68" t="inlineStr">
        <is>
          <t>03</t>
        </is>
      </c>
      <c r="E1609" s="68" t="inlineStr">
        <is>
          <t>6 物业施工费</t>
        </is>
      </c>
      <c r="F1609" s="68" t="inlineStr">
        <is>
          <t>6.1 总承包工程</t>
        </is>
      </c>
      <c r="G1609" s="68" t="inlineStr">
        <is>
          <t>6.1.1 内部装修工程</t>
        </is>
      </c>
      <c r="H1609" s="68" t="inlineStr">
        <is>
          <t>大堂地面（不含卫生间及楼梯）</t>
        </is>
      </c>
      <c r="I1609" s="69" t="inlineStr">
        <is>
          <t>1000021681</t>
        </is>
      </c>
      <c r="J1609" s="69" t="inlineStr">
        <is>
          <t>儿童乐园800*800mm白色亚光砖地面（冠军）</t>
        </is>
      </c>
      <c r="K1609" s="70" t="n"/>
      <c r="L1609" s="70" t="n"/>
      <c r="M1609" s="71" t="inlineStr">
        <is>
          <t>m2</t>
        </is>
      </c>
      <c r="N1609" s="72" t="n">
        <v>205.46</v>
      </c>
      <c r="O1609" s="72">
        <f>ROUND(N1609*(1+$F$10),2)</f>
        <v/>
      </c>
      <c r="P1609" s="73">
        <f>ROUND(K1609*N1609,2)</f>
        <v/>
      </c>
      <c r="Q1609" s="74">
        <f>ROUND(L1609*N1609,2)</f>
        <v/>
      </c>
      <c r="R1609" s="75" t="n"/>
      <c r="S1609" s="76" t="n"/>
      <c r="T1609" s="77">
        <f>K1609-L1609</f>
        <v/>
      </c>
      <c r="U1609" s="77">
        <f>P1609-Q1609</f>
        <v/>
      </c>
      <c r="V1609" s="77">
        <f>ABS(U1609)</f>
        <v/>
      </c>
      <c r="W1609" s="78">
        <f>T1609/L1609</f>
        <v/>
      </c>
      <c r="X1609" s="79">
        <f>ABS(W1609)</f>
        <v/>
      </c>
    </row>
    <row r="1610" ht="11.4" customHeight="1">
      <c r="A1610" s="67" t="inlineStr">
        <is>
          <t>大甜56</t>
        </is>
      </c>
      <c r="B1610" s="67" t="inlineStr">
        <is>
          <t>1054</t>
        </is>
      </c>
      <c r="C1610" s="67" t="inlineStr">
        <is>
          <t>1611</t>
        </is>
      </c>
      <c r="D1610" s="68" t="inlineStr">
        <is>
          <t>03</t>
        </is>
      </c>
      <c r="E1610" s="68" t="inlineStr">
        <is>
          <t>6 物业施工费</t>
        </is>
      </c>
      <c r="F1610" s="68" t="inlineStr">
        <is>
          <t>6.1 总承包工程</t>
        </is>
      </c>
      <c r="G1610" s="68" t="inlineStr">
        <is>
          <t>6.1.1 内部装修工程</t>
        </is>
      </c>
      <c r="H1610" s="68" t="inlineStr">
        <is>
          <t>大堂地面（不含卫生间及楼梯）</t>
        </is>
      </c>
      <c r="I1610" s="69" t="inlineStr">
        <is>
          <t>1000021772</t>
        </is>
      </c>
      <c r="J1610" s="69" t="inlineStr">
        <is>
          <t>儿童乐园微晶石地面（含不超过50mm厚的找平层）</t>
        </is>
      </c>
      <c r="K1610" s="70" t="n"/>
      <c r="L1610" s="70" t="n"/>
      <c r="M1610" s="71" t="inlineStr">
        <is>
          <t>m2</t>
        </is>
      </c>
      <c r="N1610" s="72" t="n">
        <v>607.91</v>
      </c>
      <c r="O1610" s="72">
        <f>ROUND(N1610*(1+$F$10),2)</f>
        <v/>
      </c>
      <c r="P1610" s="73">
        <f>ROUND(K1610*N1610,2)</f>
        <v/>
      </c>
      <c r="Q1610" s="74">
        <f>ROUND(L1610*N1610,2)</f>
        <v/>
      </c>
      <c r="R1610" s="75" t="n"/>
      <c r="S1610" s="76" t="n"/>
      <c r="T1610" s="77">
        <f>K1610-L1610</f>
        <v/>
      </c>
      <c r="U1610" s="77">
        <f>P1610-Q1610</f>
        <v/>
      </c>
      <c r="V1610" s="77">
        <f>ABS(U1610)</f>
        <v/>
      </c>
      <c r="W1610" s="78">
        <f>T1610/L1610</f>
        <v/>
      </c>
      <c r="X1610" s="79">
        <f>ABS(W1610)</f>
        <v/>
      </c>
    </row>
    <row r="1611" ht="11.4" customHeight="1">
      <c r="A1611" s="67" t="inlineStr">
        <is>
          <t>大甜57</t>
        </is>
      </c>
      <c r="B1611" s="67" t="inlineStr">
        <is>
          <t>1055</t>
        </is>
      </c>
      <c r="C1611" s="67" t="inlineStr">
        <is>
          <t>1611</t>
        </is>
      </c>
      <c r="D1611" s="68" t="inlineStr">
        <is>
          <t>03</t>
        </is>
      </c>
      <c r="E1611" s="68" t="inlineStr">
        <is>
          <t>6 物业施工费</t>
        </is>
      </c>
      <c r="F1611" s="68" t="inlineStr">
        <is>
          <t>6.1 总承包工程</t>
        </is>
      </c>
      <c r="G1611" s="68" t="inlineStr">
        <is>
          <t>6.1.1 内部装修工程</t>
        </is>
      </c>
      <c r="H1611" s="68" t="inlineStr">
        <is>
          <t>大堂墙面基层和装饰层（不含卫生间及楼梯）</t>
        </is>
      </c>
      <c r="I1611" s="69" t="inlineStr">
        <is>
          <t>1000021773</t>
        </is>
      </c>
      <c r="J1611" s="69" t="inlineStr">
        <is>
          <t>墙面基层（木工板或硅酸钙板）</t>
        </is>
      </c>
      <c r="K1611" s="70" t="n"/>
      <c r="L1611" s="70" t="n"/>
      <c r="M1611" s="71" t="inlineStr">
        <is>
          <t>m2</t>
        </is>
      </c>
      <c r="N1611" s="72" t="n">
        <v>114.06</v>
      </c>
      <c r="O1611" s="72">
        <f>ROUND(N1611*(1+$F$10),2)</f>
        <v/>
      </c>
      <c r="P1611" s="73">
        <f>ROUND(K1611*N1611,2)</f>
        <v/>
      </c>
      <c r="Q1611" s="74">
        <f>ROUND(L1611*N1611,2)</f>
        <v/>
      </c>
      <c r="R1611" s="75" t="n"/>
      <c r="S1611" s="76" t="n"/>
      <c r="T1611" s="77">
        <f>K1611-L1611</f>
        <v/>
      </c>
      <c r="U1611" s="77">
        <f>P1611-Q1611</f>
        <v/>
      </c>
      <c r="V1611" s="77">
        <f>ABS(U1611)</f>
        <v/>
      </c>
      <c r="W1611" s="78">
        <f>T1611/L1611</f>
        <v/>
      </c>
      <c r="X1611" s="79">
        <f>ABS(W1611)</f>
        <v/>
      </c>
    </row>
    <row r="1612" ht="11.4" customHeight="1">
      <c r="A1612" s="67" t="inlineStr">
        <is>
          <t>大甜57</t>
        </is>
      </c>
      <c r="B1612" s="67" t="inlineStr">
        <is>
          <t>1055</t>
        </is>
      </c>
      <c r="C1612" s="67" t="inlineStr">
        <is>
          <t>1611</t>
        </is>
      </c>
      <c r="D1612" s="68" t="inlineStr">
        <is>
          <t>03</t>
        </is>
      </c>
      <c r="E1612" s="68" t="inlineStr">
        <is>
          <t>6 物业施工费</t>
        </is>
      </c>
      <c r="F1612" s="68" t="inlineStr">
        <is>
          <t>6.1 总承包工程</t>
        </is>
      </c>
      <c r="G1612" s="68" t="inlineStr">
        <is>
          <t>6.1.1 内部装修工程</t>
        </is>
      </c>
      <c r="H1612" s="68" t="inlineStr">
        <is>
          <t>大堂墙面基层和装饰层（不含卫生间及楼梯）</t>
        </is>
      </c>
      <c r="I1612" s="69" t="inlineStr">
        <is>
          <t>1000021465</t>
        </is>
      </c>
      <c r="J1612" s="69" t="inlineStr">
        <is>
          <t>墙面 /富美家木纹色防火板（不含基层）</t>
        </is>
      </c>
      <c r="K1612" s="70" t="n"/>
      <c r="L1612" s="70" t="n"/>
      <c r="M1612" s="71" t="inlineStr">
        <is>
          <t>m2</t>
        </is>
      </c>
      <c r="N1612" s="72" t="n">
        <v>197.83</v>
      </c>
      <c r="O1612" s="72">
        <f>ROUND(N1612*(1+$F$10),2)</f>
        <v/>
      </c>
      <c r="P1612" s="73">
        <f>ROUND(K1612*N1612,2)</f>
        <v/>
      </c>
      <c r="Q1612" s="74">
        <f>ROUND(L1612*N1612,2)</f>
        <v/>
      </c>
      <c r="R1612" s="75" t="n"/>
      <c r="S1612" s="76" t="n"/>
      <c r="T1612" s="77">
        <f>K1612-L1612</f>
        <v/>
      </c>
      <c r="U1612" s="77">
        <f>P1612-Q1612</f>
        <v/>
      </c>
      <c r="V1612" s="77">
        <f>ABS(U1612)</f>
        <v/>
      </c>
      <c r="W1612" s="78">
        <f>T1612/L1612</f>
        <v/>
      </c>
      <c r="X1612" s="79">
        <f>ABS(W1612)</f>
        <v/>
      </c>
    </row>
    <row r="1613" ht="11.4" customHeight="1">
      <c r="A1613" s="67" t="inlineStr">
        <is>
          <t>大甜57</t>
        </is>
      </c>
      <c r="B1613" s="67" t="inlineStr">
        <is>
          <t>1055</t>
        </is>
      </c>
      <c r="C1613" s="67" t="inlineStr">
        <is>
          <t>1611</t>
        </is>
      </c>
      <c r="D1613" s="68" t="inlineStr">
        <is>
          <t>03</t>
        </is>
      </c>
      <c r="E1613" s="68" t="inlineStr">
        <is>
          <t>6 物业施工费</t>
        </is>
      </c>
      <c r="F1613" s="68" t="inlineStr">
        <is>
          <t>6.1 总承包工程</t>
        </is>
      </c>
      <c r="G1613" s="68" t="inlineStr">
        <is>
          <t>6.1.1 内部装修工程</t>
        </is>
      </c>
      <c r="H1613" s="68" t="inlineStr">
        <is>
          <t>大堂墙面基层和装饰层（不含卫生间及楼梯）</t>
        </is>
      </c>
      <c r="I1613" s="69" t="inlineStr">
        <is>
          <t>1000040124</t>
        </is>
      </c>
      <c r="J1613" s="69" t="inlineStr">
        <is>
          <t>墙面 /富美家深灰色防火板（不含基层）</t>
        </is>
      </c>
      <c r="K1613" s="70" t="n"/>
      <c r="L1613" s="70" t="n"/>
      <c r="M1613" s="71" t="inlineStr">
        <is>
          <t>m2</t>
        </is>
      </c>
      <c r="N1613" s="72" t="n">
        <v>182.9</v>
      </c>
      <c r="O1613" s="72">
        <f>ROUND(N1613*(1+$F$10),2)</f>
        <v/>
      </c>
      <c r="P1613" s="73">
        <f>ROUND(K1613*N1613,2)</f>
        <v/>
      </c>
      <c r="Q1613" s="74">
        <f>ROUND(L1613*N1613,2)</f>
        <v/>
      </c>
      <c r="R1613" s="75" t="n"/>
      <c r="S1613" s="76" t="n"/>
      <c r="T1613" s="77">
        <f>K1613-L1613</f>
        <v/>
      </c>
      <c r="U1613" s="77">
        <f>P1613-Q1613</f>
        <v/>
      </c>
      <c r="V1613" s="77">
        <f>ABS(U1613)</f>
        <v/>
      </c>
      <c r="W1613" s="78">
        <f>T1613/L1613</f>
        <v/>
      </c>
      <c r="X1613" s="79">
        <f>ABS(W1613)</f>
        <v/>
      </c>
    </row>
    <row r="1614" ht="11.4" customHeight="1">
      <c r="A1614" s="67" t="inlineStr">
        <is>
          <t>大甜57</t>
        </is>
      </c>
      <c r="B1614" s="67" t="inlineStr">
        <is>
          <t>1055</t>
        </is>
      </c>
      <c r="C1614" s="67" t="inlineStr">
        <is>
          <t>1611</t>
        </is>
      </c>
      <c r="D1614" s="68" t="inlineStr">
        <is>
          <t>03</t>
        </is>
      </c>
      <c r="E1614" s="68" t="inlineStr">
        <is>
          <t>6 物业施工费</t>
        </is>
      </c>
      <c r="F1614" s="68" t="inlineStr">
        <is>
          <t>6.1 总承包工程</t>
        </is>
      </c>
      <c r="G1614" s="68" t="inlineStr">
        <is>
          <t>6.1.1 内部装修工程</t>
        </is>
      </c>
      <c r="H1614" s="68" t="inlineStr">
        <is>
          <t>大堂墙面基层和装饰层（不含卫生间及楼梯）</t>
        </is>
      </c>
      <c r="I1614" s="69" t="inlineStr">
        <is>
          <t>1000021625</t>
        </is>
      </c>
      <c r="J1614" s="69" t="inlineStr">
        <is>
          <t>墙面 /威盛亚木纹色防火板（不含基层）</t>
        </is>
      </c>
      <c r="K1614" s="70" t="n"/>
      <c r="L1614" s="70" t="n"/>
      <c r="M1614" s="71" t="inlineStr">
        <is>
          <t>m2</t>
        </is>
      </c>
      <c r="N1614" s="72" t="n">
        <v>186.66</v>
      </c>
      <c r="O1614" s="72">
        <f>ROUND(N1614*(1+$F$10),2)</f>
        <v/>
      </c>
      <c r="P1614" s="73">
        <f>ROUND(K1614*N1614,2)</f>
        <v/>
      </c>
      <c r="Q1614" s="74">
        <f>ROUND(L1614*N1614,2)</f>
        <v/>
      </c>
      <c r="R1614" s="75" t="n"/>
      <c r="S1614" s="76" t="n"/>
      <c r="T1614" s="77">
        <f>K1614-L1614</f>
        <v/>
      </c>
      <c r="U1614" s="77">
        <f>P1614-Q1614</f>
        <v/>
      </c>
      <c r="V1614" s="77">
        <f>ABS(U1614)</f>
        <v/>
      </c>
      <c r="W1614" s="78">
        <f>T1614/L1614</f>
        <v/>
      </c>
      <c r="X1614" s="79">
        <f>ABS(W1614)</f>
        <v/>
      </c>
    </row>
    <row r="1615" ht="11.4" customHeight="1">
      <c r="A1615" s="67" t="inlineStr">
        <is>
          <t>大甜57</t>
        </is>
      </c>
      <c r="B1615" s="67" t="inlineStr">
        <is>
          <t>1055</t>
        </is>
      </c>
      <c r="C1615" s="67" t="inlineStr">
        <is>
          <t>1611</t>
        </is>
      </c>
      <c r="D1615" s="68" t="inlineStr">
        <is>
          <t>03</t>
        </is>
      </c>
      <c r="E1615" s="68" t="inlineStr">
        <is>
          <t>6 物业施工费</t>
        </is>
      </c>
      <c r="F1615" s="68" t="inlineStr">
        <is>
          <t>6.1 总承包工程</t>
        </is>
      </c>
      <c r="G1615" s="68" t="inlineStr">
        <is>
          <t>6.1.1 内部装修工程</t>
        </is>
      </c>
      <c r="H1615" s="68" t="inlineStr">
        <is>
          <t>大堂墙面基层和装饰层（不含卫生间及楼梯）</t>
        </is>
      </c>
      <c r="I1615" s="69" t="inlineStr">
        <is>
          <t>1000021624</t>
        </is>
      </c>
      <c r="J1615" s="69" t="inlineStr">
        <is>
          <t>墙面 /威盛亚深灰色防火板（不含基层）</t>
        </is>
      </c>
      <c r="K1615" s="70" t="n"/>
      <c r="L1615" s="70" t="n"/>
      <c r="M1615" s="71" t="inlineStr">
        <is>
          <t>m2</t>
        </is>
      </c>
      <c r="N1615" s="72" t="n">
        <v>174.35</v>
      </c>
      <c r="O1615" s="72">
        <f>ROUND(N1615*(1+$F$10),2)</f>
        <v/>
      </c>
      <c r="P1615" s="73">
        <f>ROUND(K1615*N1615,2)</f>
        <v/>
      </c>
      <c r="Q1615" s="74">
        <f>ROUND(L1615*N1615,2)</f>
        <v/>
      </c>
      <c r="R1615" s="75" t="n"/>
      <c r="S1615" s="76" t="n"/>
      <c r="T1615" s="77">
        <f>K1615-L1615</f>
        <v/>
      </c>
      <c r="U1615" s="77">
        <f>P1615-Q1615</f>
        <v/>
      </c>
      <c r="V1615" s="77">
        <f>ABS(U1615)</f>
        <v/>
      </c>
      <c r="W1615" s="78">
        <f>T1615/L1615</f>
        <v/>
      </c>
      <c r="X1615" s="79">
        <f>ABS(W1615)</f>
        <v/>
      </c>
    </row>
    <row r="1616" ht="11.4" customHeight="1">
      <c r="A1616" s="67" t="inlineStr">
        <is>
          <t>大甜57</t>
        </is>
      </c>
      <c r="B1616" s="67" t="inlineStr">
        <is>
          <t>1055</t>
        </is>
      </c>
      <c r="C1616" s="67" t="inlineStr">
        <is>
          <t>1611</t>
        </is>
      </c>
      <c r="D1616" s="68" t="inlineStr">
        <is>
          <t>03</t>
        </is>
      </c>
      <c r="E1616" s="68" t="inlineStr">
        <is>
          <t>6 物业施工费</t>
        </is>
      </c>
      <c r="F1616" s="68" t="inlineStr">
        <is>
          <t>6.1 总承包工程</t>
        </is>
      </c>
      <c r="G1616" s="68" t="inlineStr">
        <is>
          <t>6.1.1 内部装修工程</t>
        </is>
      </c>
      <c r="H1616" s="68" t="inlineStr">
        <is>
          <t>大堂墙面基层和装饰层（不含卫生间及楼梯）</t>
        </is>
      </c>
      <c r="I1616" s="69" t="inlineStr">
        <is>
          <t>1000021466</t>
        </is>
      </c>
      <c r="J1616" s="69" t="inlineStr">
        <is>
          <t>墙面特种防火板(定制艺术板)（不含基层）</t>
        </is>
      </c>
      <c r="K1616" s="70" t="n"/>
      <c r="L1616" s="70" t="n"/>
      <c r="M1616" s="71" t="inlineStr">
        <is>
          <t>m2</t>
        </is>
      </c>
      <c r="N1616" s="72" t="n">
        <v>379.89</v>
      </c>
      <c r="O1616" s="72">
        <f>ROUND(N1616*(1+$F$10),2)</f>
        <v/>
      </c>
      <c r="P1616" s="73">
        <f>ROUND(K1616*N1616,2)</f>
        <v/>
      </c>
      <c r="Q1616" s="74">
        <f>ROUND(L1616*N1616,2)</f>
        <v/>
      </c>
      <c r="R1616" s="75" t="n"/>
      <c r="S1616" s="76" t="n"/>
      <c r="T1616" s="77">
        <f>K1616-L1616</f>
        <v/>
      </c>
      <c r="U1616" s="77">
        <f>P1616-Q1616</f>
        <v/>
      </c>
      <c r="V1616" s="77">
        <f>ABS(U1616)</f>
        <v/>
      </c>
      <c r="W1616" s="78">
        <f>T1616/L1616</f>
        <v/>
      </c>
      <c r="X1616" s="79">
        <f>ABS(W1616)</f>
        <v/>
      </c>
    </row>
    <row r="1617" ht="11.4" customHeight="1">
      <c r="A1617" s="67" t="inlineStr">
        <is>
          <t>大甜57</t>
        </is>
      </c>
      <c r="B1617" s="67" t="inlineStr">
        <is>
          <t>1055</t>
        </is>
      </c>
      <c r="C1617" s="67" t="inlineStr">
        <is>
          <t>1611</t>
        </is>
      </c>
      <c r="D1617" s="68" t="inlineStr">
        <is>
          <t>03</t>
        </is>
      </c>
      <c r="E1617" s="68" t="inlineStr">
        <is>
          <t>6 物业施工费</t>
        </is>
      </c>
      <c r="F1617" s="68" t="inlineStr">
        <is>
          <t>6.1 总承包工程</t>
        </is>
      </c>
      <c r="G1617" s="68" t="inlineStr">
        <is>
          <t>6.1.1 内部装修工程</t>
        </is>
      </c>
      <c r="H1617" s="68" t="inlineStr">
        <is>
          <t>大堂墙面基层和装饰层（不含卫生间及楼梯）</t>
        </is>
      </c>
      <c r="I1617" s="69" t="inlineStr">
        <is>
          <t>1000021467</t>
        </is>
      </c>
      <c r="J1617" s="69" t="inlineStr">
        <is>
          <t>纤维水泥板（室内）</t>
        </is>
      </c>
      <c r="K1617" s="70" t="n"/>
      <c r="L1617" s="70" t="n"/>
      <c r="M1617" s="71" t="inlineStr">
        <is>
          <t>m2</t>
        </is>
      </c>
      <c r="N1617" s="72" t="n">
        <v>219.2</v>
      </c>
      <c r="O1617" s="72">
        <f>ROUND(N1617*(1+$F$10),2)</f>
        <v/>
      </c>
      <c r="P1617" s="73">
        <f>ROUND(K1617*N1617,2)</f>
        <v/>
      </c>
      <c r="Q1617" s="74">
        <f>ROUND(L1617*N1617,2)</f>
        <v/>
      </c>
      <c r="R1617" s="75" t="n"/>
      <c r="S1617" s="76" t="n"/>
      <c r="T1617" s="77">
        <f>K1617-L1617</f>
        <v/>
      </c>
      <c r="U1617" s="77">
        <f>P1617-Q1617</f>
        <v/>
      </c>
      <c r="V1617" s="77">
        <f>ABS(U1617)</f>
        <v/>
      </c>
      <c r="W1617" s="78">
        <f>T1617/L1617</f>
        <v/>
      </c>
      <c r="X1617" s="79">
        <f>ABS(W1617)</f>
        <v/>
      </c>
    </row>
    <row r="1618" ht="11.4" customHeight="1">
      <c r="A1618" s="67" t="inlineStr">
        <is>
          <t>大甜57</t>
        </is>
      </c>
      <c r="B1618" s="67" t="inlineStr">
        <is>
          <t>1055</t>
        </is>
      </c>
      <c r="C1618" s="67" t="inlineStr">
        <is>
          <t>1611</t>
        </is>
      </c>
      <c r="D1618" s="68" t="inlineStr">
        <is>
          <t>03</t>
        </is>
      </c>
      <c r="E1618" s="68" t="inlineStr">
        <is>
          <t>6 物业施工费</t>
        </is>
      </c>
      <c r="F1618" s="68" t="inlineStr">
        <is>
          <t>6.1 总承包工程</t>
        </is>
      </c>
      <c r="G1618" s="68" t="inlineStr">
        <is>
          <t>6.1.1 内部装修工程</t>
        </is>
      </c>
      <c r="H1618" s="68" t="inlineStr">
        <is>
          <t>大堂墙面基层和装饰层（不含卫生间及楼梯）</t>
        </is>
      </c>
      <c r="I1618" s="69" t="inlineStr">
        <is>
          <t>1000021470</t>
        </is>
      </c>
      <c r="J1618" s="69" t="inlineStr">
        <is>
          <t>木材纹文理层压板（地板上墙）</t>
        </is>
      </c>
      <c r="K1618" s="70" t="n"/>
      <c r="L1618" s="70" t="n"/>
      <c r="M1618" s="71" t="inlineStr">
        <is>
          <t>m2</t>
        </is>
      </c>
      <c r="N1618" s="72" t="n">
        <v>402.43</v>
      </c>
      <c r="O1618" s="72">
        <f>ROUND(N1618*(1+$F$10),2)</f>
        <v/>
      </c>
      <c r="P1618" s="73">
        <f>ROUND(K1618*N1618,2)</f>
        <v/>
      </c>
      <c r="Q1618" s="74">
        <f>ROUND(L1618*N1618,2)</f>
        <v/>
      </c>
      <c r="R1618" s="75" t="n"/>
      <c r="S1618" s="76" t="n"/>
      <c r="T1618" s="77">
        <f>K1618-L1618</f>
        <v/>
      </c>
      <c r="U1618" s="77">
        <f>P1618-Q1618</f>
        <v/>
      </c>
      <c r="V1618" s="77">
        <f>ABS(U1618)</f>
        <v/>
      </c>
      <c r="W1618" s="78">
        <f>T1618/L1618</f>
        <v/>
      </c>
      <c r="X1618" s="79">
        <f>ABS(W1618)</f>
        <v/>
      </c>
    </row>
    <row r="1619" ht="11.4" customHeight="1">
      <c r="A1619" s="67" t="inlineStr">
        <is>
          <t>大甜57</t>
        </is>
      </c>
      <c r="B1619" s="67" t="inlineStr">
        <is>
          <t>1055</t>
        </is>
      </c>
      <c r="C1619" s="67" t="inlineStr">
        <is>
          <t>1611</t>
        </is>
      </c>
      <c r="D1619" s="68" t="inlineStr">
        <is>
          <t>03</t>
        </is>
      </c>
      <c r="E1619" s="68" t="inlineStr">
        <is>
          <t>6 物业施工费</t>
        </is>
      </c>
      <c r="F1619" s="68" t="inlineStr">
        <is>
          <t>6.1 总承包工程</t>
        </is>
      </c>
      <c r="G1619" s="68" t="inlineStr">
        <is>
          <t>6.1.1 内部装修工程</t>
        </is>
      </c>
      <c r="H1619" s="68" t="inlineStr">
        <is>
          <t>大堂墙面基层和装饰层（不含卫生间及楼梯）</t>
        </is>
      </c>
      <c r="I1619" s="69" t="inlineStr">
        <is>
          <t>1000021774</t>
        </is>
      </c>
      <c r="J1619" s="69" t="inlineStr">
        <is>
          <t>A级防火铝型材墙板-墙面基层（方管龙骨）</t>
        </is>
      </c>
      <c r="K1619" s="70" t="n"/>
      <c r="L1619" s="70" t="n"/>
      <c r="M1619" s="71" t="inlineStr">
        <is>
          <t>m2</t>
        </is>
      </c>
      <c r="N1619" s="72" t="n">
        <v>70.84999999999999</v>
      </c>
      <c r="O1619" s="72">
        <f>ROUND(N1619*(1+$F$10),2)</f>
        <v/>
      </c>
      <c r="P1619" s="73">
        <f>ROUND(K1619*N1619,2)</f>
        <v/>
      </c>
      <c r="Q1619" s="74">
        <f>ROUND(L1619*N1619,2)</f>
        <v/>
      </c>
      <c r="R1619" s="75" t="n"/>
      <c r="S1619" s="76" t="n"/>
      <c r="T1619" s="77">
        <f>K1619-L1619</f>
        <v/>
      </c>
      <c r="U1619" s="77">
        <f>P1619-Q1619</f>
        <v/>
      </c>
      <c r="V1619" s="77">
        <f>ABS(U1619)</f>
        <v/>
      </c>
      <c r="W1619" s="78">
        <f>T1619/L1619</f>
        <v/>
      </c>
      <c r="X1619" s="79">
        <f>ABS(W1619)</f>
        <v/>
      </c>
    </row>
    <row r="1620" ht="11.4" customHeight="1">
      <c r="A1620" s="67" t="inlineStr">
        <is>
          <t>大甜57</t>
        </is>
      </c>
      <c r="B1620" s="67" t="inlineStr">
        <is>
          <t>1055</t>
        </is>
      </c>
      <c r="C1620" s="67" t="inlineStr">
        <is>
          <t>1611</t>
        </is>
      </c>
      <c r="D1620" s="68" t="inlineStr">
        <is>
          <t>03</t>
        </is>
      </c>
      <c r="E1620" s="68" t="inlineStr">
        <is>
          <t>6 物业施工费</t>
        </is>
      </c>
      <c r="F1620" s="68" t="inlineStr">
        <is>
          <t>6.1 总承包工程</t>
        </is>
      </c>
      <c r="G1620" s="68" t="inlineStr">
        <is>
          <t>6.1.1 内部装修工程</t>
        </is>
      </c>
      <c r="H1620" s="68" t="inlineStr">
        <is>
          <t>大堂墙面基层和装饰层（不含卫生间及楼梯）</t>
        </is>
      </c>
      <c r="I1620" s="69" t="inlineStr">
        <is>
          <t>1000021775</t>
        </is>
      </c>
      <c r="J1620" s="69" t="inlineStr">
        <is>
          <t>A级防火铝型材墙板-主材</t>
        </is>
      </c>
      <c r="K1620" s="70" t="n"/>
      <c r="L1620" s="70" t="n"/>
      <c r="M1620" s="71" t="inlineStr">
        <is>
          <t>m2</t>
        </is>
      </c>
      <c r="N1620" s="72" t="n">
        <v>307.56</v>
      </c>
      <c r="O1620" s="72">
        <f>ROUND(N1620*(1+$F$10),2)</f>
        <v/>
      </c>
      <c r="P1620" s="73">
        <f>ROUND(K1620*N1620,2)</f>
        <v/>
      </c>
      <c r="Q1620" s="74">
        <f>ROUND(L1620*N1620,2)</f>
        <v/>
      </c>
      <c r="R1620" s="75" t="n"/>
      <c r="S1620" s="76" t="n"/>
      <c r="T1620" s="77">
        <f>K1620-L1620</f>
        <v/>
      </c>
      <c r="U1620" s="77">
        <f>P1620-Q1620</f>
        <v/>
      </c>
      <c r="V1620" s="77">
        <f>ABS(U1620)</f>
        <v/>
      </c>
      <c r="W1620" s="78">
        <f>T1620/L1620</f>
        <v/>
      </c>
      <c r="X1620" s="79">
        <f>ABS(W1620)</f>
        <v/>
      </c>
    </row>
    <row r="1621" ht="11.4" customHeight="1">
      <c r="A1621" s="67" t="inlineStr">
        <is>
          <t>大甜57</t>
        </is>
      </c>
      <c r="B1621" s="67" t="inlineStr">
        <is>
          <t>1055</t>
        </is>
      </c>
      <c r="C1621" s="67" t="inlineStr">
        <is>
          <t>1611</t>
        </is>
      </c>
      <c r="D1621" s="68" t="inlineStr">
        <is>
          <t>03</t>
        </is>
      </c>
      <c r="E1621" s="68" t="inlineStr">
        <is>
          <t>6 物业施工费</t>
        </is>
      </c>
      <c r="F1621" s="68" t="inlineStr">
        <is>
          <t>6.1 总承包工程</t>
        </is>
      </c>
      <c r="G1621" s="68" t="inlineStr">
        <is>
          <t>6.1.1 内部装修工程</t>
        </is>
      </c>
      <c r="H1621" s="68" t="inlineStr">
        <is>
          <t>大堂墙面基层和装饰层（不含卫生间及楼梯）</t>
        </is>
      </c>
      <c r="I1621" s="69" t="inlineStr">
        <is>
          <t>1000021776</t>
        </is>
      </c>
      <c r="J1621" s="69" t="inlineStr">
        <is>
          <t>A级防火铝型材墙板--安装</t>
        </is>
      </c>
      <c r="K1621" s="70" t="n"/>
      <c r="L1621" s="70" t="n"/>
      <c r="M1621" s="71" t="inlineStr">
        <is>
          <t>m2</t>
        </is>
      </c>
      <c r="N1621" s="72" t="n">
        <v>39.59</v>
      </c>
      <c r="O1621" s="72">
        <f>ROUND(N1621*(1+$F$10),2)</f>
        <v/>
      </c>
      <c r="P1621" s="73">
        <f>ROUND(K1621*N1621,2)</f>
        <v/>
      </c>
      <c r="Q1621" s="74">
        <f>ROUND(L1621*N1621,2)</f>
        <v/>
      </c>
      <c r="R1621" s="75" t="n"/>
      <c r="S1621" s="76" t="n"/>
      <c r="T1621" s="77">
        <f>K1621-L1621</f>
        <v/>
      </c>
      <c r="U1621" s="77">
        <f>P1621-Q1621</f>
        <v/>
      </c>
      <c r="V1621" s="77">
        <f>ABS(U1621)</f>
        <v/>
      </c>
      <c r="W1621" s="78">
        <f>T1621/L1621</f>
        <v/>
      </c>
      <c r="X1621" s="79">
        <f>ABS(W1621)</f>
        <v/>
      </c>
    </row>
    <row r="1622" ht="11.4" customHeight="1">
      <c r="A1622" s="67" t="inlineStr">
        <is>
          <t>大甜57</t>
        </is>
      </c>
      <c r="B1622" s="67" t="inlineStr">
        <is>
          <t>1055</t>
        </is>
      </c>
      <c r="C1622" s="67" t="inlineStr">
        <is>
          <t>1611</t>
        </is>
      </c>
      <c r="D1622" s="68" t="inlineStr">
        <is>
          <t>03</t>
        </is>
      </c>
      <c r="E1622" s="68" t="inlineStr">
        <is>
          <t>6 物业施工费</t>
        </is>
      </c>
      <c r="F1622" s="68" t="inlineStr">
        <is>
          <t>6.1 总承包工程</t>
        </is>
      </c>
      <c r="G1622" s="68" t="inlineStr">
        <is>
          <t>6.1.1 内部装修工程</t>
        </is>
      </c>
      <c r="H1622" s="68" t="inlineStr">
        <is>
          <t>大堂墙面基层和装饰层（不含卫生间及楼梯）</t>
        </is>
      </c>
      <c r="I1622" s="69" t="inlineStr">
        <is>
          <t>1000021468</t>
        </is>
      </c>
      <c r="J1622" s="69" t="inlineStr">
        <is>
          <t>墙面PMC墙板（琛雄，薄贴法，B1级）</t>
        </is>
      </c>
      <c r="K1622" s="70" t="n"/>
      <c r="L1622" s="70" t="n"/>
      <c r="M1622" s="71" t="inlineStr">
        <is>
          <t>m2</t>
        </is>
      </c>
      <c r="N1622" s="72" t="n">
        <v>203.22</v>
      </c>
      <c r="O1622" s="72">
        <f>ROUND(N1622*(1+$F$10),2)</f>
        <v/>
      </c>
      <c r="P1622" s="73">
        <f>ROUND(K1622*N1622,2)</f>
        <v/>
      </c>
      <c r="Q1622" s="74">
        <f>ROUND(L1622*N1622,2)</f>
        <v/>
      </c>
      <c r="R1622" s="75" t="n"/>
      <c r="S1622" s="76" t="n"/>
      <c r="T1622" s="77">
        <f>K1622-L1622</f>
        <v/>
      </c>
      <c r="U1622" s="77">
        <f>P1622-Q1622</f>
        <v/>
      </c>
      <c r="V1622" s="77">
        <f>ABS(U1622)</f>
        <v/>
      </c>
      <c r="W1622" s="78">
        <f>T1622/L1622</f>
        <v/>
      </c>
      <c r="X1622" s="79">
        <f>ABS(W1622)</f>
        <v/>
      </c>
    </row>
    <row r="1623" ht="11.4" customHeight="1">
      <c r="A1623" s="67" t="inlineStr">
        <is>
          <t>大甜57</t>
        </is>
      </c>
      <c r="B1623" s="67" t="inlineStr">
        <is>
          <t>1055</t>
        </is>
      </c>
      <c r="C1623" s="67" t="inlineStr">
        <is>
          <t>1611</t>
        </is>
      </c>
      <c r="D1623" s="68" t="inlineStr">
        <is>
          <t>03</t>
        </is>
      </c>
      <c r="E1623" s="68" t="inlineStr">
        <is>
          <t>6 物业施工费</t>
        </is>
      </c>
      <c r="F1623" s="68" t="inlineStr">
        <is>
          <t>6.1 总承包工程</t>
        </is>
      </c>
      <c r="G1623" s="68" t="inlineStr">
        <is>
          <t>6.1.1 内部装修工程</t>
        </is>
      </c>
      <c r="H1623" s="68" t="inlineStr">
        <is>
          <t>大堂墙面基层和装饰层（不含卫生间及楼梯）</t>
        </is>
      </c>
      <c r="I1623" s="69" t="inlineStr">
        <is>
          <t>1000021469</t>
        </is>
      </c>
      <c r="J1623" s="69" t="inlineStr">
        <is>
          <t>墙面PMC墙板（琛雄，点龙骨施工，B1级）</t>
        </is>
      </c>
      <c r="K1623" s="70" t="n"/>
      <c r="L1623" s="70" t="n"/>
      <c r="M1623" s="71" t="inlineStr">
        <is>
          <t>m2</t>
        </is>
      </c>
      <c r="N1623" s="72" t="n">
        <v>268.9</v>
      </c>
      <c r="O1623" s="72">
        <f>ROUND(N1623*(1+$F$10),2)</f>
        <v/>
      </c>
      <c r="P1623" s="73">
        <f>ROUND(K1623*N1623,2)</f>
        <v/>
      </c>
      <c r="Q1623" s="74">
        <f>ROUND(L1623*N1623,2)</f>
        <v/>
      </c>
      <c r="R1623" s="75" t="n"/>
      <c r="S1623" s="76" t="n"/>
      <c r="T1623" s="77">
        <f>K1623-L1623</f>
        <v/>
      </c>
      <c r="U1623" s="77">
        <f>P1623-Q1623</f>
        <v/>
      </c>
      <c r="V1623" s="77">
        <f>ABS(U1623)</f>
        <v/>
      </c>
      <c r="W1623" s="78">
        <f>T1623/L1623</f>
        <v/>
      </c>
      <c r="X1623" s="79">
        <f>ABS(W1623)</f>
        <v/>
      </c>
    </row>
    <row r="1624" ht="11.4" customHeight="1">
      <c r="A1624" s="67" t="inlineStr">
        <is>
          <t>大甜57</t>
        </is>
      </c>
      <c r="B1624" s="67" t="inlineStr">
        <is>
          <t>1055</t>
        </is>
      </c>
      <c r="C1624" s="67" t="inlineStr">
        <is>
          <t>1611</t>
        </is>
      </c>
      <c r="D1624" s="68" t="inlineStr">
        <is>
          <t>03</t>
        </is>
      </c>
      <c r="E1624" s="68" t="inlineStr">
        <is>
          <t>6 物业施工费</t>
        </is>
      </c>
      <c r="F1624" s="68" t="inlineStr">
        <is>
          <t>6.1 总承包工程</t>
        </is>
      </c>
      <c r="G1624" s="68" t="inlineStr">
        <is>
          <t>6.1.1 内部装修工程</t>
        </is>
      </c>
      <c r="H1624" s="68" t="inlineStr">
        <is>
          <t>大堂墙面基层和装饰层（不含卫生间及楼梯）</t>
        </is>
      </c>
      <c r="I1624" s="69" t="inlineStr">
        <is>
          <t>1000021777</t>
        </is>
      </c>
      <c r="J1624" s="69" t="inlineStr">
        <is>
          <t>墙面抹平压光</t>
        </is>
      </c>
      <c r="K1624" s="70" t="n"/>
      <c r="L1624" s="70" t="n"/>
      <c r="M1624" s="71" t="inlineStr">
        <is>
          <t>m2</t>
        </is>
      </c>
      <c r="N1624" s="72" t="n">
        <v>17.39</v>
      </c>
      <c r="O1624" s="72">
        <f>ROUND(N1624*(1+$F$10),2)</f>
        <v/>
      </c>
      <c r="P1624" s="73">
        <f>ROUND(K1624*N1624,2)</f>
        <v/>
      </c>
      <c r="Q1624" s="74">
        <f>ROUND(L1624*N1624,2)</f>
        <v/>
      </c>
      <c r="R1624" s="75" t="n"/>
      <c r="S1624" s="76" t="n"/>
      <c r="T1624" s="77">
        <f>K1624-L1624</f>
        <v/>
      </c>
      <c r="U1624" s="77">
        <f>P1624-Q1624</f>
        <v/>
      </c>
      <c r="V1624" s="77">
        <f>ABS(U1624)</f>
        <v/>
      </c>
      <c r="W1624" s="78">
        <f>T1624/L1624</f>
        <v/>
      </c>
      <c r="X1624" s="79">
        <f>ABS(W1624)</f>
        <v/>
      </c>
    </row>
    <row r="1625" ht="11.4" customHeight="1">
      <c r="A1625" s="67" t="inlineStr">
        <is>
          <t>大甜57</t>
        </is>
      </c>
      <c r="B1625" s="67" t="inlineStr">
        <is>
          <t>1055</t>
        </is>
      </c>
      <c r="C1625" s="67" t="inlineStr">
        <is>
          <t>1611</t>
        </is>
      </c>
      <c r="D1625" s="68" t="inlineStr">
        <is>
          <t>03</t>
        </is>
      </c>
      <c r="E1625" s="68" t="inlineStr">
        <is>
          <t>6 物业施工费</t>
        </is>
      </c>
      <c r="F1625" s="68" t="inlineStr">
        <is>
          <t>6.1 总承包工程</t>
        </is>
      </c>
      <c r="G1625" s="68" t="inlineStr">
        <is>
          <t>6.1.1 内部装修工程</t>
        </is>
      </c>
      <c r="H1625" s="68" t="inlineStr">
        <is>
          <t>大堂墙面基层和装饰层（不含卫生间及楼梯）</t>
        </is>
      </c>
      <c r="I1625" s="69" t="inlineStr">
        <is>
          <t>1000021713</t>
        </is>
      </c>
      <c r="J1625" s="69" t="inlineStr">
        <is>
          <t>墙面多彩板（琛雄，仿涂料效果，B1级）</t>
        </is>
      </c>
      <c r="K1625" s="70" t="n"/>
      <c r="L1625" s="70" t="n"/>
      <c r="M1625" s="71" t="inlineStr">
        <is>
          <t>m2</t>
        </is>
      </c>
      <c r="N1625" s="72" t="n">
        <v>266.78</v>
      </c>
      <c r="O1625" s="72">
        <f>ROUND(N1625*(1+$F$10),2)</f>
        <v/>
      </c>
      <c r="P1625" s="73">
        <f>ROUND(K1625*N1625,2)</f>
        <v/>
      </c>
      <c r="Q1625" s="74">
        <f>ROUND(L1625*N1625,2)</f>
        <v/>
      </c>
      <c r="R1625" s="75" t="n"/>
      <c r="S1625" s="76" t="n"/>
      <c r="T1625" s="77">
        <f>K1625-L1625</f>
        <v/>
      </c>
      <c r="U1625" s="77">
        <f>P1625-Q1625</f>
        <v/>
      </c>
      <c r="V1625" s="77">
        <f>ABS(U1625)</f>
        <v/>
      </c>
      <c r="W1625" s="78">
        <f>T1625/L1625</f>
        <v/>
      </c>
      <c r="X1625" s="79">
        <f>ABS(W1625)</f>
        <v/>
      </c>
    </row>
    <row r="1626" ht="11.4" customHeight="1">
      <c r="A1626" s="67" t="inlineStr">
        <is>
          <t>大甜57</t>
        </is>
      </c>
      <c r="B1626" s="67" t="inlineStr">
        <is>
          <t>1055</t>
        </is>
      </c>
      <c r="C1626" s="67" t="inlineStr">
        <is>
          <t>1611</t>
        </is>
      </c>
      <c r="D1626" s="68" t="inlineStr">
        <is>
          <t>03</t>
        </is>
      </c>
      <c r="E1626" s="68" t="inlineStr">
        <is>
          <t>6 物业施工费</t>
        </is>
      </c>
      <c r="F1626" s="68" t="inlineStr">
        <is>
          <t>6.1 总承包工程</t>
        </is>
      </c>
      <c r="G1626" s="68" t="inlineStr">
        <is>
          <t>6.1.1 内部装修工程</t>
        </is>
      </c>
      <c r="H1626" s="68" t="inlineStr">
        <is>
          <t>大堂墙面基层和装饰层（不含卫生间及楼梯）</t>
        </is>
      </c>
      <c r="I1626" s="69" t="inlineStr">
        <is>
          <t>1000051749</t>
        </is>
      </c>
      <c r="J1626" s="69" t="inlineStr">
        <is>
          <t>墙面多彩板（琛雄，木格栅效果，B1级）</t>
        </is>
      </c>
      <c r="K1626" s="70" t="n"/>
      <c r="L1626" s="70" t="n"/>
      <c r="M1626" s="71" t="inlineStr">
        <is>
          <t>m2</t>
        </is>
      </c>
      <c r="N1626" s="72" t="n">
        <v>283.28</v>
      </c>
      <c r="O1626" s="72">
        <f>ROUND(N1626*(1+$F$10),2)</f>
        <v/>
      </c>
      <c r="P1626" s="73">
        <f>ROUND(K1626*N1626,2)</f>
        <v/>
      </c>
      <c r="Q1626" s="74">
        <f>ROUND(L1626*N1626,2)</f>
        <v/>
      </c>
      <c r="R1626" s="75" t="n"/>
      <c r="S1626" s="76" t="n"/>
      <c r="T1626" s="77">
        <f>K1626-L1626</f>
        <v/>
      </c>
      <c r="U1626" s="77">
        <f>P1626-Q1626</f>
        <v/>
      </c>
      <c r="V1626" s="77">
        <f>ABS(U1626)</f>
        <v/>
      </c>
      <c r="W1626" s="78">
        <f>T1626/L1626</f>
        <v/>
      </c>
      <c r="X1626" s="79">
        <f>ABS(W1626)</f>
        <v/>
      </c>
    </row>
    <row r="1627" ht="11.4" customHeight="1">
      <c r="A1627" s="67" t="inlineStr">
        <is>
          <t>大甜57</t>
        </is>
      </c>
      <c r="B1627" s="67" t="inlineStr">
        <is>
          <t>1055</t>
        </is>
      </c>
      <c r="C1627" s="67" t="inlineStr">
        <is>
          <t>1611</t>
        </is>
      </c>
      <c r="D1627" s="68" t="inlineStr">
        <is>
          <t>03</t>
        </is>
      </c>
      <c r="E1627" s="68" t="inlineStr">
        <is>
          <t>6 物业施工费</t>
        </is>
      </c>
      <c r="F1627" s="68" t="inlineStr">
        <is>
          <t>6.1 总承包工程</t>
        </is>
      </c>
      <c r="G1627" s="68" t="inlineStr">
        <is>
          <t>6.1.1 内部装修工程</t>
        </is>
      </c>
      <c r="H1627" s="68" t="inlineStr">
        <is>
          <t>大堂墙面基层和装饰层（不含卫生间及楼梯）</t>
        </is>
      </c>
      <c r="I1627" s="69" t="inlineStr">
        <is>
          <t>1000021714</t>
        </is>
      </c>
      <c r="J1627" s="69" t="inlineStr">
        <is>
          <t>墙面多彩板（琛雄，仿木纹效果，含收边条，B1级）</t>
        </is>
      </c>
      <c r="K1627" s="70" t="n"/>
      <c r="L1627" s="70" t="n"/>
      <c r="M1627" s="71" t="inlineStr">
        <is>
          <t>m2</t>
        </is>
      </c>
      <c r="N1627" s="72" t="n">
        <v>288.72</v>
      </c>
      <c r="O1627" s="72">
        <f>ROUND(N1627*(1+$F$10),2)</f>
        <v/>
      </c>
      <c r="P1627" s="73">
        <f>ROUND(K1627*N1627,2)</f>
        <v/>
      </c>
      <c r="Q1627" s="74">
        <f>ROUND(L1627*N1627,2)</f>
        <v/>
      </c>
      <c r="R1627" s="75" t="n"/>
      <c r="S1627" s="76" t="n"/>
      <c r="T1627" s="77">
        <f>K1627-L1627</f>
        <v/>
      </c>
      <c r="U1627" s="77">
        <f>P1627-Q1627</f>
        <v/>
      </c>
      <c r="V1627" s="77">
        <f>ABS(U1627)</f>
        <v/>
      </c>
      <c r="W1627" s="78">
        <f>T1627/L1627</f>
        <v/>
      </c>
      <c r="X1627" s="79">
        <f>ABS(W1627)</f>
        <v/>
      </c>
    </row>
    <row r="1628" ht="11.4" customHeight="1">
      <c r="A1628" s="67" t="inlineStr">
        <is>
          <t>大甜57</t>
        </is>
      </c>
      <c r="B1628" s="67" t="inlineStr">
        <is>
          <t>1055</t>
        </is>
      </c>
      <c r="C1628" s="67" t="inlineStr">
        <is>
          <t>1611</t>
        </is>
      </c>
      <c r="D1628" s="68" t="inlineStr">
        <is>
          <t>03</t>
        </is>
      </c>
      <c r="E1628" s="68" t="inlineStr">
        <is>
          <t>6 物业施工费</t>
        </is>
      </c>
      <c r="F1628" s="68" t="inlineStr">
        <is>
          <t>6.1 总承包工程</t>
        </is>
      </c>
      <c r="G1628" s="68" t="inlineStr">
        <is>
          <t>6.1.1 内部装修工程</t>
        </is>
      </c>
      <c r="H1628" s="68" t="inlineStr">
        <is>
          <t>大堂墙面基层和装饰层（不含卫生间及楼梯）</t>
        </is>
      </c>
      <c r="I1628" s="69" t="inlineStr">
        <is>
          <t>1000041864</t>
        </is>
      </c>
      <c r="J1628" s="69" t="inlineStr">
        <is>
          <t>墙面多彩板（大生，仿涂料效果，B1级）</t>
        </is>
      </c>
      <c r="K1628" s="70" t="n"/>
      <c r="L1628" s="70" t="n"/>
      <c r="M1628" s="71" t="inlineStr">
        <is>
          <t>m2</t>
        </is>
      </c>
      <c r="N1628" s="72" t="n">
        <v>267.97</v>
      </c>
      <c r="O1628" s="72">
        <f>ROUND(N1628*(1+$F$10),2)</f>
        <v/>
      </c>
      <c r="P1628" s="73">
        <f>ROUND(K1628*N1628,2)</f>
        <v/>
      </c>
      <c r="Q1628" s="74">
        <f>ROUND(L1628*N1628,2)</f>
        <v/>
      </c>
      <c r="R1628" s="75" t="n"/>
      <c r="S1628" s="76" t="n"/>
      <c r="T1628" s="77">
        <f>K1628-L1628</f>
        <v/>
      </c>
      <c r="U1628" s="77">
        <f>P1628-Q1628</f>
        <v/>
      </c>
      <c r="V1628" s="77">
        <f>ABS(U1628)</f>
        <v/>
      </c>
      <c r="W1628" s="78">
        <f>T1628/L1628</f>
        <v/>
      </c>
      <c r="X1628" s="79">
        <f>ABS(W1628)</f>
        <v/>
      </c>
    </row>
    <row r="1629" ht="11.4" customHeight="1">
      <c r="A1629" s="67" t="inlineStr">
        <is>
          <t>大甜57</t>
        </is>
      </c>
      <c r="B1629" s="67" t="inlineStr">
        <is>
          <t>1055</t>
        </is>
      </c>
      <c r="C1629" s="67" t="inlineStr">
        <is>
          <t>1611</t>
        </is>
      </c>
      <c r="D1629" s="68" t="inlineStr">
        <is>
          <t>03</t>
        </is>
      </c>
      <c r="E1629" s="68" t="inlineStr">
        <is>
          <t>6 物业施工费</t>
        </is>
      </c>
      <c r="F1629" s="68" t="inlineStr">
        <is>
          <t>6.1 总承包工程</t>
        </is>
      </c>
      <c r="G1629" s="68" t="inlineStr">
        <is>
          <t>6.1.1 内部装修工程</t>
        </is>
      </c>
      <c r="H1629" s="68" t="inlineStr">
        <is>
          <t>大堂墙面基层和装饰层（不含卫生间及楼梯）</t>
        </is>
      </c>
      <c r="I1629" s="69" t="inlineStr">
        <is>
          <t>1000051751</t>
        </is>
      </c>
      <c r="J1629" s="69" t="inlineStr">
        <is>
          <t>墙面多彩板（大生，木格栅效果，B1级）</t>
        </is>
      </c>
      <c r="K1629" s="70" t="n"/>
      <c r="L1629" s="70" t="n"/>
      <c r="M1629" s="71" t="inlineStr">
        <is>
          <t>m2</t>
        </is>
      </c>
      <c r="N1629" s="72" t="n">
        <v>284.47</v>
      </c>
      <c r="O1629" s="72">
        <f>ROUND(N1629*(1+$F$10),2)</f>
        <v/>
      </c>
      <c r="P1629" s="73">
        <f>ROUND(K1629*N1629,2)</f>
        <v/>
      </c>
      <c r="Q1629" s="74">
        <f>ROUND(L1629*N1629,2)</f>
        <v/>
      </c>
      <c r="R1629" s="75" t="n"/>
      <c r="S1629" s="76" t="n"/>
      <c r="T1629" s="77">
        <f>K1629-L1629</f>
        <v/>
      </c>
      <c r="U1629" s="77">
        <f>P1629-Q1629</f>
        <v/>
      </c>
      <c r="V1629" s="77">
        <f>ABS(U1629)</f>
        <v/>
      </c>
      <c r="W1629" s="78">
        <f>T1629/L1629</f>
        <v/>
      </c>
      <c r="X1629" s="79">
        <f>ABS(W1629)</f>
        <v/>
      </c>
    </row>
    <row r="1630" ht="11.4" customHeight="1">
      <c r="A1630" s="67" t="inlineStr">
        <is>
          <t>大甜57</t>
        </is>
      </c>
      <c r="B1630" s="67" t="inlineStr">
        <is>
          <t>1055</t>
        </is>
      </c>
      <c r="C1630" s="67" t="inlineStr">
        <is>
          <t>1611</t>
        </is>
      </c>
      <c r="D1630" s="68" t="inlineStr">
        <is>
          <t>03</t>
        </is>
      </c>
      <c r="E1630" s="68" t="inlineStr">
        <is>
          <t>6 物业施工费</t>
        </is>
      </c>
      <c r="F1630" s="68" t="inlineStr">
        <is>
          <t>6.1 总承包工程</t>
        </is>
      </c>
      <c r="G1630" s="68" t="inlineStr">
        <is>
          <t>6.1.1 内部装修工程</t>
        </is>
      </c>
      <c r="H1630" s="68" t="inlineStr">
        <is>
          <t>大堂墙面基层和装饰层（不含卫生间及楼梯）</t>
        </is>
      </c>
      <c r="I1630" s="69" t="inlineStr">
        <is>
          <t>1000041862</t>
        </is>
      </c>
      <c r="J1630" s="69" t="inlineStr">
        <is>
          <t>墙面多彩板（大生，仿木纹效果，含收边条，B1级）</t>
        </is>
      </c>
      <c r="K1630" s="70" t="n"/>
      <c r="L1630" s="70" t="n"/>
      <c r="M1630" s="71" t="inlineStr">
        <is>
          <t>m2</t>
        </is>
      </c>
      <c r="N1630" s="72" t="n">
        <v>288.72</v>
      </c>
      <c r="O1630" s="72">
        <f>ROUND(N1630*(1+$F$10),2)</f>
        <v/>
      </c>
      <c r="P1630" s="73">
        <f>ROUND(K1630*N1630,2)</f>
        <v/>
      </c>
      <c r="Q1630" s="74">
        <f>ROUND(L1630*N1630,2)</f>
        <v/>
      </c>
      <c r="R1630" s="75" t="n"/>
      <c r="S1630" s="76" t="n"/>
      <c r="T1630" s="77">
        <f>K1630-L1630</f>
        <v/>
      </c>
      <c r="U1630" s="77">
        <f>P1630-Q1630</f>
        <v/>
      </c>
      <c r="V1630" s="77">
        <f>ABS(U1630)</f>
        <v/>
      </c>
      <c r="W1630" s="78">
        <f>T1630/L1630</f>
        <v/>
      </c>
      <c r="X1630" s="79">
        <f>ABS(W1630)</f>
        <v/>
      </c>
    </row>
    <row r="1631" ht="11.4" customHeight="1">
      <c r="A1631" s="67" t="inlineStr">
        <is>
          <t>大甜57</t>
        </is>
      </c>
      <c r="B1631" s="67" t="inlineStr">
        <is>
          <t>1055</t>
        </is>
      </c>
      <c r="C1631" s="67" t="inlineStr">
        <is>
          <t>1611</t>
        </is>
      </c>
      <c r="D1631" s="68" t="inlineStr">
        <is>
          <t>03</t>
        </is>
      </c>
      <c r="E1631" s="68" t="inlineStr">
        <is>
          <t>6 物业施工费</t>
        </is>
      </c>
      <c r="F1631" s="68" t="inlineStr">
        <is>
          <t>6.1 总承包工程</t>
        </is>
      </c>
      <c r="G1631" s="68" t="inlineStr">
        <is>
          <t>6.1.1 内部装修工程</t>
        </is>
      </c>
      <c r="H1631" s="68" t="inlineStr">
        <is>
          <t>大堂墙面基层和装饰层（不含卫生间及楼梯）</t>
        </is>
      </c>
      <c r="I1631" s="69" t="inlineStr">
        <is>
          <t>1000041870</t>
        </is>
      </c>
      <c r="J1631" s="69" t="inlineStr">
        <is>
          <t>墙面多彩板（共荣，仿涂料效果，B1级）</t>
        </is>
      </c>
      <c r="K1631" s="70" t="n"/>
      <c r="L1631" s="70" t="n"/>
      <c r="M1631" s="71" t="inlineStr">
        <is>
          <t>m2</t>
        </is>
      </c>
      <c r="N1631" s="72" t="n">
        <v>250.15</v>
      </c>
      <c r="O1631" s="72">
        <f>ROUND(N1631*(1+$F$10),2)</f>
        <v/>
      </c>
      <c r="P1631" s="73">
        <f>ROUND(K1631*N1631,2)</f>
        <v/>
      </c>
      <c r="Q1631" s="74">
        <f>ROUND(L1631*N1631,2)</f>
        <v/>
      </c>
      <c r="R1631" s="75" t="n"/>
      <c r="S1631" s="76" t="n"/>
      <c r="T1631" s="77">
        <f>K1631-L1631</f>
        <v/>
      </c>
      <c r="U1631" s="77">
        <f>P1631-Q1631</f>
        <v/>
      </c>
      <c r="V1631" s="77">
        <f>ABS(U1631)</f>
        <v/>
      </c>
      <c r="W1631" s="78">
        <f>T1631/L1631</f>
        <v/>
      </c>
      <c r="X1631" s="79">
        <f>ABS(W1631)</f>
        <v/>
      </c>
    </row>
    <row r="1632" ht="11.4" customHeight="1">
      <c r="A1632" s="67" t="inlineStr">
        <is>
          <t>大甜57</t>
        </is>
      </c>
      <c r="B1632" s="67" t="inlineStr">
        <is>
          <t>1055</t>
        </is>
      </c>
      <c r="C1632" s="67" t="inlineStr">
        <is>
          <t>1611</t>
        </is>
      </c>
      <c r="D1632" s="68" t="inlineStr">
        <is>
          <t>03</t>
        </is>
      </c>
      <c r="E1632" s="68" t="inlineStr">
        <is>
          <t>6 物业施工费</t>
        </is>
      </c>
      <c r="F1632" s="68" t="inlineStr">
        <is>
          <t>6.1 总承包工程</t>
        </is>
      </c>
      <c r="G1632" s="68" t="inlineStr">
        <is>
          <t>6.1.1 内部装修工程</t>
        </is>
      </c>
      <c r="H1632" s="68" t="inlineStr">
        <is>
          <t>大堂墙面基层和装饰层（不含卫生间及楼梯）</t>
        </is>
      </c>
      <c r="I1632" s="69" t="inlineStr">
        <is>
          <t>1000051750</t>
        </is>
      </c>
      <c r="J1632" s="69" t="inlineStr">
        <is>
          <t>墙面多彩板（共荣，木格栅效果，B1级）</t>
        </is>
      </c>
      <c r="K1632" s="70" t="n"/>
      <c r="L1632" s="70" t="n"/>
      <c r="M1632" s="71" t="inlineStr">
        <is>
          <t>m2</t>
        </is>
      </c>
      <c r="N1632" s="72" t="n">
        <v>288.04</v>
      </c>
      <c r="O1632" s="72">
        <f>ROUND(N1632*(1+$F$10),2)</f>
        <v/>
      </c>
      <c r="P1632" s="73">
        <f>ROUND(K1632*N1632,2)</f>
        <v/>
      </c>
      <c r="Q1632" s="74">
        <f>ROUND(L1632*N1632,2)</f>
        <v/>
      </c>
      <c r="R1632" s="75" t="n"/>
      <c r="S1632" s="76" t="n"/>
      <c r="T1632" s="77">
        <f>K1632-L1632</f>
        <v/>
      </c>
      <c r="U1632" s="77">
        <f>P1632-Q1632</f>
        <v/>
      </c>
      <c r="V1632" s="77">
        <f>ABS(U1632)</f>
        <v/>
      </c>
      <c r="W1632" s="78">
        <f>T1632/L1632</f>
        <v/>
      </c>
      <c r="X1632" s="79">
        <f>ABS(W1632)</f>
        <v/>
      </c>
    </row>
    <row r="1633" ht="11.4" customHeight="1">
      <c r="A1633" s="67" t="inlineStr">
        <is>
          <t>大甜57</t>
        </is>
      </c>
      <c r="B1633" s="67" t="inlineStr">
        <is>
          <t>1055</t>
        </is>
      </c>
      <c r="C1633" s="67" t="inlineStr">
        <is>
          <t>1611</t>
        </is>
      </c>
      <c r="D1633" s="68" t="inlineStr">
        <is>
          <t>03</t>
        </is>
      </c>
      <c r="E1633" s="68" t="inlineStr">
        <is>
          <t>6 物业施工费</t>
        </is>
      </c>
      <c r="F1633" s="68" t="inlineStr">
        <is>
          <t>6.1 总承包工程</t>
        </is>
      </c>
      <c r="G1633" s="68" t="inlineStr">
        <is>
          <t>6.1.1 内部装修工程</t>
        </is>
      </c>
      <c r="H1633" s="68" t="inlineStr">
        <is>
          <t>大堂墙面基层和装饰层（不含卫生间及楼梯）</t>
        </is>
      </c>
      <c r="I1633" s="69" t="inlineStr">
        <is>
          <t>1000041868</t>
        </is>
      </c>
      <c r="J1633" s="69" t="inlineStr">
        <is>
          <t>墙面多彩板（共荣，仿木纹效果，含收边条，B1级）</t>
        </is>
      </c>
      <c r="K1633" s="70" t="n"/>
      <c r="L1633" s="70" t="n"/>
      <c r="M1633" s="71" t="inlineStr">
        <is>
          <t>m2</t>
        </is>
      </c>
      <c r="N1633" s="72" t="n">
        <v>270.9</v>
      </c>
      <c r="O1633" s="72">
        <f>ROUND(N1633*(1+$F$10),2)</f>
        <v/>
      </c>
      <c r="P1633" s="73">
        <f>ROUND(K1633*N1633,2)</f>
        <v/>
      </c>
      <c r="Q1633" s="74">
        <f>ROUND(L1633*N1633,2)</f>
        <v/>
      </c>
      <c r="R1633" s="75" t="n"/>
      <c r="S1633" s="76" t="n"/>
      <c r="T1633" s="77">
        <f>K1633-L1633</f>
        <v/>
      </c>
      <c r="U1633" s="77">
        <f>P1633-Q1633</f>
        <v/>
      </c>
      <c r="V1633" s="77">
        <f>ABS(U1633)</f>
        <v/>
      </c>
      <c r="W1633" s="78">
        <f>T1633/L1633</f>
        <v/>
      </c>
      <c r="X1633" s="79">
        <f>ABS(W1633)</f>
        <v/>
      </c>
    </row>
    <row r="1634" ht="11.4" customHeight="1">
      <c r="A1634" s="67" t="inlineStr">
        <is>
          <t>大甜57</t>
        </is>
      </c>
      <c r="B1634" s="67" t="inlineStr">
        <is>
          <t>1055</t>
        </is>
      </c>
      <c r="C1634" s="67" t="inlineStr">
        <is>
          <t>1611</t>
        </is>
      </c>
      <c r="D1634" s="68" t="inlineStr">
        <is>
          <t>03</t>
        </is>
      </c>
      <c r="E1634" s="68" t="inlineStr">
        <is>
          <t>6 物业施工费</t>
        </is>
      </c>
      <c r="F1634" s="68" t="inlineStr">
        <is>
          <t>6.1 总承包工程</t>
        </is>
      </c>
      <c r="G1634" s="68" t="inlineStr">
        <is>
          <t>6.1.1 内部装修工程</t>
        </is>
      </c>
      <c r="H1634" s="68" t="inlineStr">
        <is>
          <t>大堂墙面基层和装饰层（不含卫生间及楼梯）</t>
        </is>
      </c>
      <c r="I1634" s="69" t="inlineStr">
        <is>
          <t>1000041866</t>
        </is>
      </c>
      <c r="J1634" s="69" t="inlineStr">
        <is>
          <t>墙面多彩板（琛雄，仿涂料效果，A级）</t>
        </is>
      </c>
      <c r="K1634" s="70" t="n"/>
      <c r="L1634" s="70" t="n"/>
      <c r="M1634" s="71" t="inlineStr">
        <is>
          <t>m2</t>
        </is>
      </c>
      <c r="N1634" s="72" t="n">
        <v>385.58</v>
      </c>
      <c r="O1634" s="72">
        <f>ROUND(N1634*(1+$F$10),2)</f>
        <v/>
      </c>
      <c r="P1634" s="73">
        <f>ROUND(K1634*N1634,2)</f>
        <v/>
      </c>
      <c r="Q1634" s="74">
        <f>ROUND(L1634*N1634,2)</f>
        <v/>
      </c>
      <c r="R1634" s="75" t="n"/>
      <c r="S1634" s="76" t="n"/>
      <c r="T1634" s="77">
        <f>K1634-L1634</f>
        <v/>
      </c>
      <c r="U1634" s="77">
        <f>P1634-Q1634</f>
        <v/>
      </c>
      <c r="V1634" s="77">
        <f>ABS(U1634)</f>
        <v/>
      </c>
      <c r="W1634" s="78">
        <f>T1634/L1634</f>
        <v/>
      </c>
      <c r="X1634" s="79">
        <f>ABS(W1634)</f>
        <v/>
      </c>
    </row>
    <row r="1635" ht="11.4" customHeight="1">
      <c r="A1635" s="67" t="inlineStr">
        <is>
          <t>大甜57</t>
        </is>
      </c>
      <c r="B1635" s="67" t="inlineStr">
        <is>
          <t>1055</t>
        </is>
      </c>
      <c r="C1635" s="67" t="inlineStr">
        <is>
          <t>1611</t>
        </is>
      </c>
      <c r="D1635" s="68" t="inlineStr">
        <is>
          <t>03</t>
        </is>
      </c>
      <c r="E1635" s="68" t="inlineStr">
        <is>
          <t>6 物业施工费</t>
        </is>
      </c>
      <c r="F1635" s="68" t="inlineStr">
        <is>
          <t>6.1 总承包工程</t>
        </is>
      </c>
      <c r="G1635" s="68" t="inlineStr">
        <is>
          <t>6.1.1 内部装修工程</t>
        </is>
      </c>
      <c r="H1635" s="68" t="inlineStr">
        <is>
          <t>大堂墙面基层和装饰层（不含卫生间及楼梯）</t>
        </is>
      </c>
      <c r="I1635" s="69" t="inlineStr">
        <is>
          <t>1000051752</t>
        </is>
      </c>
      <c r="J1635" s="69" t="inlineStr">
        <is>
          <t>墙面多彩板（琛雄，木格栅效果，A级）</t>
        </is>
      </c>
      <c r="K1635" s="70" t="n"/>
      <c r="L1635" s="70" t="n"/>
      <c r="M1635" s="71" t="inlineStr">
        <is>
          <t>m2</t>
        </is>
      </c>
      <c r="N1635" s="72" t="n">
        <v>454.36</v>
      </c>
      <c r="O1635" s="72">
        <f>ROUND(N1635*(1+$F$10),2)</f>
        <v/>
      </c>
      <c r="P1635" s="73">
        <f>ROUND(K1635*N1635,2)</f>
        <v/>
      </c>
      <c r="Q1635" s="74">
        <f>ROUND(L1635*N1635,2)</f>
        <v/>
      </c>
      <c r="R1635" s="75" t="n"/>
      <c r="S1635" s="76" t="n"/>
      <c r="T1635" s="77">
        <f>K1635-L1635</f>
        <v/>
      </c>
      <c r="U1635" s="77">
        <f>P1635-Q1635</f>
        <v/>
      </c>
      <c r="V1635" s="77">
        <f>ABS(U1635)</f>
        <v/>
      </c>
      <c r="W1635" s="78">
        <f>T1635/L1635</f>
        <v/>
      </c>
      <c r="X1635" s="79">
        <f>ABS(W1635)</f>
        <v/>
      </c>
    </row>
    <row r="1636" ht="11.4" customHeight="1">
      <c r="A1636" s="67" t="inlineStr">
        <is>
          <t>大甜57</t>
        </is>
      </c>
      <c r="B1636" s="67" t="inlineStr">
        <is>
          <t>1055</t>
        </is>
      </c>
      <c r="C1636" s="67" t="inlineStr">
        <is>
          <t>1611</t>
        </is>
      </c>
      <c r="D1636" s="68" t="inlineStr">
        <is>
          <t>03</t>
        </is>
      </c>
      <c r="E1636" s="68" t="inlineStr">
        <is>
          <t>6 物业施工费</t>
        </is>
      </c>
      <c r="F1636" s="68" t="inlineStr">
        <is>
          <t>6.1 总承包工程</t>
        </is>
      </c>
      <c r="G1636" s="68" t="inlineStr">
        <is>
          <t>6.1.1 内部装修工程</t>
        </is>
      </c>
      <c r="H1636" s="68" t="inlineStr">
        <is>
          <t>大堂墙面基层和装饰层（不含卫生间及楼梯）</t>
        </is>
      </c>
      <c r="I1636" s="69" t="inlineStr">
        <is>
          <t>1000041865</t>
        </is>
      </c>
      <c r="J1636" s="69" t="inlineStr">
        <is>
          <t>墙面多彩板（琛雄，仿木纹效果，含收边条，A级）</t>
        </is>
      </c>
      <c r="K1636" s="70" t="n"/>
      <c r="L1636" s="70" t="n"/>
      <c r="M1636" s="71" t="inlineStr">
        <is>
          <t>m2</t>
        </is>
      </c>
      <c r="N1636" s="72" t="n">
        <v>406.33</v>
      </c>
      <c r="O1636" s="72">
        <f>ROUND(N1636*(1+$F$10),2)</f>
        <v/>
      </c>
      <c r="P1636" s="73">
        <f>ROUND(K1636*N1636,2)</f>
        <v/>
      </c>
      <c r="Q1636" s="74">
        <f>ROUND(L1636*N1636,2)</f>
        <v/>
      </c>
      <c r="R1636" s="75" t="n"/>
      <c r="S1636" s="76" t="n"/>
      <c r="T1636" s="77">
        <f>K1636-L1636</f>
        <v/>
      </c>
      <c r="U1636" s="77">
        <f>P1636-Q1636</f>
        <v/>
      </c>
      <c r="V1636" s="77">
        <f>ABS(U1636)</f>
        <v/>
      </c>
      <c r="W1636" s="78">
        <f>T1636/L1636</f>
        <v/>
      </c>
      <c r="X1636" s="79">
        <f>ABS(W1636)</f>
        <v/>
      </c>
    </row>
    <row r="1637" ht="11.4" customHeight="1">
      <c r="A1637" s="67" t="inlineStr">
        <is>
          <t>大甜57</t>
        </is>
      </c>
      <c r="B1637" s="67" t="inlineStr">
        <is>
          <t>1055</t>
        </is>
      </c>
      <c r="C1637" s="67" t="inlineStr">
        <is>
          <t>1611</t>
        </is>
      </c>
      <c r="D1637" s="68" t="inlineStr">
        <is>
          <t>03</t>
        </is>
      </c>
      <c r="E1637" s="68" t="inlineStr">
        <is>
          <t>6 物业施工费</t>
        </is>
      </c>
      <c r="F1637" s="68" t="inlineStr">
        <is>
          <t>6.1 总承包工程</t>
        </is>
      </c>
      <c r="G1637" s="68" t="inlineStr">
        <is>
          <t>6.1.1 内部装修工程</t>
        </is>
      </c>
      <c r="H1637" s="68" t="inlineStr">
        <is>
          <t>大堂墙面基层和装饰层（不含卫生间及楼梯）</t>
        </is>
      </c>
      <c r="I1637" s="69" t="inlineStr">
        <is>
          <t>1000041863</t>
        </is>
      </c>
      <c r="J1637" s="69" t="inlineStr">
        <is>
          <t>墙面多彩板（大生，仿涂料效果，A级）</t>
        </is>
      </c>
      <c r="K1637" s="70" t="n"/>
      <c r="L1637" s="70" t="n"/>
      <c r="M1637" s="71" t="inlineStr">
        <is>
          <t>m2</t>
        </is>
      </c>
      <c r="N1637" s="72" t="n">
        <v>387.96</v>
      </c>
      <c r="O1637" s="72">
        <f>ROUND(N1637*(1+$F$10),2)</f>
        <v/>
      </c>
      <c r="P1637" s="73">
        <f>ROUND(K1637*N1637,2)</f>
        <v/>
      </c>
      <c r="Q1637" s="74">
        <f>ROUND(L1637*N1637,2)</f>
        <v/>
      </c>
      <c r="R1637" s="75" t="n"/>
      <c r="S1637" s="76" t="n"/>
      <c r="T1637" s="77">
        <f>K1637-L1637</f>
        <v/>
      </c>
      <c r="U1637" s="77">
        <f>P1637-Q1637</f>
        <v/>
      </c>
      <c r="V1637" s="77">
        <f>ABS(U1637)</f>
        <v/>
      </c>
      <c r="W1637" s="78">
        <f>T1637/L1637</f>
        <v/>
      </c>
      <c r="X1637" s="79">
        <f>ABS(W1637)</f>
        <v/>
      </c>
    </row>
    <row r="1638" ht="11.4" customHeight="1">
      <c r="A1638" s="67" t="inlineStr">
        <is>
          <t>大甜57</t>
        </is>
      </c>
      <c r="B1638" s="67" t="inlineStr">
        <is>
          <t>1055</t>
        </is>
      </c>
      <c r="C1638" s="67" t="inlineStr">
        <is>
          <t>1611</t>
        </is>
      </c>
      <c r="D1638" s="68" t="inlineStr">
        <is>
          <t>03</t>
        </is>
      </c>
      <c r="E1638" s="68" t="inlineStr">
        <is>
          <t>6 物业施工费</t>
        </is>
      </c>
      <c r="F1638" s="68" t="inlineStr">
        <is>
          <t>6.1 总承包工程</t>
        </is>
      </c>
      <c r="G1638" s="68" t="inlineStr">
        <is>
          <t>6.1.1 内部装修工程</t>
        </is>
      </c>
      <c r="H1638" s="68" t="inlineStr">
        <is>
          <t>大堂墙面基层和装饰层（不含卫生间及楼梯）</t>
        </is>
      </c>
      <c r="I1638" s="69" t="inlineStr">
        <is>
          <t>1000051754</t>
        </is>
      </c>
      <c r="J1638" s="69" t="inlineStr">
        <is>
          <t>墙面多彩板（大生，木格栅效果，A级）</t>
        </is>
      </c>
      <c r="K1638" s="70" t="n"/>
      <c r="L1638" s="70" t="n"/>
      <c r="M1638" s="71" t="inlineStr">
        <is>
          <t>m2</t>
        </is>
      </c>
      <c r="N1638" s="72" t="n">
        <v>404.46</v>
      </c>
      <c r="O1638" s="72">
        <f>ROUND(N1638*(1+$F$10),2)</f>
        <v/>
      </c>
      <c r="P1638" s="73">
        <f>ROUND(K1638*N1638,2)</f>
        <v/>
      </c>
      <c r="Q1638" s="74">
        <f>ROUND(L1638*N1638,2)</f>
        <v/>
      </c>
      <c r="R1638" s="75" t="n"/>
      <c r="S1638" s="76" t="n"/>
      <c r="T1638" s="77">
        <f>K1638-L1638</f>
        <v/>
      </c>
      <c r="U1638" s="77">
        <f>P1638-Q1638</f>
        <v/>
      </c>
      <c r="V1638" s="77">
        <f>ABS(U1638)</f>
        <v/>
      </c>
      <c r="W1638" s="78">
        <f>T1638/L1638</f>
        <v/>
      </c>
      <c r="X1638" s="79">
        <f>ABS(W1638)</f>
        <v/>
      </c>
    </row>
    <row r="1639" ht="11.4" customHeight="1">
      <c r="A1639" s="67" t="inlineStr">
        <is>
          <t>大甜57</t>
        </is>
      </c>
      <c r="B1639" s="67" t="inlineStr">
        <is>
          <t>1055</t>
        </is>
      </c>
      <c r="C1639" s="67" t="inlineStr">
        <is>
          <t>1611</t>
        </is>
      </c>
      <c r="D1639" s="68" t="inlineStr">
        <is>
          <t>03</t>
        </is>
      </c>
      <c r="E1639" s="68" t="inlineStr">
        <is>
          <t>6 物业施工费</t>
        </is>
      </c>
      <c r="F1639" s="68" t="inlineStr">
        <is>
          <t>6.1 总承包工程</t>
        </is>
      </c>
      <c r="G1639" s="68" t="inlineStr">
        <is>
          <t>6.1.1 内部装修工程</t>
        </is>
      </c>
      <c r="H1639" s="68" t="inlineStr">
        <is>
          <t>大堂墙面基层和装饰层（不含卫生间及楼梯）</t>
        </is>
      </c>
      <c r="I1639" s="69" t="inlineStr">
        <is>
          <t>1000041861</t>
        </is>
      </c>
      <c r="J1639" s="69" t="inlineStr">
        <is>
          <t>墙面多彩板（大生，仿木纹效果，含收边条，A级）</t>
        </is>
      </c>
      <c r="K1639" s="70" t="n"/>
      <c r="L1639" s="70" t="n"/>
      <c r="M1639" s="71" t="inlineStr">
        <is>
          <t>m2</t>
        </is>
      </c>
      <c r="N1639" s="72" t="n">
        <v>408.71</v>
      </c>
      <c r="O1639" s="72">
        <f>ROUND(N1639*(1+$F$10),2)</f>
        <v/>
      </c>
      <c r="P1639" s="73">
        <f>ROUND(K1639*N1639,2)</f>
        <v/>
      </c>
      <c r="Q1639" s="74">
        <f>ROUND(L1639*N1639,2)</f>
        <v/>
      </c>
      <c r="R1639" s="75" t="n"/>
      <c r="S1639" s="76" t="n"/>
      <c r="T1639" s="77">
        <f>K1639-L1639</f>
        <v/>
      </c>
      <c r="U1639" s="77">
        <f>P1639-Q1639</f>
        <v/>
      </c>
      <c r="V1639" s="77">
        <f>ABS(U1639)</f>
        <v/>
      </c>
      <c r="W1639" s="78">
        <f>T1639/L1639</f>
        <v/>
      </c>
      <c r="X1639" s="79">
        <f>ABS(W1639)</f>
        <v/>
      </c>
    </row>
    <row r="1640" ht="11.4" customHeight="1">
      <c r="A1640" s="67" t="inlineStr">
        <is>
          <t>大甜57</t>
        </is>
      </c>
      <c r="B1640" s="67" t="inlineStr">
        <is>
          <t>1055</t>
        </is>
      </c>
      <c r="C1640" s="67" t="inlineStr">
        <is>
          <t>1611</t>
        </is>
      </c>
      <c r="D1640" s="68" t="inlineStr">
        <is>
          <t>03</t>
        </is>
      </c>
      <c r="E1640" s="68" t="inlineStr">
        <is>
          <t>6 物业施工费</t>
        </is>
      </c>
      <c r="F1640" s="68" t="inlineStr">
        <is>
          <t>6.1 总承包工程</t>
        </is>
      </c>
      <c r="G1640" s="68" t="inlineStr">
        <is>
          <t>6.1.1 内部装修工程</t>
        </is>
      </c>
      <c r="H1640" s="68" t="inlineStr">
        <is>
          <t>大堂墙面基层和装饰层（不含卫生间及楼梯）</t>
        </is>
      </c>
      <c r="I1640" s="69" t="inlineStr">
        <is>
          <t>1000041869</t>
        </is>
      </c>
      <c r="J1640" s="69" t="inlineStr">
        <is>
          <t>墙面多彩板（共荣，仿涂料效果，A级）</t>
        </is>
      </c>
      <c r="K1640" s="70" t="n"/>
      <c r="L1640" s="70" t="n"/>
      <c r="M1640" s="71" t="inlineStr">
        <is>
          <t>m2</t>
        </is>
      </c>
      <c r="N1640" s="72" t="n">
        <v>385.58</v>
      </c>
      <c r="O1640" s="72">
        <f>ROUND(N1640*(1+$F$10),2)</f>
        <v/>
      </c>
      <c r="P1640" s="73">
        <f>ROUND(K1640*N1640,2)</f>
        <v/>
      </c>
      <c r="Q1640" s="74">
        <f>ROUND(L1640*N1640,2)</f>
        <v/>
      </c>
      <c r="R1640" s="75" t="n"/>
      <c r="S1640" s="76" t="n"/>
      <c r="T1640" s="77">
        <f>K1640-L1640</f>
        <v/>
      </c>
      <c r="U1640" s="77">
        <f>P1640-Q1640</f>
        <v/>
      </c>
      <c r="V1640" s="77">
        <f>ABS(U1640)</f>
        <v/>
      </c>
      <c r="W1640" s="78">
        <f>T1640/L1640</f>
        <v/>
      </c>
      <c r="X1640" s="79">
        <f>ABS(W1640)</f>
        <v/>
      </c>
    </row>
    <row r="1641" ht="11.4" customHeight="1">
      <c r="A1641" s="67" t="inlineStr">
        <is>
          <t>大甜57</t>
        </is>
      </c>
      <c r="B1641" s="67" t="inlineStr">
        <is>
          <t>1055</t>
        </is>
      </c>
      <c r="C1641" s="67" t="inlineStr">
        <is>
          <t>1611</t>
        </is>
      </c>
      <c r="D1641" s="68" t="inlineStr">
        <is>
          <t>03</t>
        </is>
      </c>
      <c r="E1641" s="68" t="inlineStr">
        <is>
          <t>6 物业施工费</t>
        </is>
      </c>
      <c r="F1641" s="68" t="inlineStr">
        <is>
          <t>6.1 总承包工程</t>
        </is>
      </c>
      <c r="G1641" s="68" t="inlineStr">
        <is>
          <t>6.1.1 内部装修工程</t>
        </is>
      </c>
      <c r="H1641" s="68" t="inlineStr">
        <is>
          <t>大堂墙面基层和装饰层（不含卫生间及楼梯）</t>
        </is>
      </c>
      <c r="I1641" s="69" t="inlineStr">
        <is>
          <t>1000051753</t>
        </is>
      </c>
      <c r="J1641" s="69" t="inlineStr">
        <is>
          <t>墙面多彩板（共荣，木格栅效果，A级）</t>
        </is>
      </c>
      <c r="K1641" s="70" t="n"/>
      <c r="L1641" s="70" t="n"/>
      <c r="M1641" s="71" t="inlineStr">
        <is>
          <t>m2</t>
        </is>
      </c>
      <c r="N1641" s="72" t="n">
        <v>402.08</v>
      </c>
      <c r="O1641" s="72">
        <f>ROUND(N1641*(1+$F$10),2)</f>
        <v/>
      </c>
      <c r="P1641" s="73">
        <f>ROUND(K1641*N1641,2)</f>
        <v/>
      </c>
      <c r="Q1641" s="74">
        <f>ROUND(L1641*N1641,2)</f>
        <v/>
      </c>
      <c r="R1641" s="75" t="n"/>
      <c r="S1641" s="76" t="n"/>
      <c r="T1641" s="77">
        <f>K1641-L1641</f>
        <v/>
      </c>
      <c r="U1641" s="77">
        <f>P1641-Q1641</f>
        <v/>
      </c>
      <c r="V1641" s="77">
        <f>ABS(U1641)</f>
        <v/>
      </c>
      <c r="W1641" s="78">
        <f>T1641/L1641</f>
        <v/>
      </c>
      <c r="X1641" s="79">
        <f>ABS(W1641)</f>
        <v/>
      </c>
    </row>
    <row r="1642" ht="11.4" customHeight="1">
      <c r="A1642" s="67" t="inlineStr">
        <is>
          <t>大甜57</t>
        </is>
      </c>
      <c r="B1642" s="67" t="inlineStr">
        <is>
          <t>1055</t>
        </is>
      </c>
      <c r="C1642" s="67" t="inlineStr">
        <is>
          <t>1611</t>
        </is>
      </c>
      <c r="D1642" s="68" t="inlineStr">
        <is>
          <t>03</t>
        </is>
      </c>
      <c r="E1642" s="68" t="inlineStr">
        <is>
          <t>6 物业施工费</t>
        </is>
      </c>
      <c r="F1642" s="68" t="inlineStr">
        <is>
          <t>6.1 总承包工程</t>
        </is>
      </c>
      <c r="G1642" s="68" t="inlineStr">
        <is>
          <t>6.1.1 内部装修工程</t>
        </is>
      </c>
      <c r="H1642" s="68" t="inlineStr">
        <is>
          <t>大堂墙面基层和装饰层（不含卫生间及楼梯）</t>
        </is>
      </c>
      <c r="I1642" s="69" t="inlineStr">
        <is>
          <t>1000041867</t>
        </is>
      </c>
      <c r="J1642" s="69" t="inlineStr">
        <is>
          <t>墙面多彩板（共荣，仿木纹效果，含收边条，A级）</t>
        </is>
      </c>
      <c r="K1642" s="70" t="n"/>
      <c r="L1642" s="70" t="n"/>
      <c r="M1642" s="71" t="inlineStr">
        <is>
          <t>m2</t>
        </is>
      </c>
      <c r="N1642" s="72" t="n">
        <v>406.33</v>
      </c>
      <c r="O1642" s="72">
        <f>ROUND(N1642*(1+$F$10),2)</f>
        <v/>
      </c>
      <c r="P1642" s="73">
        <f>ROUND(K1642*N1642,2)</f>
        <v/>
      </c>
      <c r="Q1642" s="74">
        <f>ROUND(L1642*N1642,2)</f>
        <v/>
      </c>
      <c r="R1642" s="75" t="n"/>
      <c r="S1642" s="76" t="n"/>
      <c r="T1642" s="77">
        <f>K1642-L1642</f>
        <v/>
      </c>
      <c r="U1642" s="77">
        <f>P1642-Q1642</f>
        <v/>
      </c>
      <c r="V1642" s="77">
        <f>ABS(U1642)</f>
        <v/>
      </c>
      <c r="W1642" s="78">
        <f>T1642/L1642</f>
        <v/>
      </c>
      <c r="X1642" s="79">
        <f>ABS(W1642)</f>
        <v/>
      </c>
    </row>
    <row r="1643" ht="11.4" customHeight="1">
      <c r="A1643" s="67" t="inlineStr">
        <is>
          <t>大甜57</t>
        </is>
      </c>
      <c r="B1643" s="67" t="inlineStr">
        <is>
          <t>1055</t>
        </is>
      </c>
      <c r="C1643" s="67" t="inlineStr">
        <is>
          <t>1611</t>
        </is>
      </c>
      <c r="D1643" s="68" t="inlineStr">
        <is>
          <t>03</t>
        </is>
      </c>
      <c r="E1643" s="68" t="inlineStr">
        <is>
          <t>6 物业施工费</t>
        </is>
      </c>
      <c r="F1643" s="68" t="inlineStr">
        <is>
          <t>6.1 总承包工程</t>
        </is>
      </c>
      <c r="G1643" s="68" t="inlineStr">
        <is>
          <t>6.1.1 内部装修工程</t>
        </is>
      </c>
      <c r="H1643" s="68" t="inlineStr">
        <is>
          <t>大堂墙面基层和装饰层（不含卫生间及楼梯）</t>
        </is>
      </c>
      <c r="I1643" s="69" t="inlineStr">
        <is>
          <t>1000022273</t>
        </is>
      </c>
      <c r="J1643" s="69" t="inlineStr">
        <is>
          <t>墙面波纹板（Luna,含收边、基层及龙骨）</t>
        </is>
      </c>
      <c r="K1643" s="70" t="n"/>
      <c r="L1643" s="70" t="n"/>
      <c r="M1643" s="71" t="inlineStr">
        <is>
          <t>m2</t>
        </is>
      </c>
      <c r="N1643" s="72" t="n">
        <v>676.14</v>
      </c>
      <c r="O1643" s="72">
        <f>ROUND(N1643*(1+$F$10),2)</f>
        <v/>
      </c>
      <c r="P1643" s="73">
        <f>ROUND(K1643*N1643,2)</f>
        <v/>
      </c>
      <c r="Q1643" s="74">
        <f>ROUND(L1643*N1643,2)</f>
        <v/>
      </c>
      <c r="R1643" s="75" t="n"/>
      <c r="S1643" s="76" t="n"/>
      <c r="T1643" s="77">
        <f>K1643-L1643</f>
        <v/>
      </c>
      <c r="U1643" s="77">
        <f>P1643-Q1643</f>
        <v/>
      </c>
      <c r="V1643" s="77">
        <f>ABS(U1643)</f>
        <v/>
      </c>
      <c r="W1643" s="78">
        <f>T1643/L1643</f>
        <v/>
      </c>
      <c r="X1643" s="79">
        <f>ABS(W1643)</f>
        <v/>
      </c>
    </row>
    <row r="1644" ht="11.4" customHeight="1">
      <c r="A1644" s="67" t="inlineStr">
        <is>
          <t>大甜57</t>
        </is>
      </c>
      <c r="B1644" s="67" t="inlineStr">
        <is>
          <t>1055</t>
        </is>
      </c>
      <c r="C1644" s="67" t="inlineStr">
        <is>
          <t>1611</t>
        </is>
      </c>
      <c r="D1644" s="68" t="inlineStr">
        <is>
          <t>03</t>
        </is>
      </c>
      <c r="E1644" s="68" t="inlineStr">
        <is>
          <t>6 物业施工费</t>
        </is>
      </c>
      <c r="F1644" s="68" t="inlineStr">
        <is>
          <t>6.1 总承包工程</t>
        </is>
      </c>
      <c r="G1644" s="68" t="inlineStr">
        <is>
          <t>6.1.1 内部装修工程</t>
        </is>
      </c>
      <c r="H1644" s="68" t="inlineStr">
        <is>
          <t>大堂墙面基层和装饰层（不含卫生间及楼梯）</t>
        </is>
      </c>
      <c r="I1644" s="69" t="inlineStr">
        <is>
          <t>1000021682</t>
        </is>
      </c>
      <c r="J1644" s="69" t="inlineStr">
        <is>
          <t>墙面小白砖50*50mm（琛雄）</t>
        </is>
      </c>
      <c r="K1644" s="70" t="n"/>
      <c r="L1644" s="70" t="n"/>
      <c r="M1644" s="71" t="inlineStr">
        <is>
          <t>m2</t>
        </is>
      </c>
      <c r="N1644" s="72" t="n">
        <v>214.82</v>
      </c>
      <c r="O1644" s="72">
        <f>ROUND(N1644*(1+$F$10),2)</f>
        <v/>
      </c>
      <c r="P1644" s="73">
        <f>ROUND(K1644*N1644,2)</f>
        <v/>
      </c>
      <c r="Q1644" s="74">
        <f>ROUND(L1644*N1644,2)</f>
        <v/>
      </c>
      <c r="R1644" s="75" t="n"/>
      <c r="S1644" s="76" t="n"/>
      <c r="T1644" s="77">
        <f>K1644-L1644</f>
        <v/>
      </c>
      <c r="U1644" s="77">
        <f>P1644-Q1644</f>
        <v/>
      </c>
      <c r="V1644" s="77">
        <f>ABS(U1644)</f>
        <v/>
      </c>
      <c r="W1644" s="78">
        <f>T1644/L1644</f>
        <v/>
      </c>
      <c r="X1644" s="79">
        <f>ABS(W1644)</f>
        <v/>
      </c>
    </row>
    <row r="1645" ht="11.4" customHeight="1">
      <c r="A1645" s="67" t="inlineStr">
        <is>
          <t>大甜57</t>
        </is>
      </c>
      <c r="B1645" s="67" t="inlineStr">
        <is>
          <t>1055</t>
        </is>
      </c>
      <c r="C1645" s="67" t="inlineStr">
        <is>
          <t>1611</t>
        </is>
      </c>
      <c r="D1645" s="68" t="inlineStr">
        <is>
          <t>03</t>
        </is>
      </c>
      <c r="E1645" s="68" t="inlineStr">
        <is>
          <t>6 物业施工费</t>
        </is>
      </c>
      <c r="F1645" s="68" t="inlineStr">
        <is>
          <t>6.1 总承包工程</t>
        </is>
      </c>
      <c r="G1645" s="68" t="inlineStr">
        <is>
          <t>6.1.1 内部装修工程</t>
        </is>
      </c>
      <c r="H1645" s="68" t="inlineStr">
        <is>
          <t>大堂墙面基层和装饰层（不含卫生间及楼梯）</t>
        </is>
      </c>
      <c r="I1645" s="69" t="inlineStr">
        <is>
          <t>1000021683</t>
        </is>
      </c>
      <c r="J1645" s="69" t="inlineStr">
        <is>
          <t>墙面小黄砖50*50mm（琛雄）</t>
        </is>
      </c>
      <c r="K1645" s="70" t="n"/>
      <c r="L1645" s="70" t="n"/>
      <c r="M1645" s="71" t="inlineStr">
        <is>
          <t>m2</t>
        </is>
      </c>
      <c r="N1645" s="72" t="n">
        <v>241.44</v>
      </c>
      <c r="O1645" s="72">
        <f>ROUND(N1645*(1+$F$10),2)</f>
        <v/>
      </c>
      <c r="P1645" s="73">
        <f>ROUND(K1645*N1645,2)</f>
        <v/>
      </c>
      <c r="Q1645" s="74">
        <f>ROUND(L1645*N1645,2)</f>
        <v/>
      </c>
      <c r="R1645" s="75" t="n"/>
      <c r="S1645" s="76" t="n"/>
      <c r="T1645" s="77">
        <f>K1645-L1645</f>
        <v/>
      </c>
      <c r="U1645" s="77">
        <f>P1645-Q1645</f>
        <v/>
      </c>
      <c r="V1645" s="77">
        <f>ABS(U1645)</f>
        <v/>
      </c>
      <c r="W1645" s="78">
        <f>T1645/L1645</f>
        <v/>
      </c>
      <c r="X1645" s="79">
        <f>ABS(W1645)</f>
        <v/>
      </c>
    </row>
    <row r="1646" ht="11.4" customHeight="1">
      <c r="A1646" s="67" t="inlineStr">
        <is>
          <t>大甜57</t>
        </is>
      </c>
      <c r="B1646" s="67" t="inlineStr">
        <is>
          <t>1055</t>
        </is>
      </c>
      <c r="C1646" s="67" t="inlineStr">
        <is>
          <t>1611</t>
        </is>
      </c>
      <c r="D1646" s="68" t="inlineStr">
        <is>
          <t>03</t>
        </is>
      </c>
      <c r="E1646" s="68" t="inlineStr">
        <is>
          <t>6 物业施工费</t>
        </is>
      </c>
      <c r="F1646" s="68" t="inlineStr">
        <is>
          <t>6.1 总承包工程</t>
        </is>
      </c>
      <c r="G1646" s="68" t="inlineStr">
        <is>
          <t>6.1.1 内部装修工程</t>
        </is>
      </c>
      <c r="H1646" s="68" t="inlineStr">
        <is>
          <t>大堂墙面基层和装饰层（不含卫生间及楼梯）</t>
        </is>
      </c>
      <c r="I1646" s="69" t="inlineStr">
        <is>
          <t>1000021684</t>
        </is>
      </c>
      <c r="J1646" s="69" t="inlineStr">
        <is>
          <t>墙面灰色砖50*50mm（琛雄）</t>
        </is>
      </c>
      <c r="K1646" s="70" t="n"/>
      <c r="L1646" s="70" t="n"/>
      <c r="M1646" s="71" t="inlineStr">
        <is>
          <t>m2</t>
        </is>
      </c>
      <c r="N1646" s="72" t="n">
        <v>224.5</v>
      </c>
      <c r="O1646" s="72">
        <f>ROUND(N1646*(1+$F$10),2)</f>
        <v/>
      </c>
      <c r="P1646" s="73">
        <f>ROUND(K1646*N1646,2)</f>
        <v/>
      </c>
      <c r="Q1646" s="74">
        <f>ROUND(L1646*N1646,2)</f>
        <v/>
      </c>
      <c r="R1646" s="75" t="n"/>
      <c r="S1646" s="76" t="n"/>
      <c r="T1646" s="77">
        <f>K1646-L1646</f>
        <v/>
      </c>
      <c r="U1646" s="77">
        <f>P1646-Q1646</f>
        <v/>
      </c>
      <c r="V1646" s="77">
        <f>ABS(U1646)</f>
        <v/>
      </c>
      <c r="W1646" s="78">
        <f>T1646/L1646</f>
        <v/>
      </c>
      <c r="X1646" s="79">
        <f>ABS(W1646)</f>
        <v/>
      </c>
    </row>
    <row r="1647" ht="11.4" customHeight="1">
      <c r="A1647" s="67" t="inlineStr">
        <is>
          <t>大甜57</t>
        </is>
      </c>
      <c r="B1647" s="67" t="inlineStr">
        <is>
          <t>1055</t>
        </is>
      </c>
      <c r="C1647" s="67" t="inlineStr">
        <is>
          <t>1611</t>
        </is>
      </c>
      <c r="D1647" s="68" t="inlineStr">
        <is>
          <t>03</t>
        </is>
      </c>
      <c r="E1647" s="68" t="inlineStr">
        <is>
          <t>6 物业施工费</t>
        </is>
      </c>
      <c r="F1647" s="68" t="inlineStr">
        <is>
          <t>6.1 总承包工程</t>
        </is>
      </c>
      <c r="G1647" s="68" t="inlineStr">
        <is>
          <t>6.1.1 内部装修工程</t>
        </is>
      </c>
      <c r="H1647" s="68" t="inlineStr">
        <is>
          <t>大堂墙面基层和装饰层（不含卫生间及楼梯）</t>
        </is>
      </c>
      <c r="I1647" s="69" t="inlineStr">
        <is>
          <t>1000021471</t>
        </is>
      </c>
      <c r="J1647" s="69" t="inlineStr">
        <is>
          <t>墙面小白砖50*50mm（共荣）</t>
        </is>
      </c>
      <c r="K1647" s="70" t="n"/>
      <c r="L1647" s="70" t="n"/>
      <c r="M1647" s="71" t="inlineStr">
        <is>
          <t>m2</t>
        </is>
      </c>
      <c r="N1647" s="72" t="n">
        <v>195.76</v>
      </c>
      <c r="O1647" s="72">
        <f>ROUND(N1647*(1+$F$10),2)</f>
        <v/>
      </c>
      <c r="P1647" s="73">
        <f>ROUND(K1647*N1647,2)</f>
        <v/>
      </c>
      <c r="Q1647" s="74">
        <f>ROUND(L1647*N1647,2)</f>
        <v/>
      </c>
      <c r="R1647" s="75" t="n"/>
      <c r="S1647" s="76" t="n"/>
      <c r="T1647" s="77">
        <f>K1647-L1647</f>
        <v/>
      </c>
      <c r="U1647" s="77">
        <f>P1647-Q1647</f>
        <v/>
      </c>
      <c r="V1647" s="77">
        <f>ABS(U1647)</f>
        <v/>
      </c>
      <c r="W1647" s="78">
        <f>T1647/L1647</f>
        <v/>
      </c>
      <c r="X1647" s="79">
        <f>ABS(W1647)</f>
        <v/>
      </c>
    </row>
    <row r="1648" ht="11.4" customHeight="1">
      <c r="A1648" s="67" t="inlineStr">
        <is>
          <t>大甜57</t>
        </is>
      </c>
      <c r="B1648" s="67" t="inlineStr">
        <is>
          <t>1055</t>
        </is>
      </c>
      <c r="C1648" s="67" t="inlineStr">
        <is>
          <t>1611</t>
        </is>
      </c>
      <c r="D1648" s="68" t="inlineStr">
        <is>
          <t>03</t>
        </is>
      </c>
      <c r="E1648" s="68" t="inlineStr">
        <is>
          <t>6 物业施工费</t>
        </is>
      </c>
      <c r="F1648" s="68" t="inlineStr">
        <is>
          <t>6.1 总承包工程</t>
        </is>
      </c>
      <c r="G1648" s="68" t="inlineStr">
        <is>
          <t>6.1.1 内部装修工程</t>
        </is>
      </c>
      <c r="H1648" s="68" t="inlineStr">
        <is>
          <t>大堂墙面基层和装饰层（不含卫生间及楼梯）</t>
        </is>
      </c>
      <c r="I1648" s="69" t="inlineStr">
        <is>
          <t>1000021472</t>
        </is>
      </c>
      <c r="J1648" s="69" t="inlineStr">
        <is>
          <t>墙面小黄砖50*50mm（共荣）</t>
        </is>
      </c>
      <c r="K1648" s="70" t="n"/>
      <c r="L1648" s="70" t="n"/>
      <c r="M1648" s="71" t="inlineStr">
        <is>
          <t>m2</t>
        </is>
      </c>
      <c r="N1648" s="72" t="n">
        <v>223.29</v>
      </c>
      <c r="O1648" s="72">
        <f>ROUND(N1648*(1+$F$10),2)</f>
        <v/>
      </c>
      <c r="P1648" s="73">
        <f>ROUND(K1648*N1648,2)</f>
        <v/>
      </c>
      <c r="Q1648" s="74">
        <f>ROUND(L1648*N1648,2)</f>
        <v/>
      </c>
      <c r="R1648" s="75" t="n"/>
      <c r="S1648" s="76" t="n"/>
      <c r="T1648" s="77">
        <f>K1648-L1648</f>
        <v/>
      </c>
      <c r="U1648" s="77">
        <f>P1648-Q1648</f>
        <v/>
      </c>
      <c r="V1648" s="77">
        <f>ABS(U1648)</f>
        <v/>
      </c>
      <c r="W1648" s="78">
        <f>T1648/L1648</f>
        <v/>
      </c>
      <c r="X1648" s="79">
        <f>ABS(W1648)</f>
        <v/>
      </c>
    </row>
    <row r="1649" ht="11.4" customHeight="1">
      <c r="A1649" s="67" t="inlineStr">
        <is>
          <t>大甜57</t>
        </is>
      </c>
      <c r="B1649" s="67" t="inlineStr">
        <is>
          <t>1055</t>
        </is>
      </c>
      <c r="C1649" s="67" t="inlineStr">
        <is>
          <t>1611</t>
        </is>
      </c>
      <c r="D1649" s="68" t="inlineStr">
        <is>
          <t>03</t>
        </is>
      </c>
      <c r="E1649" s="68" t="inlineStr">
        <is>
          <t>6 物业施工费</t>
        </is>
      </c>
      <c r="F1649" s="68" t="inlineStr">
        <is>
          <t>6.1 总承包工程</t>
        </is>
      </c>
      <c r="G1649" s="68" t="inlineStr">
        <is>
          <t>6.1.1 内部装修工程</t>
        </is>
      </c>
      <c r="H1649" s="68" t="inlineStr">
        <is>
          <t>大堂墙面基层和装饰层（不含卫生间及楼梯）</t>
        </is>
      </c>
      <c r="I1649" s="69" t="inlineStr">
        <is>
          <t>1000021473</t>
        </is>
      </c>
      <c r="J1649" s="69" t="inlineStr">
        <is>
          <t>墙面灰色砖50*50mm（共荣）</t>
        </is>
      </c>
      <c r="K1649" s="70" t="n"/>
      <c r="L1649" s="70" t="n"/>
      <c r="M1649" s="71" t="inlineStr">
        <is>
          <t>m2</t>
        </is>
      </c>
      <c r="N1649" s="72" t="n">
        <v>195.76</v>
      </c>
      <c r="O1649" s="72">
        <f>ROUND(N1649*(1+$F$10),2)</f>
        <v/>
      </c>
      <c r="P1649" s="73">
        <f>ROUND(K1649*N1649,2)</f>
        <v/>
      </c>
      <c r="Q1649" s="74">
        <f>ROUND(L1649*N1649,2)</f>
        <v/>
      </c>
      <c r="R1649" s="75" t="n"/>
      <c r="S1649" s="76" t="n"/>
      <c r="T1649" s="77">
        <f>K1649-L1649</f>
        <v/>
      </c>
      <c r="U1649" s="77">
        <f>P1649-Q1649</f>
        <v/>
      </c>
      <c r="V1649" s="77">
        <f>ABS(U1649)</f>
        <v/>
      </c>
      <c r="W1649" s="78">
        <f>T1649/L1649</f>
        <v/>
      </c>
      <c r="X1649" s="79">
        <f>ABS(W1649)</f>
        <v/>
      </c>
    </row>
    <row r="1650" ht="11.4" customHeight="1">
      <c r="A1650" s="67" t="inlineStr">
        <is>
          <t>大甜57</t>
        </is>
      </c>
      <c r="B1650" s="67" t="inlineStr">
        <is>
          <t>1055</t>
        </is>
      </c>
      <c r="C1650" s="67" t="inlineStr">
        <is>
          <t>1611</t>
        </is>
      </c>
      <c r="D1650" s="68" t="inlineStr">
        <is>
          <t>03</t>
        </is>
      </c>
      <c r="E1650" s="68" t="inlineStr">
        <is>
          <t>6 物业施工费</t>
        </is>
      </c>
      <c r="F1650" s="68" t="inlineStr">
        <is>
          <t>6.1 总承包工程</t>
        </is>
      </c>
      <c r="G1650" s="68" t="inlineStr">
        <is>
          <t>6.1.1 内部装修工程</t>
        </is>
      </c>
      <c r="H1650" s="68" t="inlineStr">
        <is>
          <t>大堂墙面基层和装饰层（不含卫生间及楼梯）</t>
        </is>
      </c>
      <c r="I1650" s="69" t="inlineStr">
        <is>
          <t>1000021685</t>
        </is>
      </c>
      <c r="J1650" s="69" t="inlineStr">
        <is>
          <t>墙面小白砖50*50mm（冠军）</t>
        </is>
      </c>
      <c r="K1650" s="70" t="n"/>
      <c r="L1650" s="70" t="n"/>
      <c r="M1650" s="71" t="inlineStr">
        <is>
          <t>m2</t>
        </is>
      </c>
      <c r="N1650" s="72" t="n">
        <v>214.82</v>
      </c>
      <c r="O1650" s="72">
        <f>ROUND(N1650*(1+$F$10),2)</f>
        <v/>
      </c>
      <c r="P1650" s="73">
        <f>ROUND(K1650*N1650,2)</f>
        <v/>
      </c>
      <c r="Q1650" s="74">
        <f>ROUND(L1650*N1650,2)</f>
        <v/>
      </c>
      <c r="R1650" s="75" t="n"/>
      <c r="S1650" s="76" t="n"/>
      <c r="T1650" s="77">
        <f>K1650-L1650</f>
        <v/>
      </c>
      <c r="U1650" s="77">
        <f>P1650-Q1650</f>
        <v/>
      </c>
      <c r="V1650" s="77">
        <f>ABS(U1650)</f>
        <v/>
      </c>
      <c r="W1650" s="78">
        <f>T1650/L1650</f>
        <v/>
      </c>
      <c r="X1650" s="79">
        <f>ABS(W1650)</f>
        <v/>
      </c>
    </row>
    <row r="1651" ht="11.4" customHeight="1">
      <c r="A1651" s="67" t="inlineStr">
        <is>
          <t>大甜57</t>
        </is>
      </c>
      <c r="B1651" s="67" t="inlineStr">
        <is>
          <t>1055</t>
        </is>
      </c>
      <c r="C1651" s="67" t="inlineStr">
        <is>
          <t>1611</t>
        </is>
      </c>
      <c r="D1651" s="68" t="inlineStr">
        <is>
          <t>03</t>
        </is>
      </c>
      <c r="E1651" s="68" t="inlineStr">
        <is>
          <t>6 物业施工费</t>
        </is>
      </c>
      <c r="F1651" s="68" t="inlineStr">
        <is>
          <t>6.1 总承包工程</t>
        </is>
      </c>
      <c r="G1651" s="68" t="inlineStr">
        <is>
          <t>6.1.1 内部装修工程</t>
        </is>
      </c>
      <c r="H1651" s="68" t="inlineStr">
        <is>
          <t>大堂墙面基层和装饰层（不含卫生间及楼梯）</t>
        </is>
      </c>
      <c r="I1651" s="69" t="inlineStr">
        <is>
          <t>1000021686</t>
        </is>
      </c>
      <c r="J1651" s="69" t="inlineStr">
        <is>
          <t>墙面小黄砖50*50mm（冠军）</t>
        </is>
      </c>
      <c r="K1651" s="70" t="n"/>
      <c r="L1651" s="70" t="n"/>
      <c r="M1651" s="71" t="inlineStr">
        <is>
          <t>m2</t>
        </is>
      </c>
      <c r="N1651" s="72" t="n">
        <v>236.6</v>
      </c>
      <c r="O1651" s="72">
        <f>ROUND(N1651*(1+$F$10),2)</f>
        <v/>
      </c>
      <c r="P1651" s="73">
        <f>ROUND(K1651*N1651,2)</f>
        <v/>
      </c>
      <c r="Q1651" s="74">
        <f>ROUND(L1651*N1651,2)</f>
        <v/>
      </c>
      <c r="R1651" s="75" t="n"/>
      <c r="S1651" s="76" t="n"/>
      <c r="T1651" s="77">
        <f>K1651-L1651</f>
        <v/>
      </c>
      <c r="U1651" s="77">
        <f>P1651-Q1651</f>
        <v/>
      </c>
      <c r="V1651" s="77">
        <f>ABS(U1651)</f>
        <v/>
      </c>
      <c r="W1651" s="78">
        <f>T1651/L1651</f>
        <v/>
      </c>
      <c r="X1651" s="79">
        <f>ABS(W1651)</f>
        <v/>
      </c>
    </row>
    <row r="1652" ht="11.4" customHeight="1">
      <c r="A1652" s="67" t="inlineStr">
        <is>
          <t>大甜57</t>
        </is>
      </c>
      <c r="B1652" s="67" t="inlineStr">
        <is>
          <t>1055</t>
        </is>
      </c>
      <c r="C1652" s="67" t="inlineStr">
        <is>
          <t>1611</t>
        </is>
      </c>
      <c r="D1652" s="68" t="inlineStr">
        <is>
          <t>03</t>
        </is>
      </c>
      <c r="E1652" s="68" t="inlineStr">
        <is>
          <t>6 物业施工费</t>
        </is>
      </c>
      <c r="F1652" s="68" t="inlineStr">
        <is>
          <t>6.1 总承包工程</t>
        </is>
      </c>
      <c r="G1652" s="68" t="inlineStr">
        <is>
          <t>6.1.1 内部装修工程</t>
        </is>
      </c>
      <c r="H1652" s="68" t="inlineStr">
        <is>
          <t>大堂墙面基层和装饰层（不含卫生间及楼梯）</t>
        </is>
      </c>
      <c r="I1652" s="69" t="inlineStr">
        <is>
          <t>1000021687</t>
        </is>
      </c>
      <c r="J1652" s="69" t="inlineStr">
        <is>
          <t>墙面灰色砖50*50mm（冠军）</t>
        </is>
      </c>
      <c r="K1652" s="70" t="n"/>
      <c r="L1652" s="70" t="n"/>
      <c r="M1652" s="71" t="inlineStr">
        <is>
          <t>m2</t>
        </is>
      </c>
      <c r="N1652" s="72" t="n">
        <v>224.5</v>
      </c>
      <c r="O1652" s="72">
        <f>ROUND(N1652*(1+$F$10),2)</f>
        <v/>
      </c>
      <c r="P1652" s="73">
        <f>ROUND(K1652*N1652,2)</f>
        <v/>
      </c>
      <c r="Q1652" s="74">
        <f>ROUND(L1652*N1652,2)</f>
        <v/>
      </c>
      <c r="R1652" s="75" t="n"/>
      <c r="S1652" s="76" t="n"/>
      <c r="T1652" s="77">
        <f>K1652-L1652</f>
        <v/>
      </c>
      <c r="U1652" s="77">
        <f>P1652-Q1652</f>
        <v/>
      </c>
      <c r="V1652" s="77">
        <f>ABS(U1652)</f>
        <v/>
      </c>
      <c r="W1652" s="78">
        <f>T1652/L1652</f>
        <v/>
      </c>
      <c r="X1652" s="79">
        <f>ABS(W1652)</f>
        <v/>
      </c>
    </row>
    <row r="1653" ht="11.4" customHeight="1">
      <c r="A1653" s="67" t="inlineStr">
        <is>
          <t>大甜57</t>
        </is>
      </c>
      <c r="B1653" s="67" t="inlineStr">
        <is>
          <t>1055</t>
        </is>
      </c>
      <c r="C1653" s="67" t="inlineStr">
        <is>
          <t>1611</t>
        </is>
      </c>
      <c r="D1653" s="68" t="inlineStr">
        <is>
          <t>03</t>
        </is>
      </c>
      <c r="E1653" s="68" t="inlineStr">
        <is>
          <t>6 物业施工费</t>
        </is>
      </c>
      <c r="F1653" s="68" t="inlineStr">
        <is>
          <t>6.1 总承包工程</t>
        </is>
      </c>
      <c r="G1653" s="68" t="inlineStr">
        <is>
          <t>6.1.1 内部装修工程</t>
        </is>
      </c>
      <c r="H1653" s="68" t="inlineStr">
        <is>
          <t>大堂墙面基层和装饰层（不含卫生间及楼梯）</t>
        </is>
      </c>
      <c r="I1653" s="69" t="inlineStr">
        <is>
          <t>1000021778</t>
        </is>
      </c>
      <c r="J1653" s="69" t="inlineStr">
        <is>
          <t>烤漆方管装饰条</t>
        </is>
      </c>
      <c r="K1653" s="70" t="n"/>
      <c r="L1653" s="70" t="n"/>
      <c r="M1653" s="71" t="inlineStr">
        <is>
          <t>米</t>
        </is>
      </c>
      <c r="N1653" s="72" t="n">
        <v>56.04</v>
      </c>
      <c r="O1653" s="72">
        <f>ROUND(N1653*(1+$F$10),2)</f>
        <v/>
      </c>
      <c r="P1653" s="73">
        <f>ROUND(K1653*N1653,2)</f>
        <v/>
      </c>
      <c r="Q1653" s="74">
        <f>ROUND(L1653*N1653,2)</f>
        <v/>
      </c>
      <c r="R1653" s="75" t="n"/>
      <c r="S1653" s="76" t="n"/>
      <c r="T1653" s="77">
        <f>K1653-L1653</f>
        <v/>
      </c>
      <c r="U1653" s="77">
        <f>P1653-Q1653</f>
        <v/>
      </c>
      <c r="V1653" s="77">
        <f>ABS(U1653)</f>
        <v/>
      </c>
      <c r="W1653" s="78">
        <f>T1653/L1653</f>
        <v/>
      </c>
      <c r="X1653" s="79">
        <f>ABS(W1653)</f>
        <v/>
      </c>
    </row>
    <row r="1654" ht="11.4" customHeight="1">
      <c r="A1654" s="67" t="inlineStr">
        <is>
          <t>大甜57</t>
        </is>
      </c>
      <c r="B1654" s="67" t="inlineStr">
        <is>
          <t>1055</t>
        </is>
      </c>
      <c r="C1654" s="67" t="inlineStr">
        <is>
          <t>1611</t>
        </is>
      </c>
      <c r="D1654" s="68" t="inlineStr">
        <is>
          <t>03</t>
        </is>
      </c>
      <c r="E1654" s="68" t="inlineStr">
        <is>
          <t>6 物业施工费</t>
        </is>
      </c>
      <c r="F1654" s="68" t="inlineStr">
        <is>
          <t>6.1 总承包工程</t>
        </is>
      </c>
      <c r="G1654" s="68" t="inlineStr">
        <is>
          <t>6.1.1 内部装修工程</t>
        </is>
      </c>
      <c r="H1654" s="68" t="inlineStr">
        <is>
          <t>大堂墙面基层和装饰层（不含卫生间及楼梯）</t>
        </is>
      </c>
      <c r="I1654" s="69" t="inlineStr">
        <is>
          <t>1000021474</t>
        </is>
      </c>
      <c r="J1654" s="69" t="inlineStr">
        <is>
          <t>墙面白色涂料（含保护清漆，可擦洗）</t>
        </is>
      </c>
      <c r="K1654" s="70" t="n"/>
      <c r="L1654" s="70" t="n"/>
      <c r="M1654" s="71" t="inlineStr">
        <is>
          <t>m2</t>
        </is>
      </c>
      <c r="N1654" s="72" t="n">
        <v>93.15000000000001</v>
      </c>
      <c r="O1654" s="72">
        <f>ROUND(N1654*(1+$F$10),2)</f>
        <v/>
      </c>
      <c r="P1654" s="73">
        <f>ROUND(K1654*N1654,2)</f>
        <v/>
      </c>
      <c r="Q1654" s="74">
        <f>ROUND(L1654*N1654,2)</f>
        <v/>
      </c>
      <c r="R1654" s="75" t="n"/>
      <c r="S1654" s="76" t="n"/>
      <c r="T1654" s="77">
        <f>K1654-L1654</f>
        <v/>
      </c>
      <c r="U1654" s="77">
        <f>P1654-Q1654</f>
        <v/>
      </c>
      <c r="V1654" s="77">
        <f>ABS(U1654)</f>
        <v/>
      </c>
      <c r="W1654" s="78">
        <f>T1654/L1654</f>
        <v/>
      </c>
      <c r="X1654" s="79">
        <f>ABS(W1654)</f>
        <v/>
      </c>
    </row>
    <row r="1655" ht="11.4" customHeight="1">
      <c r="A1655" s="67" t="inlineStr">
        <is>
          <t>大甜57</t>
        </is>
      </c>
      <c r="B1655" s="67" t="inlineStr">
        <is>
          <t>1055</t>
        </is>
      </c>
      <c r="C1655" s="67" t="inlineStr">
        <is>
          <t>1611</t>
        </is>
      </c>
      <c r="D1655" s="68" t="inlineStr">
        <is>
          <t>03</t>
        </is>
      </c>
      <c r="E1655" s="68" t="inlineStr">
        <is>
          <t>6 物业施工费</t>
        </is>
      </c>
      <c r="F1655" s="68" t="inlineStr">
        <is>
          <t>6.1 总承包工程</t>
        </is>
      </c>
      <c r="G1655" s="68" t="inlineStr">
        <is>
          <t>6.1.1 内部装修工程</t>
        </is>
      </c>
      <c r="H1655" s="68" t="inlineStr">
        <is>
          <t>大堂墙面基层和装饰层（不含卫生间及楼梯）</t>
        </is>
      </c>
      <c r="I1655" s="69" t="inlineStr">
        <is>
          <t>1000021688</t>
        </is>
      </c>
      <c r="J1655" s="69" t="inlineStr">
        <is>
          <t>木纹墙面砖（琛雄 ）</t>
        </is>
      </c>
      <c r="K1655" s="70" t="n"/>
      <c r="L1655" s="70" t="n"/>
      <c r="M1655" s="71" t="inlineStr">
        <is>
          <t>m2</t>
        </is>
      </c>
      <c r="N1655" s="72" t="n">
        <v>197.35</v>
      </c>
      <c r="O1655" s="72">
        <f>ROUND(N1655*(1+$F$10),2)</f>
        <v/>
      </c>
      <c r="P1655" s="73">
        <f>ROUND(K1655*N1655,2)</f>
        <v/>
      </c>
      <c r="Q1655" s="74">
        <f>ROUND(L1655*N1655,2)</f>
        <v/>
      </c>
      <c r="R1655" s="75" t="n"/>
      <c r="S1655" s="76" t="n"/>
      <c r="T1655" s="77">
        <f>K1655-L1655</f>
        <v/>
      </c>
      <c r="U1655" s="77">
        <f>P1655-Q1655</f>
        <v/>
      </c>
      <c r="V1655" s="77">
        <f>ABS(U1655)</f>
        <v/>
      </c>
      <c r="W1655" s="78">
        <f>T1655/L1655</f>
        <v/>
      </c>
      <c r="X1655" s="79">
        <f>ABS(W1655)</f>
        <v/>
      </c>
    </row>
    <row r="1656" ht="11.4" customHeight="1">
      <c r="A1656" s="67" t="inlineStr">
        <is>
          <t>大甜57</t>
        </is>
      </c>
      <c r="B1656" s="67" t="inlineStr">
        <is>
          <t>1055</t>
        </is>
      </c>
      <c r="C1656" s="67" t="inlineStr">
        <is>
          <t>1611</t>
        </is>
      </c>
      <c r="D1656" s="68" t="inlineStr">
        <is>
          <t>03</t>
        </is>
      </c>
      <c r="E1656" s="68" t="inlineStr">
        <is>
          <t>6 物业施工费</t>
        </is>
      </c>
      <c r="F1656" s="68" t="inlineStr">
        <is>
          <t>6.1 总承包工程</t>
        </is>
      </c>
      <c r="G1656" s="68" t="inlineStr">
        <is>
          <t>6.1.1 内部装修工程</t>
        </is>
      </c>
      <c r="H1656" s="68" t="inlineStr">
        <is>
          <t>大堂墙面基层和装饰层（不含卫生间及楼梯）</t>
        </is>
      </c>
      <c r="I1656" s="69" t="inlineStr">
        <is>
          <t>1000021475</t>
        </is>
      </c>
      <c r="J1656" s="69" t="inlineStr">
        <is>
          <t>木纹墙面砖（共荣 ）</t>
        </is>
      </c>
      <c r="K1656" s="70" t="n"/>
      <c r="L1656" s="70" t="n"/>
      <c r="M1656" s="71" t="inlineStr">
        <is>
          <t>m2</t>
        </is>
      </c>
      <c r="N1656" s="72" t="n">
        <v>189.53</v>
      </c>
      <c r="O1656" s="72">
        <f>ROUND(N1656*(1+$F$10),2)</f>
        <v/>
      </c>
      <c r="P1656" s="73">
        <f>ROUND(K1656*N1656,2)</f>
        <v/>
      </c>
      <c r="Q1656" s="74">
        <f>ROUND(L1656*N1656,2)</f>
        <v/>
      </c>
      <c r="R1656" s="75" t="n"/>
      <c r="S1656" s="76" t="n"/>
      <c r="T1656" s="77">
        <f>K1656-L1656</f>
        <v/>
      </c>
      <c r="U1656" s="77">
        <f>P1656-Q1656</f>
        <v/>
      </c>
      <c r="V1656" s="77">
        <f>ABS(U1656)</f>
        <v/>
      </c>
      <c r="W1656" s="78">
        <f>T1656/L1656</f>
        <v/>
      </c>
      <c r="X1656" s="79">
        <f>ABS(W1656)</f>
        <v/>
      </c>
    </row>
    <row r="1657" ht="11.4" customHeight="1">
      <c r="A1657" s="67" t="inlineStr">
        <is>
          <t>大甜57</t>
        </is>
      </c>
      <c r="B1657" s="67" t="inlineStr">
        <is>
          <t>1055</t>
        </is>
      </c>
      <c r="C1657" s="67" t="inlineStr">
        <is>
          <t>1611</t>
        </is>
      </c>
      <c r="D1657" s="68" t="inlineStr">
        <is>
          <t>03</t>
        </is>
      </c>
      <c r="E1657" s="68" t="inlineStr">
        <is>
          <t>6 物业施工费</t>
        </is>
      </c>
      <c r="F1657" s="68" t="inlineStr">
        <is>
          <t>6.1 总承包工程</t>
        </is>
      </c>
      <c r="G1657" s="68" t="inlineStr">
        <is>
          <t>6.1.1 内部装修工程</t>
        </is>
      </c>
      <c r="H1657" s="68" t="inlineStr">
        <is>
          <t>大堂墙面基层和装饰层（不含卫生间及楼梯）</t>
        </is>
      </c>
      <c r="I1657" s="69" t="inlineStr">
        <is>
          <t>1000021689</t>
        </is>
      </c>
      <c r="J1657" s="69" t="inlineStr">
        <is>
          <t>木纹墙面砖（冠军 ）</t>
        </is>
      </c>
      <c r="K1657" s="70" t="n"/>
      <c r="L1657" s="70" t="n"/>
      <c r="M1657" s="71" t="inlineStr">
        <is>
          <t>m2</t>
        </is>
      </c>
      <c r="N1657" s="72" t="n">
        <v>200.98</v>
      </c>
      <c r="O1657" s="72">
        <f>ROUND(N1657*(1+$F$10),2)</f>
        <v/>
      </c>
      <c r="P1657" s="73">
        <f>ROUND(K1657*N1657,2)</f>
        <v/>
      </c>
      <c r="Q1657" s="74">
        <f>ROUND(L1657*N1657,2)</f>
        <v/>
      </c>
      <c r="R1657" s="75" t="n"/>
      <c r="S1657" s="76" t="n"/>
      <c r="T1657" s="77">
        <f>K1657-L1657</f>
        <v/>
      </c>
      <c r="U1657" s="77">
        <f>P1657-Q1657</f>
        <v/>
      </c>
      <c r="V1657" s="77">
        <f>ABS(U1657)</f>
        <v/>
      </c>
      <c r="W1657" s="78">
        <f>T1657/L1657</f>
        <v/>
      </c>
      <c r="X1657" s="79">
        <f>ABS(W1657)</f>
        <v/>
      </c>
    </row>
    <row r="1658" ht="11.4" customHeight="1">
      <c r="A1658" s="67" t="inlineStr">
        <is>
          <t>大甜57</t>
        </is>
      </c>
      <c r="B1658" s="67" t="inlineStr">
        <is>
          <t>1055</t>
        </is>
      </c>
      <c r="C1658" s="67" t="inlineStr">
        <is>
          <t>1611</t>
        </is>
      </c>
      <c r="D1658" s="68" t="inlineStr">
        <is>
          <t>03</t>
        </is>
      </c>
      <c r="E1658" s="68" t="inlineStr">
        <is>
          <t>6 物业施工费</t>
        </is>
      </c>
      <c r="F1658" s="68" t="inlineStr">
        <is>
          <t>6.1 总承包工程</t>
        </is>
      </c>
      <c r="G1658" s="68" t="inlineStr">
        <is>
          <t>6.1.1 内部装修工程</t>
        </is>
      </c>
      <c r="H1658" s="68" t="inlineStr">
        <is>
          <t>大堂墙面基层和装饰层（不含卫生间及楼梯）</t>
        </is>
      </c>
      <c r="I1658" s="69" t="inlineStr">
        <is>
          <t>1000021476</t>
        </is>
      </c>
      <c r="J1658" s="69" t="inlineStr">
        <is>
          <t>仿水磨石墙面砖（琛雄）</t>
        </is>
      </c>
      <c r="K1658" s="70" t="n"/>
      <c r="L1658" s="70" t="n"/>
      <c r="M1658" s="71" t="inlineStr">
        <is>
          <t>m2</t>
        </is>
      </c>
      <c r="N1658" s="72" t="n">
        <v>187.67</v>
      </c>
      <c r="O1658" s="72">
        <f>ROUND(N1658*(1+$F$10),2)</f>
        <v/>
      </c>
      <c r="P1658" s="73">
        <f>ROUND(K1658*N1658,2)</f>
        <v/>
      </c>
      <c r="Q1658" s="74">
        <f>ROUND(L1658*N1658,2)</f>
        <v/>
      </c>
      <c r="R1658" s="75" t="n"/>
      <c r="S1658" s="76" t="n"/>
      <c r="T1658" s="77">
        <f>K1658-L1658</f>
        <v/>
      </c>
      <c r="U1658" s="77">
        <f>P1658-Q1658</f>
        <v/>
      </c>
      <c r="V1658" s="77">
        <f>ABS(U1658)</f>
        <v/>
      </c>
      <c r="W1658" s="78">
        <f>T1658/L1658</f>
        <v/>
      </c>
      <c r="X1658" s="79">
        <f>ABS(W1658)</f>
        <v/>
      </c>
    </row>
    <row r="1659" ht="11.4" customHeight="1">
      <c r="A1659" s="67" t="inlineStr">
        <is>
          <t>大甜57</t>
        </is>
      </c>
      <c r="B1659" s="67" t="inlineStr">
        <is>
          <t>1055</t>
        </is>
      </c>
      <c r="C1659" s="67" t="inlineStr">
        <is>
          <t>1611</t>
        </is>
      </c>
      <c r="D1659" s="68" t="inlineStr">
        <is>
          <t>03</t>
        </is>
      </c>
      <c r="E1659" s="68" t="inlineStr">
        <is>
          <t>6 物业施工费</t>
        </is>
      </c>
      <c r="F1659" s="68" t="inlineStr">
        <is>
          <t>6.1 总承包工程</t>
        </is>
      </c>
      <c r="G1659" s="68" t="inlineStr">
        <is>
          <t>6.1.1 内部装修工程</t>
        </is>
      </c>
      <c r="H1659" s="68" t="inlineStr">
        <is>
          <t>大堂墙面基层和装饰层（不含卫生间及楼梯）</t>
        </is>
      </c>
      <c r="I1659" s="69" t="inlineStr">
        <is>
          <t>1000021690</t>
        </is>
      </c>
      <c r="J1659" s="69" t="inlineStr">
        <is>
          <t>仿水磨石墙面砖（共荣）</t>
        </is>
      </c>
      <c r="K1659" s="70" t="n"/>
      <c r="L1659" s="70" t="n"/>
      <c r="M1659" s="71" t="inlineStr">
        <is>
          <t>m2</t>
        </is>
      </c>
      <c r="N1659" s="72" t="n">
        <v>187.67</v>
      </c>
      <c r="O1659" s="72">
        <f>ROUND(N1659*(1+$F$10),2)</f>
        <v/>
      </c>
      <c r="P1659" s="73">
        <f>ROUND(K1659*N1659,2)</f>
        <v/>
      </c>
      <c r="Q1659" s="74">
        <f>ROUND(L1659*N1659,2)</f>
        <v/>
      </c>
      <c r="R1659" s="75" t="n"/>
      <c r="S1659" s="76" t="n"/>
      <c r="T1659" s="77">
        <f>K1659-L1659</f>
        <v/>
      </c>
      <c r="U1659" s="77">
        <f>P1659-Q1659</f>
        <v/>
      </c>
      <c r="V1659" s="77">
        <f>ABS(U1659)</f>
        <v/>
      </c>
      <c r="W1659" s="78">
        <f>T1659/L1659</f>
        <v/>
      </c>
      <c r="X1659" s="79">
        <f>ABS(W1659)</f>
        <v/>
      </c>
    </row>
    <row r="1660" ht="11.4" customHeight="1">
      <c r="A1660" s="67" t="inlineStr">
        <is>
          <t>大甜57</t>
        </is>
      </c>
      <c r="B1660" s="67" t="inlineStr">
        <is>
          <t>1055</t>
        </is>
      </c>
      <c r="C1660" s="67" t="inlineStr">
        <is>
          <t>1611</t>
        </is>
      </c>
      <c r="D1660" s="68" t="inlineStr">
        <is>
          <t>03</t>
        </is>
      </c>
      <c r="E1660" s="68" t="inlineStr">
        <is>
          <t>6 物业施工费</t>
        </is>
      </c>
      <c r="F1660" s="68" t="inlineStr">
        <is>
          <t>6.1 总承包工程</t>
        </is>
      </c>
      <c r="G1660" s="68" t="inlineStr">
        <is>
          <t>6.1.1 内部装修工程</t>
        </is>
      </c>
      <c r="H1660" s="68" t="inlineStr">
        <is>
          <t>大堂墙面基层和装饰层（不含卫生间及楼梯）</t>
        </is>
      </c>
      <c r="I1660" s="69" t="inlineStr">
        <is>
          <t>1000021691</t>
        </is>
      </c>
      <c r="J1660" s="69" t="inlineStr">
        <is>
          <t>仿水磨石墙面砖（冠军）</t>
        </is>
      </c>
      <c r="K1660" s="70" t="n"/>
      <c r="L1660" s="70" t="n"/>
      <c r="M1660" s="71" t="inlineStr">
        <is>
          <t>m2</t>
        </is>
      </c>
      <c r="N1660" s="72" t="n">
        <v>187.67</v>
      </c>
      <c r="O1660" s="72">
        <f>ROUND(N1660*(1+$F$10),2)</f>
        <v/>
      </c>
      <c r="P1660" s="73">
        <f>ROUND(K1660*N1660,2)</f>
        <v/>
      </c>
      <c r="Q1660" s="74">
        <f>ROUND(L1660*N1660,2)</f>
        <v/>
      </c>
      <c r="R1660" s="75" t="n"/>
      <c r="S1660" s="76" t="n"/>
      <c r="T1660" s="77">
        <f>K1660-L1660</f>
        <v/>
      </c>
      <c r="U1660" s="77">
        <f>P1660-Q1660</f>
        <v/>
      </c>
      <c r="V1660" s="77">
        <f>ABS(U1660)</f>
        <v/>
      </c>
      <c r="W1660" s="78">
        <f>T1660/L1660</f>
        <v/>
      </c>
      <c r="X1660" s="79">
        <f>ABS(W1660)</f>
        <v/>
      </c>
    </row>
    <row r="1661" ht="11.4" customHeight="1">
      <c r="A1661" s="67" t="inlineStr">
        <is>
          <t>大甜57</t>
        </is>
      </c>
      <c r="B1661" s="67" t="inlineStr">
        <is>
          <t>1055</t>
        </is>
      </c>
      <c r="C1661" s="67" t="inlineStr">
        <is>
          <t>1611</t>
        </is>
      </c>
      <c r="D1661" s="68" t="inlineStr">
        <is>
          <t>03</t>
        </is>
      </c>
      <c r="E1661" s="68" t="inlineStr">
        <is>
          <t>6 物业施工费</t>
        </is>
      </c>
      <c r="F1661" s="68" t="inlineStr">
        <is>
          <t>6.1 总承包工程</t>
        </is>
      </c>
      <c r="G1661" s="68" t="inlineStr">
        <is>
          <t>6.1.1 内部装修工程</t>
        </is>
      </c>
      <c r="H1661" s="68" t="inlineStr">
        <is>
          <t>大堂墙面基层和装饰层（不含卫生间及楼梯）</t>
        </is>
      </c>
      <c r="I1661" s="69" t="inlineStr">
        <is>
          <t>1000021477</t>
        </is>
      </c>
      <c r="J1661" s="69" t="inlineStr">
        <is>
          <t>200*200mm墙面粉白砖（琛雄）</t>
        </is>
      </c>
      <c r="K1661" s="70" t="n"/>
      <c r="L1661" s="70" t="n"/>
      <c r="M1661" s="71" t="inlineStr">
        <is>
          <t>m2</t>
        </is>
      </c>
      <c r="N1661" s="72" t="n">
        <v>127.13</v>
      </c>
      <c r="O1661" s="72">
        <f>ROUND(N1661*(1+$F$10),2)</f>
        <v/>
      </c>
      <c r="P1661" s="73">
        <f>ROUND(K1661*N1661,2)</f>
        <v/>
      </c>
      <c r="Q1661" s="74">
        <f>ROUND(L1661*N1661,2)</f>
        <v/>
      </c>
      <c r="R1661" s="75" t="n"/>
      <c r="S1661" s="76" t="n"/>
      <c r="T1661" s="77">
        <f>K1661-L1661</f>
        <v/>
      </c>
      <c r="U1661" s="77">
        <f>P1661-Q1661</f>
        <v/>
      </c>
      <c r="V1661" s="77">
        <f>ABS(U1661)</f>
        <v/>
      </c>
      <c r="W1661" s="78">
        <f>T1661/L1661</f>
        <v/>
      </c>
      <c r="X1661" s="79">
        <f>ABS(W1661)</f>
        <v/>
      </c>
    </row>
    <row r="1662" ht="11.4" customHeight="1">
      <c r="A1662" s="67" t="inlineStr">
        <is>
          <t>大甜57</t>
        </is>
      </c>
      <c r="B1662" s="67" t="inlineStr">
        <is>
          <t>1055</t>
        </is>
      </c>
      <c r="C1662" s="67" t="inlineStr">
        <is>
          <t>1611</t>
        </is>
      </c>
      <c r="D1662" s="68" t="inlineStr">
        <is>
          <t>03</t>
        </is>
      </c>
      <c r="E1662" s="68" t="inlineStr">
        <is>
          <t>6 物业施工费</t>
        </is>
      </c>
      <c r="F1662" s="68" t="inlineStr">
        <is>
          <t>6.1 总承包工程</t>
        </is>
      </c>
      <c r="G1662" s="68" t="inlineStr">
        <is>
          <t>6.1.1 内部装修工程</t>
        </is>
      </c>
      <c r="H1662" s="68" t="inlineStr">
        <is>
          <t>大堂墙面基层和装饰层（不含卫生间及楼梯）</t>
        </is>
      </c>
      <c r="I1662" s="69" t="inlineStr">
        <is>
          <t>1000021692</t>
        </is>
      </c>
      <c r="J1662" s="69" t="inlineStr">
        <is>
          <t>200*200mm墙面粉白砖（共荣）</t>
        </is>
      </c>
      <c r="K1662" s="70" t="n"/>
      <c r="L1662" s="70" t="n"/>
      <c r="M1662" s="71" t="inlineStr">
        <is>
          <t>m2</t>
        </is>
      </c>
      <c r="N1662" s="72" t="n">
        <v>115.53</v>
      </c>
      <c r="O1662" s="72">
        <f>ROUND(N1662*(1+$F$10),2)</f>
        <v/>
      </c>
      <c r="P1662" s="73">
        <f>ROUND(K1662*N1662,2)</f>
        <v/>
      </c>
      <c r="Q1662" s="74">
        <f>ROUND(L1662*N1662,2)</f>
        <v/>
      </c>
      <c r="R1662" s="75" t="n"/>
      <c r="S1662" s="76" t="n"/>
      <c r="T1662" s="77">
        <f>K1662-L1662</f>
        <v/>
      </c>
      <c r="U1662" s="77">
        <f>P1662-Q1662</f>
        <v/>
      </c>
      <c r="V1662" s="77">
        <f>ABS(U1662)</f>
        <v/>
      </c>
      <c r="W1662" s="78">
        <f>T1662/L1662</f>
        <v/>
      </c>
      <c r="X1662" s="79">
        <f>ABS(W1662)</f>
        <v/>
      </c>
    </row>
    <row r="1663" ht="11.4" customHeight="1">
      <c r="A1663" s="67" t="inlineStr">
        <is>
          <t>大甜57</t>
        </is>
      </c>
      <c r="B1663" s="67" t="inlineStr">
        <is>
          <t>1055</t>
        </is>
      </c>
      <c r="C1663" s="67" t="inlineStr">
        <is>
          <t>1611</t>
        </is>
      </c>
      <c r="D1663" s="68" t="inlineStr">
        <is>
          <t>03</t>
        </is>
      </c>
      <c r="E1663" s="68" t="inlineStr">
        <is>
          <t>6 物业施工费</t>
        </is>
      </c>
      <c r="F1663" s="68" t="inlineStr">
        <is>
          <t>6.1 总承包工程</t>
        </is>
      </c>
      <c r="G1663" s="68" t="inlineStr">
        <is>
          <t>6.1.1 内部装修工程</t>
        </is>
      </c>
      <c r="H1663" s="68" t="inlineStr">
        <is>
          <t>大堂墙面基层和装饰层（不含卫生间及楼梯）</t>
        </is>
      </c>
      <c r="I1663" s="69" t="inlineStr">
        <is>
          <t>1000021693</t>
        </is>
      </c>
      <c r="J1663" s="69" t="inlineStr">
        <is>
          <t>200*200mm墙面粉白砖（冠军）</t>
        </is>
      </c>
      <c r="K1663" s="70" t="n"/>
      <c r="L1663" s="70" t="n"/>
      <c r="M1663" s="71" t="inlineStr">
        <is>
          <t>m2</t>
        </is>
      </c>
      <c r="N1663" s="72" t="n">
        <v>131.37</v>
      </c>
      <c r="O1663" s="72">
        <f>ROUND(N1663*(1+$F$10),2)</f>
        <v/>
      </c>
      <c r="P1663" s="73">
        <f>ROUND(K1663*N1663,2)</f>
        <v/>
      </c>
      <c r="Q1663" s="74">
        <f>ROUND(L1663*N1663,2)</f>
        <v/>
      </c>
      <c r="R1663" s="75" t="n"/>
      <c r="S1663" s="76" t="n"/>
      <c r="T1663" s="77">
        <f>K1663-L1663</f>
        <v/>
      </c>
      <c r="U1663" s="77">
        <f>P1663-Q1663</f>
        <v/>
      </c>
      <c r="V1663" s="77">
        <f>ABS(U1663)</f>
        <v/>
      </c>
      <c r="W1663" s="78">
        <f>T1663/L1663</f>
        <v/>
      </c>
      <c r="X1663" s="79">
        <f>ABS(W1663)</f>
        <v/>
      </c>
    </row>
    <row r="1664" ht="11.4" customHeight="1">
      <c r="A1664" s="67" t="inlineStr">
        <is>
          <t>大甜57</t>
        </is>
      </c>
      <c r="B1664" s="67" t="inlineStr">
        <is>
          <t>1055</t>
        </is>
      </c>
      <c r="C1664" s="67" t="inlineStr">
        <is>
          <t>1611</t>
        </is>
      </c>
      <c r="D1664" s="68" t="inlineStr">
        <is>
          <t>03</t>
        </is>
      </c>
      <c r="E1664" s="68" t="inlineStr">
        <is>
          <t>6 物业施工费</t>
        </is>
      </c>
      <c r="F1664" s="68" t="inlineStr">
        <is>
          <t>6.1 总承包工程</t>
        </is>
      </c>
      <c r="G1664" s="68" t="inlineStr">
        <is>
          <t>6.1.1 内部装修工程</t>
        </is>
      </c>
      <c r="H1664" s="68" t="inlineStr">
        <is>
          <t>大堂墙面基层和装饰层（不含卫生间及楼梯）</t>
        </is>
      </c>
      <c r="I1664" s="69" t="inlineStr">
        <is>
          <t>1000021694</t>
        </is>
      </c>
      <c r="J1664" s="69" t="inlineStr">
        <is>
          <t>150*150mm墙面粉白砖（琛雄,Geometry）</t>
        </is>
      </c>
      <c r="K1664" s="70" t="n"/>
      <c r="L1664" s="70" t="n"/>
      <c r="M1664" s="71" t="inlineStr">
        <is>
          <t>m2</t>
        </is>
      </c>
      <c r="N1664" s="72" t="n">
        <v>139.83</v>
      </c>
      <c r="O1664" s="72">
        <f>ROUND(N1664*(1+$F$10),2)</f>
        <v/>
      </c>
      <c r="P1664" s="73">
        <f>ROUND(K1664*N1664,2)</f>
        <v/>
      </c>
      <c r="Q1664" s="74">
        <f>ROUND(L1664*N1664,2)</f>
        <v/>
      </c>
      <c r="R1664" s="75" t="n"/>
      <c r="S1664" s="76" t="n"/>
      <c r="T1664" s="77">
        <f>K1664-L1664</f>
        <v/>
      </c>
      <c r="U1664" s="77">
        <f>P1664-Q1664</f>
        <v/>
      </c>
      <c r="V1664" s="77">
        <f>ABS(U1664)</f>
        <v/>
      </c>
      <c r="W1664" s="78">
        <f>T1664/L1664</f>
        <v/>
      </c>
      <c r="X1664" s="79">
        <f>ABS(W1664)</f>
        <v/>
      </c>
    </row>
    <row r="1665" ht="11.4" customHeight="1">
      <c r="A1665" s="67" t="inlineStr">
        <is>
          <t>大甜57</t>
        </is>
      </c>
      <c r="B1665" s="67" t="inlineStr">
        <is>
          <t>1055</t>
        </is>
      </c>
      <c r="C1665" s="67" t="inlineStr">
        <is>
          <t>1611</t>
        </is>
      </c>
      <c r="D1665" s="68" t="inlineStr">
        <is>
          <t>03</t>
        </is>
      </c>
      <c r="E1665" s="68" t="inlineStr">
        <is>
          <t>6 物业施工费</t>
        </is>
      </c>
      <c r="F1665" s="68" t="inlineStr">
        <is>
          <t>6.1 总承包工程</t>
        </is>
      </c>
      <c r="G1665" s="68" t="inlineStr">
        <is>
          <t>6.1.1 内部装修工程</t>
        </is>
      </c>
      <c r="H1665" s="68" t="inlineStr">
        <is>
          <t>大堂墙面基层和装饰层（不含卫生间及楼梯）</t>
        </is>
      </c>
      <c r="I1665" s="69" t="inlineStr">
        <is>
          <t>1000021696</t>
        </is>
      </c>
      <c r="J1665" s="69" t="inlineStr">
        <is>
          <t>150*150mm墙面粉白砖（共荣,Geometry）</t>
        </is>
      </c>
      <c r="K1665" s="70" t="n"/>
      <c r="L1665" s="70" t="n"/>
      <c r="M1665" s="71" t="inlineStr">
        <is>
          <t>m2</t>
        </is>
      </c>
      <c r="N1665" s="72" t="n">
        <v>129.44</v>
      </c>
      <c r="O1665" s="72">
        <f>ROUND(N1665*(1+$F$10),2)</f>
        <v/>
      </c>
      <c r="P1665" s="73">
        <f>ROUND(K1665*N1665,2)</f>
        <v/>
      </c>
      <c r="Q1665" s="74">
        <f>ROUND(L1665*N1665,2)</f>
        <v/>
      </c>
      <c r="R1665" s="75" t="n"/>
      <c r="S1665" s="76" t="n"/>
      <c r="T1665" s="77">
        <f>K1665-L1665</f>
        <v/>
      </c>
      <c r="U1665" s="77">
        <f>P1665-Q1665</f>
        <v/>
      </c>
      <c r="V1665" s="77">
        <f>ABS(U1665)</f>
        <v/>
      </c>
      <c r="W1665" s="78">
        <f>T1665/L1665</f>
        <v/>
      </c>
      <c r="X1665" s="79">
        <f>ABS(W1665)</f>
        <v/>
      </c>
    </row>
    <row r="1666" ht="11.4" customHeight="1">
      <c r="A1666" s="67" t="inlineStr">
        <is>
          <t>大甜57</t>
        </is>
      </c>
      <c r="B1666" s="67" t="inlineStr">
        <is>
          <t>1055</t>
        </is>
      </c>
      <c r="C1666" s="67" t="inlineStr">
        <is>
          <t>1611</t>
        </is>
      </c>
      <c r="D1666" s="68" t="inlineStr">
        <is>
          <t>03</t>
        </is>
      </c>
      <c r="E1666" s="68" t="inlineStr">
        <is>
          <t>6 物业施工费</t>
        </is>
      </c>
      <c r="F1666" s="68" t="inlineStr">
        <is>
          <t>6.1 总承包工程</t>
        </is>
      </c>
      <c r="G1666" s="68" t="inlineStr">
        <is>
          <t>6.1.1 内部装修工程</t>
        </is>
      </c>
      <c r="H1666" s="68" t="inlineStr">
        <is>
          <t>大堂墙面基层和装饰层（不含卫生间及楼梯）</t>
        </is>
      </c>
      <c r="I1666" s="69" t="inlineStr">
        <is>
          <t>1000021695</t>
        </is>
      </c>
      <c r="J1666" s="69" t="inlineStr">
        <is>
          <t>150*150mm墙面粉白砖（冠军,Geometry）</t>
        </is>
      </c>
      <c r="K1666" s="70" t="n"/>
      <c r="L1666" s="70" t="n"/>
      <c r="M1666" s="71" t="inlineStr">
        <is>
          <t>m2</t>
        </is>
      </c>
      <c r="N1666" s="72" t="n">
        <v>139.83</v>
      </c>
      <c r="O1666" s="72">
        <f>ROUND(N1666*(1+$F$10),2)</f>
        <v/>
      </c>
      <c r="P1666" s="73">
        <f>ROUND(K1666*N1666,2)</f>
        <v/>
      </c>
      <c r="Q1666" s="74">
        <f>ROUND(L1666*N1666,2)</f>
        <v/>
      </c>
      <c r="R1666" s="75" t="n"/>
      <c r="S1666" s="76" t="n"/>
      <c r="T1666" s="77">
        <f>K1666-L1666</f>
        <v/>
      </c>
      <c r="U1666" s="77">
        <f>P1666-Q1666</f>
        <v/>
      </c>
      <c r="V1666" s="77">
        <f>ABS(U1666)</f>
        <v/>
      </c>
      <c r="W1666" s="78">
        <f>T1666/L1666</f>
        <v/>
      </c>
      <c r="X1666" s="79">
        <f>ABS(W1666)</f>
        <v/>
      </c>
    </row>
    <row r="1667" ht="11.4" customHeight="1">
      <c r="A1667" s="67" t="inlineStr">
        <is>
          <t>大甜57</t>
        </is>
      </c>
      <c r="B1667" s="67" t="inlineStr">
        <is>
          <t>1055</t>
        </is>
      </c>
      <c r="C1667" s="67" t="inlineStr">
        <is>
          <t>1611</t>
        </is>
      </c>
      <c r="D1667" s="68" t="inlineStr">
        <is>
          <t>03</t>
        </is>
      </c>
      <c r="E1667" s="68" t="inlineStr">
        <is>
          <t>6 物业施工费</t>
        </is>
      </c>
      <c r="F1667" s="68" t="inlineStr">
        <is>
          <t>6.1 总承包工程</t>
        </is>
      </c>
      <c r="G1667" s="68" t="inlineStr">
        <is>
          <t>6.1.1 内部装修工程</t>
        </is>
      </c>
      <c r="H1667" s="68" t="inlineStr">
        <is>
          <t>大堂墙面基层和装饰层（不含卫生间及楼梯）</t>
        </is>
      </c>
      <c r="I1667" s="69" t="inlineStr">
        <is>
          <t>1000021478</t>
        </is>
      </c>
      <c r="J1667" s="69" t="inlineStr">
        <is>
          <t>墙面贴面砖（琛雄）</t>
        </is>
      </c>
      <c r="K1667" s="70" t="n"/>
      <c r="L1667" s="70" t="n"/>
      <c r="M1667" s="71" t="inlineStr">
        <is>
          <t>m2</t>
        </is>
      </c>
      <c r="N1667" s="72" t="n">
        <v>167.98</v>
      </c>
      <c r="O1667" s="72">
        <f>ROUND(N1667*(1+$F$10),2)</f>
        <v/>
      </c>
      <c r="P1667" s="73">
        <f>ROUND(K1667*N1667,2)</f>
        <v/>
      </c>
      <c r="Q1667" s="74">
        <f>ROUND(L1667*N1667,2)</f>
        <v/>
      </c>
      <c r="R1667" s="75" t="n"/>
      <c r="S1667" s="76" t="n"/>
      <c r="T1667" s="77">
        <f>K1667-L1667</f>
        <v/>
      </c>
      <c r="U1667" s="77">
        <f>P1667-Q1667</f>
        <v/>
      </c>
      <c r="V1667" s="77">
        <f>ABS(U1667)</f>
        <v/>
      </c>
      <c r="W1667" s="78">
        <f>T1667/L1667</f>
        <v/>
      </c>
      <c r="X1667" s="79">
        <f>ABS(W1667)</f>
        <v/>
      </c>
    </row>
    <row r="1668" ht="11.4" customHeight="1">
      <c r="A1668" s="67" t="inlineStr">
        <is>
          <t>大甜57</t>
        </is>
      </c>
      <c r="B1668" s="67" t="inlineStr">
        <is>
          <t>1055</t>
        </is>
      </c>
      <c r="C1668" s="67" t="inlineStr">
        <is>
          <t>1611</t>
        </is>
      </c>
      <c r="D1668" s="68" t="inlineStr">
        <is>
          <t>03</t>
        </is>
      </c>
      <c r="E1668" s="68" t="inlineStr">
        <is>
          <t>6 物业施工费</t>
        </is>
      </c>
      <c r="F1668" s="68" t="inlineStr">
        <is>
          <t>6.1 总承包工程</t>
        </is>
      </c>
      <c r="G1668" s="68" t="inlineStr">
        <is>
          <t>6.1.1 内部装修工程</t>
        </is>
      </c>
      <c r="H1668" s="68" t="inlineStr">
        <is>
          <t>大堂墙面基层和装饰层（不含卫生间及楼梯）</t>
        </is>
      </c>
      <c r="I1668" s="69" t="inlineStr">
        <is>
          <t>1000021645</t>
        </is>
      </c>
      <c r="J1668" s="69" t="inlineStr">
        <is>
          <t>墙面贴面砖（共荣）</t>
        </is>
      </c>
      <c r="K1668" s="70" t="n"/>
      <c r="L1668" s="70" t="n"/>
      <c r="M1668" s="71" t="inlineStr">
        <is>
          <t>m2</t>
        </is>
      </c>
      <c r="N1668" s="72" t="n">
        <v>147.41</v>
      </c>
      <c r="O1668" s="72">
        <f>ROUND(N1668*(1+$F$10),2)</f>
        <v/>
      </c>
      <c r="P1668" s="73">
        <f>ROUND(K1668*N1668,2)</f>
        <v/>
      </c>
      <c r="Q1668" s="74">
        <f>ROUND(L1668*N1668,2)</f>
        <v/>
      </c>
      <c r="R1668" s="75" t="n"/>
      <c r="S1668" s="76" t="n"/>
      <c r="T1668" s="77">
        <f>K1668-L1668</f>
        <v/>
      </c>
      <c r="U1668" s="77">
        <f>P1668-Q1668</f>
        <v/>
      </c>
      <c r="V1668" s="77">
        <f>ABS(U1668)</f>
        <v/>
      </c>
      <c r="W1668" s="78">
        <f>T1668/L1668</f>
        <v/>
      </c>
      <c r="X1668" s="79">
        <f>ABS(W1668)</f>
        <v/>
      </c>
    </row>
    <row r="1669" ht="11.4" customHeight="1">
      <c r="A1669" s="67" t="inlineStr">
        <is>
          <t>大甜57</t>
        </is>
      </c>
      <c r="B1669" s="67" t="inlineStr">
        <is>
          <t>1055</t>
        </is>
      </c>
      <c r="C1669" s="67" t="inlineStr">
        <is>
          <t>1611</t>
        </is>
      </c>
      <c r="D1669" s="68" t="inlineStr">
        <is>
          <t>03</t>
        </is>
      </c>
      <c r="E1669" s="68" t="inlineStr">
        <is>
          <t>6 物业施工费</t>
        </is>
      </c>
      <c r="F1669" s="68" t="inlineStr">
        <is>
          <t>6.1 总承包工程</t>
        </is>
      </c>
      <c r="G1669" s="68" t="inlineStr">
        <is>
          <t>6.1.1 内部装修工程</t>
        </is>
      </c>
      <c r="H1669" s="68" t="inlineStr">
        <is>
          <t>大堂墙面基层和装饰层（不含卫生间及楼梯）</t>
        </is>
      </c>
      <c r="I1669" s="69" t="inlineStr">
        <is>
          <t>1000021626</t>
        </is>
      </c>
      <c r="J1669" s="69" t="inlineStr">
        <is>
          <t>墙面贴面砖（冠军）</t>
        </is>
      </c>
      <c r="K1669" s="70" t="n"/>
      <c r="L1669" s="70" t="n"/>
      <c r="M1669" s="71" t="inlineStr">
        <is>
          <t>m2</t>
        </is>
      </c>
      <c r="N1669" s="72" t="n">
        <v>169.19</v>
      </c>
      <c r="O1669" s="72">
        <f>ROUND(N1669*(1+$F$10),2)</f>
        <v/>
      </c>
      <c r="P1669" s="73">
        <f>ROUND(K1669*N1669,2)</f>
        <v/>
      </c>
      <c r="Q1669" s="74">
        <f>ROUND(L1669*N1669,2)</f>
        <v/>
      </c>
      <c r="R1669" s="75" t="n"/>
      <c r="S1669" s="76" t="n"/>
      <c r="T1669" s="77">
        <f>K1669-L1669</f>
        <v/>
      </c>
      <c r="U1669" s="77">
        <f>P1669-Q1669</f>
        <v/>
      </c>
      <c r="V1669" s="77">
        <f>ABS(U1669)</f>
        <v/>
      </c>
      <c r="W1669" s="78">
        <f>T1669/L1669</f>
        <v/>
      </c>
      <c r="X1669" s="79">
        <f>ABS(W1669)</f>
        <v/>
      </c>
    </row>
    <row r="1670" ht="11.4" customHeight="1">
      <c r="A1670" s="67" t="inlineStr">
        <is>
          <t>大甜57</t>
        </is>
      </c>
      <c r="B1670" s="67" t="inlineStr">
        <is>
          <t>1055</t>
        </is>
      </c>
      <c r="C1670" s="67" t="inlineStr">
        <is>
          <t>1611</t>
        </is>
      </c>
      <c r="D1670" s="68" t="inlineStr">
        <is>
          <t>03</t>
        </is>
      </c>
      <c r="E1670" s="68" t="inlineStr">
        <is>
          <t>6 物业施工费</t>
        </is>
      </c>
      <c r="F1670" s="68" t="inlineStr">
        <is>
          <t>6.1 总承包工程</t>
        </is>
      </c>
      <c r="G1670" s="68" t="inlineStr">
        <is>
          <t>6.1.1 内部装修工程</t>
        </is>
      </c>
      <c r="H1670" s="68" t="inlineStr">
        <is>
          <t>大堂墙面基层和装饰层（不含卫生间及楼梯）</t>
        </is>
      </c>
      <c r="I1670" s="69" t="inlineStr">
        <is>
          <t>1000051727</t>
        </is>
      </c>
      <c r="J1670" s="69" t="inlineStr">
        <is>
          <t>墙面灰色水泥砖（琛雄）</t>
        </is>
      </c>
      <c r="K1670" s="70" t="n"/>
      <c r="L1670" s="70" t="n"/>
      <c r="M1670" s="71" t="inlineStr">
        <is>
          <t>m2</t>
        </is>
      </c>
      <c r="N1670" s="72" t="n">
        <v>194.93</v>
      </c>
      <c r="O1670" s="72">
        <f>ROUND(N1670*(1+$F$10),2)</f>
        <v/>
      </c>
      <c r="P1670" s="73">
        <f>ROUND(K1670*N1670,2)</f>
        <v/>
      </c>
      <c r="Q1670" s="74">
        <f>ROUND(L1670*N1670,2)</f>
        <v/>
      </c>
      <c r="R1670" s="75" t="n"/>
      <c r="S1670" s="76" t="n"/>
      <c r="T1670" s="77">
        <f>K1670-L1670</f>
        <v/>
      </c>
      <c r="U1670" s="77">
        <f>P1670-Q1670</f>
        <v/>
      </c>
      <c r="V1670" s="77">
        <f>ABS(U1670)</f>
        <v/>
      </c>
      <c r="W1670" s="78">
        <f>T1670/L1670</f>
        <v/>
      </c>
      <c r="X1670" s="79">
        <f>ABS(W1670)</f>
        <v/>
      </c>
    </row>
    <row r="1671" ht="11.4" customHeight="1">
      <c r="A1671" s="67" t="inlineStr">
        <is>
          <t>大甜57</t>
        </is>
      </c>
      <c r="B1671" s="67" t="inlineStr">
        <is>
          <t>1055</t>
        </is>
      </c>
      <c r="C1671" s="67" t="inlineStr">
        <is>
          <t>1611</t>
        </is>
      </c>
      <c r="D1671" s="68" t="inlineStr">
        <is>
          <t>03</t>
        </is>
      </c>
      <c r="E1671" s="68" t="inlineStr">
        <is>
          <t>6 物业施工费</t>
        </is>
      </c>
      <c r="F1671" s="68" t="inlineStr">
        <is>
          <t>6.1 总承包工程</t>
        </is>
      </c>
      <c r="G1671" s="68" t="inlineStr">
        <is>
          <t>6.1.1 内部装修工程</t>
        </is>
      </c>
      <c r="H1671" s="68" t="inlineStr">
        <is>
          <t>大堂墙面基层和装饰层（不含卫生间及楼梯）</t>
        </is>
      </c>
      <c r="I1671" s="69" t="inlineStr">
        <is>
          <t>1000051728</t>
        </is>
      </c>
      <c r="J1671" s="69" t="inlineStr">
        <is>
          <t>墙面灰色水泥砖（共荣）</t>
        </is>
      </c>
      <c r="K1671" s="70" t="n"/>
      <c r="L1671" s="70" t="n"/>
      <c r="M1671" s="71" t="inlineStr">
        <is>
          <t>m2</t>
        </is>
      </c>
      <c r="N1671" s="72" t="n">
        <v>177.99</v>
      </c>
      <c r="O1671" s="72">
        <f>ROUND(N1671*(1+$F$10),2)</f>
        <v/>
      </c>
      <c r="P1671" s="73">
        <f>ROUND(K1671*N1671,2)</f>
        <v/>
      </c>
      <c r="Q1671" s="74">
        <f>ROUND(L1671*N1671,2)</f>
        <v/>
      </c>
      <c r="R1671" s="75" t="n"/>
      <c r="S1671" s="76" t="n"/>
      <c r="T1671" s="77">
        <f>K1671-L1671</f>
        <v/>
      </c>
      <c r="U1671" s="77">
        <f>P1671-Q1671</f>
        <v/>
      </c>
      <c r="V1671" s="77">
        <f>ABS(U1671)</f>
        <v/>
      </c>
      <c r="W1671" s="78">
        <f>T1671/L1671</f>
        <v/>
      </c>
      <c r="X1671" s="79">
        <f>ABS(W1671)</f>
        <v/>
      </c>
    </row>
    <row r="1672" ht="11.4" customHeight="1">
      <c r="A1672" s="67" t="inlineStr">
        <is>
          <t>大甜57</t>
        </is>
      </c>
      <c r="B1672" s="67" t="inlineStr">
        <is>
          <t>1055</t>
        </is>
      </c>
      <c r="C1672" s="67" t="inlineStr">
        <is>
          <t>1611</t>
        </is>
      </c>
      <c r="D1672" s="68" t="inlineStr">
        <is>
          <t>03</t>
        </is>
      </c>
      <c r="E1672" s="68" t="inlineStr">
        <is>
          <t>6 物业施工费</t>
        </is>
      </c>
      <c r="F1672" s="68" t="inlineStr">
        <is>
          <t>6.1 总承包工程</t>
        </is>
      </c>
      <c r="G1672" s="68" t="inlineStr">
        <is>
          <t>6.1.1 内部装修工程</t>
        </is>
      </c>
      <c r="H1672" s="68" t="inlineStr">
        <is>
          <t>大堂墙面基层和装饰层（不含卫生间及楼梯）</t>
        </is>
      </c>
      <c r="I1672" s="69" t="inlineStr">
        <is>
          <t>1000051729</t>
        </is>
      </c>
      <c r="J1672" s="69" t="inlineStr">
        <is>
          <t>墙面灰色水泥砖（冠军）</t>
        </is>
      </c>
      <c r="K1672" s="70" t="n"/>
      <c r="L1672" s="70" t="n"/>
      <c r="M1672" s="71" t="inlineStr">
        <is>
          <t>m2</t>
        </is>
      </c>
      <c r="N1672" s="72" t="n">
        <v>196.14</v>
      </c>
      <c r="O1672" s="72">
        <f>ROUND(N1672*(1+$F$10),2)</f>
        <v/>
      </c>
      <c r="P1672" s="73">
        <f>ROUND(K1672*N1672,2)</f>
        <v/>
      </c>
      <c r="Q1672" s="74">
        <f>ROUND(L1672*N1672,2)</f>
        <v/>
      </c>
      <c r="R1672" s="75" t="n"/>
      <c r="S1672" s="76" t="n"/>
      <c r="T1672" s="77">
        <f>K1672-L1672</f>
        <v/>
      </c>
      <c r="U1672" s="77">
        <f>P1672-Q1672</f>
        <v/>
      </c>
      <c r="V1672" s="77">
        <f>ABS(U1672)</f>
        <v/>
      </c>
      <c r="W1672" s="78">
        <f>T1672/L1672</f>
        <v/>
      </c>
      <c r="X1672" s="79">
        <f>ABS(W1672)</f>
        <v/>
      </c>
    </row>
    <row r="1673" ht="11.4" customHeight="1">
      <c r="A1673" s="67" t="inlineStr">
        <is>
          <t>大甜57</t>
        </is>
      </c>
      <c r="B1673" s="67" t="inlineStr">
        <is>
          <t>1055</t>
        </is>
      </c>
      <c r="C1673" s="67" t="inlineStr">
        <is>
          <t>1611</t>
        </is>
      </c>
      <c r="D1673" s="68" t="inlineStr">
        <is>
          <t>03</t>
        </is>
      </c>
      <c r="E1673" s="68" t="inlineStr">
        <is>
          <t>6 物业施工费</t>
        </is>
      </c>
      <c r="F1673" s="68" t="inlineStr">
        <is>
          <t>6.1 总承包工程</t>
        </is>
      </c>
      <c r="G1673" s="68" t="inlineStr">
        <is>
          <t>6.1.1 内部装修工程</t>
        </is>
      </c>
      <c r="H1673" s="68" t="inlineStr">
        <is>
          <t>大堂墙面基层和装饰层（不含卫生间及楼梯）</t>
        </is>
      </c>
      <c r="I1673" s="69" t="inlineStr">
        <is>
          <t>1000021716</t>
        </is>
      </c>
      <c r="J1673" s="69" t="inlineStr">
        <is>
          <t>墙面灰砖（琛雄，Luna)</t>
        </is>
      </c>
      <c r="K1673" s="70" t="n"/>
      <c r="L1673" s="70" t="n"/>
      <c r="M1673" s="71" t="inlineStr">
        <is>
          <t>m2</t>
        </is>
      </c>
      <c r="N1673" s="72" t="n">
        <v>194.93</v>
      </c>
      <c r="O1673" s="72">
        <f>ROUND(N1673*(1+$F$10),2)</f>
        <v/>
      </c>
      <c r="P1673" s="73">
        <f>ROUND(K1673*N1673,2)</f>
        <v/>
      </c>
      <c r="Q1673" s="74">
        <f>ROUND(L1673*N1673,2)</f>
        <v/>
      </c>
      <c r="R1673" s="75" t="n"/>
      <c r="S1673" s="76" t="n"/>
      <c r="T1673" s="77">
        <f>K1673-L1673</f>
        <v/>
      </c>
      <c r="U1673" s="77">
        <f>P1673-Q1673</f>
        <v/>
      </c>
      <c r="V1673" s="77">
        <f>ABS(U1673)</f>
        <v/>
      </c>
      <c r="W1673" s="78">
        <f>T1673/L1673</f>
        <v/>
      </c>
      <c r="X1673" s="79">
        <f>ABS(W1673)</f>
        <v/>
      </c>
    </row>
    <row r="1674" ht="11.4" customHeight="1">
      <c r="A1674" s="67" t="inlineStr">
        <is>
          <t>大甜57</t>
        </is>
      </c>
      <c r="B1674" s="67" t="inlineStr">
        <is>
          <t>1055</t>
        </is>
      </c>
      <c r="C1674" s="67" t="inlineStr">
        <is>
          <t>1611</t>
        </is>
      </c>
      <c r="D1674" s="68" t="inlineStr">
        <is>
          <t>03</t>
        </is>
      </c>
      <c r="E1674" s="68" t="inlineStr">
        <is>
          <t>6 物业施工费</t>
        </is>
      </c>
      <c r="F1674" s="68" t="inlineStr">
        <is>
          <t>6.1 总承包工程</t>
        </is>
      </c>
      <c r="G1674" s="68" t="inlineStr">
        <is>
          <t>6.1.1 内部装修工程</t>
        </is>
      </c>
      <c r="H1674" s="68" t="inlineStr">
        <is>
          <t>大堂墙面基层和装饰层（不含卫生间及楼梯）</t>
        </is>
      </c>
      <c r="I1674" s="69" t="inlineStr">
        <is>
          <t>1000041814</t>
        </is>
      </c>
      <c r="J1674" s="69" t="inlineStr">
        <is>
          <t>墙面灰砖（共荣，Luna)</t>
        </is>
      </c>
      <c r="K1674" s="70" t="n"/>
      <c r="L1674" s="70" t="n"/>
      <c r="M1674" s="71" t="inlineStr">
        <is>
          <t>m2</t>
        </is>
      </c>
      <c r="N1674" s="72" t="n">
        <v>180.41</v>
      </c>
      <c r="O1674" s="72">
        <f>ROUND(N1674*(1+$F$10),2)</f>
        <v/>
      </c>
      <c r="P1674" s="73">
        <f>ROUND(K1674*N1674,2)</f>
        <v/>
      </c>
      <c r="Q1674" s="74">
        <f>ROUND(L1674*N1674,2)</f>
        <v/>
      </c>
      <c r="R1674" s="75" t="n"/>
      <c r="S1674" s="76" t="n"/>
      <c r="T1674" s="77">
        <f>K1674-L1674</f>
        <v/>
      </c>
      <c r="U1674" s="77">
        <f>P1674-Q1674</f>
        <v/>
      </c>
      <c r="V1674" s="77">
        <f>ABS(U1674)</f>
        <v/>
      </c>
      <c r="W1674" s="78">
        <f>T1674/L1674</f>
        <v/>
      </c>
      <c r="X1674" s="79">
        <f>ABS(W1674)</f>
        <v/>
      </c>
    </row>
    <row r="1675" ht="11.4" customHeight="1">
      <c r="A1675" s="67" t="inlineStr">
        <is>
          <t>大甜57</t>
        </is>
      </c>
      <c r="B1675" s="67" t="inlineStr">
        <is>
          <t>1055</t>
        </is>
      </c>
      <c r="C1675" s="67" t="inlineStr">
        <is>
          <t>1611</t>
        </is>
      </c>
      <c r="D1675" s="68" t="inlineStr">
        <is>
          <t>03</t>
        </is>
      </c>
      <c r="E1675" s="68" t="inlineStr">
        <is>
          <t>6 物业施工费</t>
        </is>
      </c>
      <c r="F1675" s="68" t="inlineStr">
        <is>
          <t>6.1 总承包工程</t>
        </is>
      </c>
      <c r="G1675" s="68" t="inlineStr">
        <is>
          <t>6.1.1 内部装修工程</t>
        </is>
      </c>
      <c r="H1675" s="68" t="inlineStr">
        <is>
          <t>大堂墙面基层和装饰层（不含卫生间及楼梯）</t>
        </is>
      </c>
      <c r="I1675" s="69" t="inlineStr">
        <is>
          <t>1000041820</t>
        </is>
      </c>
      <c r="J1675" s="69" t="inlineStr">
        <is>
          <t>墙面灰砖（冠军，Luna)</t>
        </is>
      </c>
      <c r="K1675" s="70" t="n"/>
      <c r="L1675" s="70" t="n"/>
      <c r="M1675" s="71" t="inlineStr">
        <is>
          <t>m2</t>
        </is>
      </c>
      <c r="N1675" s="72" t="n">
        <v>194.93</v>
      </c>
      <c r="O1675" s="72">
        <f>ROUND(N1675*(1+$F$10),2)</f>
        <v/>
      </c>
      <c r="P1675" s="73">
        <f>ROUND(K1675*N1675,2)</f>
        <v/>
      </c>
      <c r="Q1675" s="74">
        <f>ROUND(L1675*N1675,2)</f>
        <v/>
      </c>
      <c r="R1675" s="75" t="n"/>
      <c r="S1675" s="76" t="n"/>
      <c r="T1675" s="77">
        <f>K1675-L1675</f>
        <v/>
      </c>
      <c r="U1675" s="77">
        <f>P1675-Q1675</f>
        <v/>
      </c>
      <c r="V1675" s="77">
        <f>ABS(U1675)</f>
        <v/>
      </c>
      <c r="W1675" s="78">
        <f>T1675/L1675</f>
        <v/>
      </c>
      <c r="X1675" s="79">
        <f>ABS(W1675)</f>
        <v/>
      </c>
    </row>
    <row r="1676" ht="11.4" customHeight="1">
      <c r="A1676" s="67" t="inlineStr">
        <is>
          <t>大甜57</t>
        </is>
      </c>
      <c r="B1676" s="67" t="inlineStr">
        <is>
          <t>1055</t>
        </is>
      </c>
      <c r="C1676" s="67" t="inlineStr">
        <is>
          <t>1611</t>
        </is>
      </c>
      <c r="D1676" s="68" t="inlineStr">
        <is>
          <t>03</t>
        </is>
      </c>
      <c r="E1676" s="68" t="inlineStr">
        <is>
          <t>6 物业施工费</t>
        </is>
      </c>
      <c r="F1676" s="68" t="inlineStr">
        <is>
          <t>6.1 总承包工程</t>
        </is>
      </c>
      <c r="G1676" s="68" t="inlineStr">
        <is>
          <t>6.1.1 内部装修工程</t>
        </is>
      </c>
      <c r="H1676" s="68" t="inlineStr">
        <is>
          <t>大堂墙面基层和装饰层（不含卫生间及楼梯）</t>
        </is>
      </c>
      <c r="I1676" s="69" t="inlineStr">
        <is>
          <t>1000021717</t>
        </is>
      </c>
      <c r="J1676" s="69" t="inlineStr">
        <is>
          <t>墙面黑砖（琛雄，Luna)</t>
        </is>
      </c>
      <c r="K1676" s="70" t="n"/>
      <c r="L1676" s="70" t="n"/>
      <c r="M1676" s="71" t="inlineStr">
        <is>
          <t>m2</t>
        </is>
      </c>
      <c r="N1676" s="72" t="n">
        <v>237.28</v>
      </c>
      <c r="O1676" s="72">
        <f>ROUND(N1676*(1+$F$10),2)</f>
        <v/>
      </c>
      <c r="P1676" s="73">
        <f>ROUND(K1676*N1676,2)</f>
        <v/>
      </c>
      <c r="Q1676" s="74">
        <f>ROUND(L1676*N1676,2)</f>
        <v/>
      </c>
      <c r="R1676" s="75" t="n"/>
      <c r="S1676" s="76" t="n"/>
      <c r="T1676" s="77">
        <f>K1676-L1676</f>
        <v/>
      </c>
      <c r="U1676" s="77">
        <f>P1676-Q1676</f>
        <v/>
      </c>
      <c r="V1676" s="77">
        <f>ABS(U1676)</f>
        <v/>
      </c>
      <c r="W1676" s="78">
        <f>T1676/L1676</f>
        <v/>
      </c>
      <c r="X1676" s="79">
        <f>ABS(W1676)</f>
        <v/>
      </c>
    </row>
    <row r="1677" ht="11.4" customHeight="1">
      <c r="A1677" s="67" t="inlineStr">
        <is>
          <t>大甜57</t>
        </is>
      </c>
      <c r="B1677" s="67" t="inlineStr">
        <is>
          <t>1055</t>
        </is>
      </c>
      <c r="C1677" s="67" t="inlineStr">
        <is>
          <t>1611</t>
        </is>
      </c>
      <c r="D1677" s="68" t="inlineStr">
        <is>
          <t>03</t>
        </is>
      </c>
      <c r="E1677" s="68" t="inlineStr">
        <is>
          <t>6 物业施工费</t>
        </is>
      </c>
      <c r="F1677" s="68" t="inlineStr">
        <is>
          <t>6.1 总承包工程</t>
        </is>
      </c>
      <c r="G1677" s="68" t="inlineStr">
        <is>
          <t>6.1.1 内部装修工程</t>
        </is>
      </c>
      <c r="H1677" s="68" t="inlineStr">
        <is>
          <t>大堂墙面基层和装饰层（不含卫生间及楼梯）</t>
        </is>
      </c>
      <c r="I1677" s="69" t="inlineStr">
        <is>
          <t>1000041813</t>
        </is>
      </c>
      <c r="J1677" s="69" t="inlineStr">
        <is>
          <t>墙面黑砖（共荣，Luna)</t>
        </is>
      </c>
      <c r="K1677" s="70" t="n"/>
      <c r="L1677" s="70" t="n"/>
      <c r="M1677" s="71" t="inlineStr">
        <is>
          <t>m2</t>
        </is>
      </c>
      <c r="N1677" s="72" t="n">
        <v>208.24</v>
      </c>
      <c r="O1677" s="72">
        <f>ROUND(N1677*(1+$F$10),2)</f>
        <v/>
      </c>
      <c r="P1677" s="73">
        <f>ROUND(K1677*N1677,2)</f>
        <v/>
      </c>
      <c r="Q1677" s="74">
        <f>ROUND(L1677*N1677,2)</f>
        <v/>
      </c>
      <c r="R1677" s="75" t="n"/>
      <c r="S1677" s="76" t="n"/>
      <c r="T1677" s="77">
        <f>K1677-L1677</f>
        <v/>
      </c>
      <c r="U1677" s="77">
        <f>P1677-Q1677</f>
        <v/>
      </c>
      <c r="V1677" s="77">
        <f>ABS(U1677)</f>
        <v/>
      </c>
      <c r="W1677" s="78">
        <f>T1677/L1677</f>
        <v/>
      </c>
      <c r="X1677" s="79">
        <f>ABS(W1677)</f>
        <v/>
      </c>
    </row>
    <row r="1678" ht="11.4" customHeight="1">
      <c r="A1678" s="67" t="inlineStr">
        <is>
          <t>大甜57</t>
        </is>
      </c>
      <c r="B1678" s="67" t="inlineStr">
        <is>
          <t>1055</t>
        </is>
      </c>
      <c r="C1678" s="67" t="inlineStr">
        <is>
          <t>1611</t>
        </is>
      </c>
      <c r="D1678" s="68" t="inlineStr">
        <is>
          <t>03</t>
        </is>
      </c>
      <c r="E1678" s="68" t="inlineStr">
        <is>
          <t>6 物业施工费</t>
        </is>
      </c>
      <c r="F1678" s="68" t="inlineStr">
        <is>
          <t>6.1 总承包工程</t>
        </is>
      </c>
      <c r="G1678" s="68" t="inlineStr">
        <is>
          <t>6.1.1 内部装修工程</t>
        </is>
      </c>
      <c r="H1678" s="68" t="inlineStr">
        <is>
          <t>大堂墙面基层和装饰层（不含卫生间及楼梯）</t>
        </is>
      </c>
      <c r="I1678" s="69" t="inlineStr">
        <is>
          <t>1000041819</t>
        </is>
      </c>
      <c r="J1678" s="69" t="inlineStr">
        <is>
          <t>墙面黑砖（冠军，Luna)</t>
        </is>
      </c>
      <c r="K1678" s="70" t="n"/>
      <c r="L1678" s="70" t="n"/>
      <c r="M1678" s="71" t="inlineStr">
        <is>
          <t>m2</t>
        </is>
      </c>
      <c r="N1678" s="72" t="n">
        <v>237.28</v>
      </c>
      <c r="O1678" s="72">
        <f>ROUND(N1678*(1+$F$10),2)</f>
        <v/>
      </c>
      <c r="P1678" s="73">
        <f>ROUND(K1678*N1678,2)</f>
        <v/>
      </c>
      <c r="Q1678" s="74">
        <f>ROUND(L1678*N1678,2)</f>
        <v/>
      </c>
      <c r="R1678" s="75" t="n"/>
      <c r="S1678" s="76" t="n"/>
      <c r="T1678" s="77">
        <f>K1678-L1678</f>
        <v/>
      </c>
      <c r="U1678" s="77">
        <f>P1678-Q1678</f>
        <v/>
      </c>
      <c r="V1678" s="77">
        <f>ABS(U1678)</f>
        <v/>
      </c>
      <c r="W1678" s="78">
        <f>T1678/L1678</f>
        <v/>
      </c>
      <c r="X1678" s="79">
        <f>ABS(W1678)</f>
        <v/>
      </c>
    </row>
    <row r="1679" ht="11.4" customHeight="1">
      <c r="A1679" s="67" t="inlineStr">
        <is>
          <t>大甜57</t>
        </is>
      </c>
      <c r="B1679" s="67" t="inlineStr">
        <is>
          <t>1055</t>
        </is>
      </c>
      <c r="C1679" s="67" t="inlineStr">
        <is>
          <t>1611</t>
        </is>
      </c>
      <c r="D1679" s="68" t="inlineStr">
        <is>
          <t>03</t>
        </is>
      </c>
      <c r="E1679" s="68" t="inlineStr">
        <is>
          <t>6 物业施工费</t>
        </is>
      </c>
      <c r="F1679" s="68" t="inlineStr">
        <is>
          <t>6.1 总承包工程</t>
        </is>
      </c>
      <c r="G1679" s="68" t="inlineStr">
        <is>
          <t>6.1.1 内部装修工程</t>
        </is>
      </c>
      <c r="H1679" s="68" t="inlineStr">
        <is>
          <t>大堂墙面基层和装饰层（不含卫生间及楼梯）</t>
        </is>
      </c>
      <c r="I1679" s="69" t="inlineStr">
        <is>
          <t>1000021481</t>
        </is>
      </c>
      <c r="J1679" s="69" t="inlineStr">
        <is>
          <t>100*300mm黑色哑光面砖（琛雄）</t>
        </is>
      </c>
      <c r="K1679" s="70" t="n"/>
      <c r="L1679" s="70" t="n"/>
      <c r="M1679" s="71" t="inlineStr">
        <is>
          <t>m2</t>
        </is>
      </c>
      <c r="N1679" s="72" t="n">
        <v>179.53</v>
      </c>
      <c r="O1679" s="72">
        <f>ROUND(N1679*(1+$F$10),2)</f>
        <v/>
      </c>
      <c r="P1679" s="73">
        <f>ROUND(K1679*N1679,2)</f>
        <v/>
      </c>
      <c r="Q1679" s="74">
        <f>ROUND(L1679*N1679,2)</f>
        <v/>
      </c>
      <c r="R1679" s="75" t="n"/>
      <c r="S1679" s="76" t="n"/>
      <c r="T1679" s="77">
        <f>K1679-L1679</f>
        <v/>
      </c>
      <c r="U1679" s="77">
        <f>P1679-Q1679</f>
        <v/>
      </c>
      <c r="V1679" s="77">
        <f>ABS(U1679)</f>
        <v/>
      </c>
      <c r="W1679" s="78">
        <f>T1679/L1679</f>
        <v/>
      </c>
      <c r="X1679" s="79">
        <f>ABS(W1679)</f>
        <v/>
      </c>
    </row>
    <row r="1680" ht="11.4" customHeight="1">
      <c r="A1680" s="67" t="inlineStr">
        <is>
          <t>大甜57</t>
        </is>
      </c>
      <c r="B1680" s="67" t="inlineStr">
        <is>
          <t>1055</t>
        </is>
      </c>
      <c r="C1680" s="67" t="inlineStr">
        <is>
          <t>1611</t>
        </is>
      </c>
      <c r="D1680" s="68" t="inlineStr">
        <is>
          <t>03</t>
        </is>
      </c>
      <c r="E1680" s="68" t="inlineStr">
        <is>
          <t>6 物业施工费</t>
        </is>
      </c>
      <c r="F1680" s="68" t="inlineStr">
        <is>
          <t>6.1 总承包工程</t>
        </is>
      </c>
      <c r="G1680" s="68" t="inlineStr">
        <is>
          <t>6.1.1 内部装修工程</t>
        </is>
      </c>
      <c r="H1680" s="68" t="inlineStr">
        <is>
          <t>大堂墙面基层和装饰层（不含卫生间及楼梯）</t>
        </is>
      </c>
      <c r="I1680" s="69" t="inlineStr">
        <is>
          <t>1000021672</t>
        </is>
      </c>
      <c r="J1680" s="69" t="inlineStr">
        <is>
          <t>100*300mm黑色哑光面砖（共荣）</t>
        </is>
      </c>
      <c r="K1680" s="70" t="n"/>
      <c r="L1680" s="70" t="n"/>
      <c r="M1680" s="71" t="inlineStr">
        <is>
          <t>m2</t>
        </is>
      </c>
      <c r="N1680" s="72" t="n">
        <v>168.64</v>
      </c>
      <c r="O1680" s="72">
        <f>ROUND(N1680*(1+$F$10),2)</f>
        <v/>
      </c>
      <c r="P1680" s="73">
        <f>ROUND(K1680*N1680,2)</f>
        <v/>
      </c>
      <c r="Q1680" s="74">
        <f>ROUND(L1680*N1680,2)</f>
        <v/>
      </c>
      <c r="R1680" s="75" t="n"/>
      <c r="S1680" s="76" t="n"/>
      <c r="T1680" s="77">
        <f>K1680-L1680</f>
        <v/>
      </c>
      <c r="U1680" s="77">
        <f>P1680-Q1680</f>
        <v/>
      </c>
      <c r="V1680" s="77">
        <f>ABS(U1680)</f>
        <v/>
      </c>
      <c r="W1680" s="78">
        <f>T1680/L1680</f>
        <v/>
      </c>
      <c r="X1680" s="79">
        <f>ABS(W1680)</f>
        <v/>
      </c>
    </row>
    <row r="1681" ht="11.4" customHeight="1">
      <c r="A1681" s="67" t="inlineStr">
        <is>
          <t>大甜57</t>
        </is>
      </c>
      <c r="B1681" s="67" t="inlineStr">
        <is>
          <t>1055</t>
        </is>
      </c>
      <c r="C1681" s="67" t="inlineStr">
        <is>
          <t>1611</t>
        </is>
      </c>
      <c r="D1681" s="68" t="inlineStr">
        <is>
          <t>03</t>
        </is>
      </c>
      <c r="E1681" s="68" t="inlineStr">
        <is>
          <t>6 物业施工费</t>
        </is>
      </c>
      <c r="F1681" s="68" t="inlineStr">
        <is>
          <t>6.1 总承包工程</t>
        </is>
      </c>
      <c r="G1681" s="68" t="inlineStr">
        <is>
          <t>6.1.1 内部装修工程</t>
        </is>
      </c>
      <c r="H1681" s="68" t="inlineStr">
        <is>
          <t>大堂墙面基层和装饰层（不含卫生间及楼梯）</t>
        </is>
      </c>
      <c r="I1681" s="69" t="inlineStr">
        <is>
          <t>1000021698</t>
        </is>
      </c>
      <c r="J1681" s="69" t="inlineStr">
        <is>
          <t>100*300mm黑色哑光面砖（冠军）</t>
        </is>
      </c>
      <c r="K1681" s="70" t="n"/>
      <c r="L1681" s="70" t="n"/>
      <c r="M1681" s="71" t="inlineStr">
        <is>
          <t>m2</t>
        </is>
      </c>
      <c r="N1681" s="72" t="n">
        <v>179.53</v>
      </c>
      <c r="O1681" s="72">
        <f>ROUND(N1681*(1+$F$10),2)</f>
        <v/>
      </c>
      <c r="P1681" s="73">
        <f>ROUND(K1681*N1681,2)</f>
        <v/>
      </c>
      <c r="Q1681" s="74">
        <f>ROUND(L1681*N1681,2)</f>
        <v/>
      </c>
      <c r="R1681" s="75" t="n"/>
      <c r="S1681" s="76" t="n"/>
      <c r="T1681" s="77">
        <f>K1681-L1681</f>
        <v/>
      </c>
      <c r="U1681" s="77">
        <f>P1681-Q1681</f>
        <v/>
      </c>
      <c r="V1681" s="77">
        <f>ABS(U1681)</f>
        <v/>
      </c>
      <c r="W1681" s="78">
        <f>T1681/L1681</f>
        <v/>
      </c>
      <c r="X1681" s="79">
        <f>ABS(W1681)</f>
        <v/>
      </c>
    </row>
    <row r="1682" ht="11.4" customHeight="1">
      <c r="A1682" s="67" t="inlineStr">
        <is>
          <t>大甜57</t>
        </is>
      </c>
      <c r="B1682" s="67" t="inlineStr">
        <is>
          <t>1055</t>
        </is>
      </c>
      <c r="C1682" s="67" t="inlineStr">
        <is>
          <t>1611</t>
        </is>
      </c>
      <c r="D1682" s="68" t="inlineStr">
        <is>
          <t>03</t>
        </is>
      </c>
      <c r="E1682" s="68" t="inlineStr">
        <is>
          <t>6 物业施工费</t>
        </is>
      </c>
      <c r="F1682" s="68" t="inlineStr">
        <is>
          <t>6.1 总承包工程</t>
        </is>
      </c>
      <c r="G1682" s="68" t="inlineStr">
        <is>
          <t>6.1.1 内部装修工程</t>
        </is>
      </c>
      <c r="H1682" s="68" t="inlineStr">
        <is>
          <t>大堂墙面基层和装饰层（不含卫生间及楼梯）</t>
        </is>
      </c>
      <c r="I1682" s="69" t="inlineStr">
        <is>
          <t>1000041811</t>
        </is>
      </c>
      <c r="J1682" s="69" t="inlineStr">
        <is>
          <t>100*300mm深灰色哑光面砖（琛雄，Geometry）</t>
        </is>
      </c>
      <c r="K1682" s="70" t="n"/>
      <c r="L1682" s="70" t="n"/>
      <c r="M1682" s="71" t="inlineStr">
        <is>
          <t>m2</t>
        </is>
      </c>
      <c r="N1682" s="72" t="n">
        <v>169.85</v>
      </c>
      <c r="O1682" s="72">
        <f>ROUND(N1682*(1+$F$10),2)</f>
        <v/>
      </c>
      <c r="P1682" s="73">
        <f>ROUND(K1682*N1682,2)</f>
        <v/>
      </c>
      <c r="Q1682" s="74">
        <f>ROUND(L1682*N1682,2)</f>
        <v/>
      </c>
      <c r="R1682" s="75" t="n"/>
      <c r="S1682" s="76" t="n"/>
      <c r="T1682" s="77">
        <f>K1682-L1682</f>
        <v/>
      </c>
      <c r="U1682" s="77">
        <f>P1682-Q1682</f>
        <v/>
      </c>
      <c r="V1682" s="77">
        <f>ABS(U1682)</f>
        <v/>
      </c>
      <c r="W1682" s="78">
        <f>T1682/L1682</f>
        <v/>
      </c>
      <c r="X1682" s="79">
        <f>ABS(W1682)</f>
        <v/>
      </c>
    </row>
    <row r="1683" ht="11.4" customHeight="1">
      <c r="A1683" s="67" t="inlineStr">
        <is>
          <t>大甜57</t>
        </is>
      </c>
      <c r="B1683" s="67" t="inlineStr">
        <is>
          <t>1055</t>
        </is>
      </c>
      <c r="C1683" s="67" t="inlineStr">
        <is>
          <t>1611</t>
        </is>
      </c>
      <c r="D1683" s="68" t="inlineStr">
        <is>
          <t>03</t>
        </is>
      </c>
      <c r="E1683" s="68" t="inlineStr">
        <is>
          <t>6 物业施工费</t>
        </is>
      </c>
      <c r="F1683" s="68" t="inlineStr">
        <is>
          <t>6.1 总承包工程</t>
        </is>
      </c>
      <c r="G1683" s="68" t="inlineStr">
        <is>
          <t>6.1.1 内部装修工程</t>
        </is>
      </c>
      <c r="H1683" s="68" t="inlineStr">
        <is>
          <t>大堂墙面基层和装饰层（不含卫生间及楼梯）</t>
        </is>
      </c>
      <c r="I1683" s="69" t="inlineStr">
        <is>
          <t>1000041817</t>
        </is>
      </c>
      <c r="J1683" s="69" t="inlineStr">
        <is>
          <t>100*300mm深灰色哑光面砖（共荣，Geometry）</t>
        </is>
      </c>
      <c r="K1683" s="70" t="n"/>
      <c r="L1683" s="70" t="n"/>
      <c r="M1683" s="71" t="inlineStr">
        <is>
          <t>m2</t>
        </is>
      </c>
      <c r="N1683" s="72" t="n">
        <v>165.01</v>
      </c>
      <c r="O1683" s="72">
        <f>ROUND(N1683*(1+$F$10),2)</f>
        <v/>
      </c>
      <c r="P1683" s="73">
        <f>ROUND(K1683*N1683,2)</f>
        <v/>
      </c>
      <c r="Q1683" s="74">
        <f>ROUND(L1683*N1683,2)</f>
        <v/>
      </c>
      <c r="R1683" s="75" t="n"/>
      <c r="S1683" s="76" t="n"/>
      <c r="T1683" s="77">
        <f>K1683-L1683</f>
        <v/>
      </c>
      <c r="U1683" s="77">
        <f>P1683-Q1683</f>
        <v/>
      </c>
      <c r="V1683" s="77">
        <f>ABS(U1683)</f>
        <v/>
      </c>
      <c r="W1683" s="78">
        <f>T1683/L1683</f>
        <v/>
      </c>
      <c r="X1683" s="79">
        <f>ABS(W1683)</f>
        <v/>
      </c>
    </row>
    <row r="1684" ht="11.4" customHeight="1">
      <c r="A1684" s="67" t="inlineStr">
        <is>
          <t>大甜57</t>
        </is>
      </c>
      <c r="B1684" s="67" t="inlineStr">
        <is>
          <t>1055</t>
        </is>
      </c>
      <c r="C1684" s="67" t="inlineStr">
        <is>
          <t>1611</t>
        </is>
      </c>
      <c r="D1684" s="68" t="inlineStr">
        <is>
          <t>03</t>
        </is>
      </c>
      <c r="E1684" s="68" t="inlineStr">
        <is>
          <t>6 物业施工费</t>
        </is>
      </c>
      <c r="F1684" s="68" t="inlineStr">
        <is>
          <t>6.1 总承包工程</t>
        </is>
      </c>
      <c r="G1684" s="68" t="inlineStr">
        <is>
          <t>6.1.1 内部装修工程</t>
        </is>
      </c>
      <c r="H1684" s="68" t="inlineStr">
        <is>
          <t>大堂墙面基层和装饰层（不含卫生间及楼梯）</t>
        </is>
      </c>
      <c r="I1684" s="69" t="inlineStr">
        <is>
          <t>1000041823</t>
        </is>
      </c>
      <c r="J1684" s="69" t="inlineStr">
        <is>
          <t>100*300mm深灰色哑光面砖（冠军，Geometry）</t>
        </is>
      </c>
      <c r="K1684" s="70" t="n"/>
      <c r="L1684" s="70" t="n"/>
      <c r="M1684" s="71" t="inlineStr">
        <is>
          <t>m2</t>
        </is>
      </c>
      <c r="N1684" s="72" t="n">
        <v>169.85</v>
      </c>
      <c r="O1684" s="72">
        <f>ROUND(N1684*(1+$F$10),2)</f>
        <v/>
      </c>
      <c r="P1684" s="73">
        <f>ROUND(K1684*N1684,2)</f>
        <v/>
      </c>
      <c r="Q1684" s="74">
        <f>ROUND(L1684*N1684,2)</f>
        <v/>
      </c>
      <c r="R1684" s="75" t="n"/>
      <c r="S1684" s="76" t="n"/>
      <c r="T1684" s="77">
        <f>K1684-L1684</f>
        <v/>
      </c>
      <c r="U1684" s="77">
        <f>P1684-Q1684</f>
        <v/>
      </c>
      <c r="V1684" s="77">
        <f>ABS(U1684)</f>
        <v/>
      </c>
      <c r="W1684" s="78">
        <f>T1684/L1684</f>
        <v/>
      </c>
      <c r="X1684" s="79">
        <f>ABS(W1684)</f>
        <v/>
      </c>
    </row>
    <row r="1685" ht="11.4" customHeight="1">
      <c r="A1685" s="67" t="inlineStr">
        <is>
          <t>大甜57</t>
        </is>
      </c>
      <c r="B1685" s="67" t="inlineStr">
        <is>
          <t>1055</t>
        </is>
      </c>
      <c r="C1685" s="67" t="inlineStr">
        <is>
          <t>1611</t>
        </is>
      </c>
      <c r="D1685" s="68" t="inlineStr">
        <is>
          <t>03</t>
        </is>
      </c>
      <c r="E1685" s="68" t="inlineStr">
        <is>
          <t>6 物业施工费</t>
        </is>
      </c>
      <c r="F1685" s="68" t="inlineStr">
        <is>
          <t>6.1 总承包工程</t>
        </is>
      </c>
      <c r="G1685" s="68" t="inlineStr">
        <is>
          <t>6.1.1 内部装修工程</t>
        </is>
      </c>
      <c r="H1685" s="68" t="inlineStr">
        <is>
          <t>大堂墙面基层和装饰层（不含卫生间及楼梯）</t>
        </is>
      </c>
      <c r="I1685" s="69" t="inlineStr">
        <is>
          <t>1000021479</t>
        </is>
      </c>
      <c r="J1685" s="69" t="inlineStr">
        <is>
          <t>小青砖（琛雄）</t>
        </is>
      </c>
      <c r="K1685" s="70" t="n"/>
      <c r="L1685" s="70" t="n"/>
      <c r="M1685" s="71" t="inlineStr">
        <is>
          <t>m2</t>
        </is>
      </c>
      <c r="N1685" s="72" t="n">
        <v>206.06</v>
      </c>
      <c r="O1685" s="72">
        <f>ROUND(N1685*(1+$F$10),2)</f>
        <v/>
      </c>
      <c r="P1685" s="73">
        <f>ROUND(K1685*N1685,2)</f>
        <v/>
      </c>
      <c r="Q1685" s="74">
        <f>ROUND(L1685*N1685,2)</f>
        <v/>
      </c>
      <c r="R1685" s="75" t="n"/>
      <c r="S1685" s="76" t="n"/>
      <c r="T1685" s="77">
        <f>K1685-L1685</f>
        <v/>
      </c>
      <c r="U1685" s="77">
        <f>P1685-Q1685</f>
        <v/>
      </c>
      <c r="V1685" s="77">
        <f>ABS(U1685)</f>
        <v/>
      </c>
      <c r="W1685" s="78">
        <f>T1685/L1685</f>
        <v/>
      </c>
      <c r="X1685" s="79">
        <f>ABS(W1685)</f>
        <v/>
      </c>
    </row>
    <row r="1686" ht="11.4" customHeight="1">
      <c r="A1686" s="67" t="inlineStr">
        <is>
          <t>大甜57</t>
        </is>
      </c>
      <c r="B1686" s="67" t="inlineStr">
        <is>
          <t>1055</t>
        </is>
      </c>
      <c r="C1686" s="67" t="inlineStr">
        <is>
          <t>1611</t>
        </is>
      </c>
      <c r="D1686" s="68" t="inlineStr">
        <is>
          <t>03</t>
        </is>
      </c>
      <c r="E1686" s="68" t="inlineStr">
        <is>
          <t>6 物业施工费</t>
        </is>
      </c>
      <c r="F1686" s="68" t="inlineStr">
        <is>
          <t>6.1 总承包工程</t>
        </is>
      </c>
      <c r="G1686" s="68" t="inlineStr">
        <is>
          <t>6.1.1 内部装修工程</t>
        </is>
      </c>
      <c r="H1686" s="68" t="inlineStr">
        <is>
          <t>大堂墙面基层和装饰层（不含卫生间及楼梯）</t>
        </is>
      </c>
      <c r="I1686" s="69" t="inlineStr">
        <is>
          <t>1000021480</t>
        </is>
      </c>
      <c r="J1686" s="69" t="inlineStr">
        <is>
          <t>小青砖（共荣）</t>
        </is>
      </c>
      <c r="K1686" s="70" t="n"/>
      <c r="L1686" s="70" t="n"/>
      <c r="M1686" s="71" t="inlineStr">
        <is>
          <t>m2</t>
        </is>
      </c>
      <c r="N1686" s="72" t="n">
        <v>193.96</v>
      </c>
      <c r="O1686" s="72">
        <f>ROUND(N1686*(1+$F$10),2)</f>
        <v/>
      </c>
      <c r="P1686" s="73">
        <f>ROUND(K1686*N1686,2)</f>
        <v/>
      </c>
      <c r="Q1686" s="74">
        <f>ROUND(L1686*N1686,2)</f>
        <v/>
      </c>
      <c r="R1686" s="75" t="n"/>
      <c r="S1686" s="76" t="n"/>
      <c r="T1686" s="77">
        <f>K1686-L1686</f>
        <v/>
      </c>
      <c r="U1686" s="77">
        <f>P1686-Q1686</f>
        <v/>
      </c>
      <c r="V1686" s="77">
        <f>ABS(U1686)</f>
        <v/>
      </c>
      <c r="W1686" s="78">
        <f>T1686/L1686</f>
        <v/>
      </c>
      <c r="X1686" s="79">
        <f>ABS(W1686)</f>
        <v/>
      </c>
    </row>
    <row r="1687" ht="11.4" customHeight="1">
      <c r="A1687" s="67" t="inlineStr">
        <is>
          <t>大甜57</t>
        </is>
      </c>
      <c r="B1687" s="67" t="inlineStr">
        <is>
          <t>1055</t>
        </is>
      </c>
      <c r="C1687" s="67" t="inlineStr">
        <is>
          <t>1611</t>
        </is>
      </c>
      <c r="D1687" s="68" t="inlineStr">
        <is>
          <t>03</t>
        </is>
      </c>
      <c r="E1687" s="68" t="inlineStr">
        <is>
          <t>6 物业施工费</t>
        </is>
      </c>
      <c r="F1687" s="68" t="inlineStr">
        <is>
          <t>6.1 总承包工程</t>
        </is>
      </c>
      <c r="G1687" s="68" t="inlineStr">
        <is>
          <t>6.1.1 内部装修工程</t>
        </is>
      </c>
      <c r="H1687" s="68" t="inlineStr">
        <is>
          <t>大堂墙面基层和装饰层（不含卫生间及楼梯）</t>
        </is>
      </c>
      <c r="I1687" s="69" t="inlineStr">
        <is>
          <t>1000021697</t>
        </is>
      </c>
      <c r="J1687" s="69" t="inlineStr">
        <is>
          <t>小青砖（冠军）</t>
        </is>
      </c>
      <c r="K1687" s="70" t="n"/>
      <c r="L1687" s="70" t="n"/>
      <c r="M1687" s="71" t="inlineStr">
        <is>
          <t>m2</t>
        </is>
      </c>
      <c r="N1687" s="72" t="n">
        <v>215.74</v>
      </c>
      <c r="O1687" s="72">
        <f>ROUND(N1687*(1+$F$10),2)</f>
        <v/>
      </c>
      <c r="P1687" s="73">
        <f>ROUND(K1687*N1687,2)</f>
        <v/>
      </c>
      <c r="Q1687" s="74">
        <f>ROUND(L1687*N1687,2)</f>
        <v/>
      </c>
      <c r="R1687" s="75" t="n"/>
      <c r="S1687" s="76" t="n"/>
      <c r="T1687" s="77">
        <f>K1687-L1687</f>
        <v/>
      </c>
      <c r="U1687" s="77">
        <f>P1687-Q1687</f>
        <v/>
      </c>
      <c r="V1687" s="77">
        <f>ABS(U1687)</f>
        <v/>
      </c>
      <c r="W1687" s="78">
        <f>T1687/L1687</f>
        <v/>
      </c>
      <c r="X1687" s="79">
        <f>ABS(W1687)</f>
        <v/>
      </c>
    </row>
    <row r="1688" ht="11.4" customHeight="1">
      <c r="A1688" s="67" t="inlineStr">
        <is>
          <t>大甜57</t>
        </is>
      </c>
      <c r="B1688" s="67" t="inlineStr">
        <is>
          <t>1055</t>
        </is>
      </c>
      <c r="C1688" s="67" t="inlineStr">
        <is>
          <t>1611</t>
        </is>
      </c>
      <c r="D1688" s="68" t="inlineStr">
        <is>
          <t>03</t>
        </is>
      </c>
      <c r="E1688" s="68" t="inlineStr">
        <is>
          <t>6 物业施工费</t>
        </is>
      </c>
      <c r="F1688" s="68" t="inlineStr">
        <is>
          <t>6.1 总承包工程</t>
        </is>
      </c>
      <c r="G1688" s="68" t="inlineStr">
        <is>
          <t>6.1.1 内部装修工程</t>
        </is>
      </c>
      <c r="H1688" s="68" t="inlineStr">
        <is>
          <t>大堂墙面基层和装饰层（不含卫生间及楼梯）</t>
        </is>
      </c>
      <c r="I1688" s="69" t="inlineStr">
        <is>
          <t>1000021632</t>
        </is>
      </c>
      <c r="J1688" s="69" t="inlineStr">
        <is>
          <t>防火板红色六角螺丝（Ray,墙面装饰）</t>
        </is>
      </c>
      <c r="K1688" s="70" t="n"/>
      <c r="L1688" s="70" t="n"/>
      <c r="M1688" s="71" t="inlineStr">
        <is>
          <t>项</t>
        </is>
      </c>
      <c r="N1688" s="72" t="n">
        <v>1376</v>
      </c>
      <c r="O1688" s="72">
        <f>ROUND(N1688*(1+$F$10),2)</f>
        <v/>
      </c>
      <c r="P1688" s="73">
        <f>ROUND(K1688*N1688,2)</f>
        <v/>
      </c>
      <c r="Q1688" s="74">
        <f>ROUND(L1688*N1688,2)</f>
        <v/>
      </c>
      <c r="R1688" s="75" t="n"/>
      <c r="S1688" s="76" t="n"/>
      <c r="T1688" s="77">
        <f>K1688-L1688</f>
        <v/>
      </c>
      <c r="U1688" s="77">
        <f>P1688-Q1688</f>
        <v/>
      </c>
      <c r="V1688" s="77">
        <f>ABS(U1688)</f>
        <v/>
      </c>
      <c r="W1688" s="78">
        <f>T1688/L1688</f>
        <v/>
      </c>
      <c r="X1688" s="79">
        <f>ABS(W1688)</f>
        <v/>
      </c>
    </row>
    <row r="1689" ht="11.4" customHeight="1">
      <c r="A1689" s="67" t="inlineStr">
        <is>
          <t>大甜57</t>
        </is>
      </c>
      <c r="B1689" s="67" t="inlineStr">
        <is>
          <t>1055</t>
        </is>
      </c>
      <c r="C1689" s="67" t="inlineStr">
        <is>
          <t>1611</t>
        </is>
      </c>
      <c r="D1689" s="68" t="inlineStr">
        <is>
          <t>03</t>
        </is>
      </c>
      <c r="E1689" s="68" t="inlineStr">
        <is>
          <t>6 物业施工费</t>
        </is>
      </c>
      <c r="F1689" s="68" t="inlineStr">
        <is>
          <t>6.1 总承包工程</t>
        </is>
      </c>
      <c r="G1689" s="68" t="inlineStr">
        <is>
          <t>6.1.1 内部装修工程</t>
        </is>
      </c>
      <c r="H1689" s="68" t="inlineStr">
        <is>
          <t>大堂墙面基层和装饰层（不含卫生间及楼梯）</t>
        </is>
      </c>
      <c r="I1689" s="69" t="inlineStr">
        <is>
          <t>1000021482</t>
        </is>
      </c>
      <c r="J1689" s="69" t="inlineStr">
        <is>
          <t>人造石贴面（不含基层）</t>
        </is>
      </c>
      <c r="K1689" s="70" t="n"/>
      <c r="L1689" s="70" t="n"/>
      <c r="M1689" s="71" t="inlineStr">
        <is>
          <t>m2</t>
        </is>
      </c>
      <c r="N1689" s="72" t="n">
        <v>1134.73</v>
      </c>
      <c r="O1689" s="72">
        <f>ROUND(N1689*(1+$F$10),2)</f>
        <v/>
      </c>
      <c r="P1689" s="73">
        <f>ROUND(K1689*N1689,2)</f>
        <v/>
      </c>
      <c r="Q1689" s="74">
        <f>ROUND(L1689*N1689,2)</f>
        <v/>
      </c>
      <c r="R1689" s="75" t="n"/>
      <c r="S1689" s="76" t="n"/>
      <c r="T1689" s="77">
        <f>K1689-L1689</f>
        <v/>
      </c>
      <c r="U1689" s="77">
        <f>P1689-Q1689</f>
        <v/>
      </c>
      <c r="V1689" s="77">
        <f>ABS(U1689)</f>
        <v/>
      </c>
      <c r="W1689" s="78">
        <f>T1689/L1689</f>
        <v/>
      </c>
      <c r="X1689" s="79">
        <f>ABS(W1689)</f>
        <v/>
      </c>
    </row>
    <row r="1690" ht="11.4" customHeight="1">
      <c r="A1690" s="67" t="inlineStr">
        <is>
          <t>大甜57</t>
        </is>
      </c>
      <c r="B1690" s="67" t="inlineStr">
        <is>
          <t>1055</t>
        </is>
      </c>
      <c r="C1690" s="67" t="inlineStr">
        <is>
          <t>1611</t>
        </is>
      </c>
      <c r="D1690" s="68" t="inlineStr">
        <is>
          <t>03</t>
        </is>
      </c>
      <c r="E1690" s="68" t="inlineStr">
        <is>
          <t>6 物业施工费</t>
        </is>
      </c>
      <c r="F1690" s="68" t="inlineStr">
        <is>
          <t>6.1 总承包工程</t>
        </is>
      </c>
      <c r="G1690" s="68" t="inlineStr">
        <is>
          <t>6.1.1 内部装修工程</t>
        </is>
      </c>
      <c r="H1690" s="68" t="inlineStr">
        <is>
          <t>大堂墙面基层和装饰层（不含卫生间及楼梯）</t>
        </is>
      </c>
      <c r="I1690" s="69" t="inlineStr">
        <is>
          <t>1000021483</t>
        </is>
      </c>
      <c r="J1690" s="69" t="inlineStr">
        <is>
          <t>室内深色乳胶漆（含批搪，可擦洗）</t>
        </is>
      </c>
      <c r="K1690" s="70" t="n"/>
      <c r="L1690" s="70" t="n"/>
      <c r="M1690" s="71" t="inlineStr">
        <is>
          <t>m2</t>
        </is>
      </c>
      <c r="N1690" s="72" t="n">
        <v>62.19</v>
      </c>
      <c r="O1690" s="72">
        <f>ROUND(N1690*(1+$F$10),2)</f>
        <v/>
      </c>
      <c r="P1690" s="73">
        <f>ROUND(K1690*N1690,2)</f>
        <v/>
      </c>
      <c r="Q1690" s="74">
        <f>ROUND(L1690*N1690,2)</f>
        <v/>
      </c>
      <c r="R1690" s="75" t="n"/>
      <c r="S1690" s="76" t="n"/>
      <c r="T1690" s="77">
        <f>K1690-L1690</f>
        <v/>
      </c>
      <c r="U1690" s="77">
        <f>P1690-Q1690</f>
        <v/>
      </c>
      <c r="V1690" s="77">
        <f>ABS(U1690)</f>
        <v/>
      </c>
      <c r="W1690" s="78">
        <f>T1690/L1690</f>
        <v/>
      </c>
      <c r="X1690" s="79">
        <f>ABS(W1690)</f>
        <v/>
      </c>
    </row>
    <row r="1691" ht="11.4" customHeight="1">
      <c r="A1691" s="67" t="inlineStr">
        <is>
          <t>大甜57</t>
        </is>
      </c>
      <c r="B1691" s="67" t="inlineStr">
        <is>
          <t>1055</t>
        </is>
      </c>
      <c r="C1691" s="67" t="inlineStr">
        <is>
          <t>1611</t>
        </is>
      </c>
      <c r="D1691" s="68" t="inlineStr">
        <is>
          <t>03</t>
        </is>
      </c>
      <c r="E1691" s="68" t="inlineStr">
        <is>
          <t>6 物业施工费</t>
        </is>
      </c>
      <c r="F1691" s="68" t="inlineStr">
        <is>
          <t>6.1 总承包工程</t>
        </is>
      </c>
      <c r="G1691" s="68" t="inlineStr">
        <is>
          <t>6.1.1 内部装修工程</t>
        </is>
      </c>
      <c r="H1691" s="68" t="inlineStr">
        <is>
          <t>大堂墙面基层和装饰层（不含卫生间及楼梯）</t>
        </is>
      </c>
      <c r="I1691" s="69" t="inlineStr">
        <is>
          <t>1000021779</t>
        </is>
      </c>
      <c r="J1691" s="69" t="inlineStr">
        <is>
          <t>装饰画墙面基层</t>
        </is>
      </c>
      <c r="K1691" s="70" t="n"/>
      <c r="L1691" s="70" t="n"/>
      <c r="M1691" s="71" t="inlineStr">
        <is>
          <t>m2</t>
        </is>
      </c>
      <c r="N1691" s="72" t="n">
        <v>205.04</v>
      </c>
      <c r="O1691" s="72">
        <f>ROUND(N1691*(1+$F$10),2)</f>
        <v/>
      </c>
      <c r="P1691" s="73">
        <f>ROUND(K1691*N1691,2)</f>
        <v/>
      </c>
      <c r="Q1691" s="74">
        <f>ROUND(L1691*N1691,2)</f>
        <v/>
      </c>
      <c r="R1691" s="75" t="n"/>
      <c r="S1691" s="76" t="n"/>
      <c r="T1691" s="77">
        <f>K1691-L1691</f>
        <v/>
      </c>
      <c r="U1691" s="77">
        <f>P1691-Q1691</f>
        <v/>
      </c>
      <c r="V1691" s="77">
        <f>ABS(U1691)</f>
        <v/>
      </c>
      <c r="W1691" s="78">
        <f>T1691/L1691</f>
        <v/>
      </c>
      <c r="X1691" s="79">
        <f>ABS(W1691)</f>
        <v/>
      </c>
    </row>
    <row r="1692" ht="11.4" customHeight="1">
      <c r="A1692" s="67" t="inlineStr">
        <is>
          <t>大甜66</t>
        </is>
      </c>
      <c r="B1692" s="67" t="inlineStr">
        <is>
          <t>1064</t>
        </is>
      </c>
      <c r="C1692" s="67" t="inlineStr">
        <is>
          <t>1644</t>
        </is>
      </c>
      <c r="D1692" s="68" t="inlineStr">
        <is>
          <t>03</t>
        </is>
      </c>
      <c r="E1692" s="68" t="inlineStr">
        <is>
          <t>6 物业施工费</t>
        </is>
      </c>
      <c r="F1692" s="68" t="inlineStr">
        <is>
          <t>6.1 总承包工程</t>
        </is>
      </c>
      <c r="G1692" s="68" t="inlineStr">
        <is>
          <t>6.1.1 内部装修工程</t>
        </is>
      </c>
      <c r="H1692" s="68" t="inlineStr">
        <is>
          <t>大堂墙面，墙画</t>
        </is>
      </c>
      <c r="I1692" s="69" t="inlineStr">
        <is>
          <t>1000021627</t>
        </is>
      </c>
      <c r="J1692" s="69" t="inlineStr">
        <is>
          <t>墙画（仅主材-1年期）</t>
        </is>
      </c>
      <c r="K1692" s="70" t="n"/>
      <c r="L1692" s="70" t="n"/>
      <c r="M1692" s="71" t="inlineStr">
        <is>
          <t>m2</t>
        </is>
      </c>
      <c r="N1692" s="72" t="n"/>
      <c r="O1692" s="72">
        <f>ROUND(N1692*(1+$F$10),2)</f>
        <v/>
      </c>
      <c r="P1692" s="73">
        <f>ROUND(K1692*N1692,2)</f>
        <v/>
      </c>
      <c r="Q1692" s="74">
        <f>ROUND(L1692*N1692,2)</f>
        <v/>
      </c>
      <c r="R1692" s="75" t="n"/>
      <c r="S1692" s="76" t="n"/>
      <c r="T1692" s="77">
        <f>K1692-L1692</f>
        <v/>
      </c>
      <c r="U1692" s="77">
        <f>P1692-Q1692</f>
        <v/>
      </c>
      <c r="V1692" s="77">
        <f>ABS(U1692)</f>
        <v/>
      </c>
      <c r="W1692" s="78">
        <f>T1692/L1692</f>
        <v/>
      </c>
      <c r="X1692" s="79">
        <f>ABS(W1692)</f>
        <v/>
      </c>
    </row>
    <row r="1693" ht="11.4" customHeight="1">
      <c r="A1693" s="67" t="inlineStr">
        <is>
          <t>大甜66</t>
        </is>
      </c>
      <c r="B1693" s="67" t="inlineStr">
        <is>
          <t>1064</t>
        </is>
      </c>
      <c r="C1693" s="67" t="inlineStr">
        <is>
          <t>1644</t>
        </is>
      </c>
      <c r="D1693" s="68" t="inlineStr">
        <is>
          <t>03</t>
        </is>
      </c>
      <c r="E1693" s="68" t="inlineStr">
        <is>
          <t>6 物业施工费</t>
        </is>
      </c>
      <c r="F1693" s="68" t="inlineStr">
        <is>
          <t>6.1 总承包工程</t>
        </is>
      </c>
      <c r="G1693" s="68" t="inlineStr">
        <is>
          <t>6.1.1 内部装修工程</t>
        </is>
      </c>
      <c r="H1693" s="68" t="inlineStr">
        <is>
          <t>大堂墙面，墙画</t>
        </is>
      </c>
      <c r="I1693" s="69" t="inlineStr">
        <is>
          <t>1000021484</t>
        </is>
      </c>
      <c r="J1693" s="69" t="inlineStr">
        <is>
          <t>墙画（仅主材-3年期）</t>
        </is>
      </c>
      <c r="K1693" s="70" t="n"/>
      <c r="L1693" s="70" t="n"/>
      <c r="M1693" s="71" t="inlineStr">
        <is>
          <t>m2</t>
        </is>
      </c>
      <c r="N1693" s="72" t="n"/>
      <c r="O1693" s="72">
        <f>ROUND(N1693*(1+$F$10),2)</f>
        <v/>
      </c>
      <c r="P1693" s="73">
        <f>ROUND(K1693*N1693,2)</f>
        <v/>
      </c>
      <c r="Q1693" s="74">
        <f>ROUND(L1693*N1693,2)</f>
        <v/>
      </c>
      <c r="R1693" s="75" t="n"/>
      <c r="S1693" s="76" t="n"/>
      <c r="T1693" s="77">
        <f>K1693-L1693</f>
        <v/>
      </c>
      <c r="U1693" s="77">
        <f>P1693-Q1693</f>
        <v/>
      </c>
      <c r="V1693" s="77">
        <f>ABS(U1693)</f>
        <v/>
      </c>
      <c r="W1693" s="78">
        <f>T1693/L1693</f>
        <v/>
      </c>
      <c r="X1693" s="79">
        <f>ABS(W1693)</f>
        <v/>
      </c>
    </row>
    <row r="1694" ht="11.4" customHeight="1">
      <c r="A1694" s="67" t="inlineStr">
        <is>
          <t>大甜66</t>
        </is>
      </c>
      <c r="B1694" s="67" t="inlineStr">
        <is>
          <t>1064</t>
        </is>
      </c>
      <c r="C1694" s="67" t="inlineStr">
        <is>
          <t>1644</t>
        </is>
      </c>
      <c r="D1694" s="68" t="inlineStr">
        <is>
          <t>03</t>
        </is>
      </c>
      <c r="E1694" s="68" t="inlineStr">
        <is>
          <t>6 物业施工费</t>
        </is>
      </c>
      <c r="F1694" s="68" t="inlineStr">
        <is>
          <t>6.1 总承包工程</t>
        </is>
      </c>
      <c r="G1694" s="68" t="inlineStr">
        <is>
          <t>6.1.1 内部装修工程</t>
        </is>
      </c>
      <c r="H1694" s="68" t="inlineStr">
        <is>
          <t>大堂墙面，墙画</t>
        </is>
      </c>
      <c r="I1694" s="69" t="inlineStr">
        <is>
          <t>1000021628</t>
        </is>
      </c>
      <c r="J1694" s="69" t="inlineStr">
        <is>
          <t>墙画（仅主材-5年期）</t>
        </is>
      </c>
      <c r="K1694" s="70" t="n"/>
      <c r="L1694" s="70" t="n"/>
      <c r="M1694" s="71" t="inlineStr">
        <is>
          <t>m2</t>
        </is>
      </c>
      <c r="N1694" s="72" t="n"/>
      <c r="O1694" s="72">
        <f>ROUND(N1694*(1+$F$10),2)</f>
        <v/>
      </c>
      <c r="P1694" s="73">
        <f>ROUND(K1694*N1694,2)</f>
        <v/>
      </c>
      <c r="Q1694" s="74">
        <f>ROUND(L1694*N1694,2)</f>
        <v/>
      </c>
      <c r="R1694" s="75" t="n"/>
      <c r="S1694" s="76" t="n"/>
      <c r="T1694" s="77">
        <f>K1694-L1694</f>
        <v/>
      </c>
      <c r="U1694" s="77">
        <f>P1694-Q1694</f>
        <v/>
      </c>
      <c r="V1694" s="77">
        <f>ABS(U1694)</f>
        <v/>
      </c>
      <c r="W1694" s="78">
        <f>T1694/L1694</f>
        <v/>
      </c>
      <c r="X1694" s="79">
        <f>ABS(W1694)</f>
        <v/>
      </c>
    </row>
    <row r="1695" ht="11.4" customHeight="1">
      <c r="A1695" s="67" t="inlineStr">
        <is>
          <t>大甜66</t>
        </is>
      </c>
      <c r="B1695" s="67" t="inlineStr">
        <is>
          <t>1064</t>
        </is>
      </c>
      <c r="C1695" s="67" t="inlineStr">
        <is>
          <t>1644</t>
        </is>
      </c>
      <c r="D1695" s="68" t="inlineStr">
        <is>
          <t>03</t>
        </is>
      </c>
      <c r="E1695" s="68" t="inlineStr">
        <is>
          <t>6 物业施工费</t>
        </is>
      </c>
      <c r="F1695" s="68" t="inlineStr">
        <is>
          <t>6.1 总承包工程</t>
        </is>
      </c>
      <c r="G1695" s="68" t="inlineStr">
        <is>
          <t>6.1.1 内部装修工程</t>
        </is>
      </c>
      <c r="H1695" s="68" t="inlineStr">
        <is>
          <t>大堂墙面，墙画</t>
        </is>
      </c>
      <c r="I1695" s="69" t="inlineStr">
        <is>
          <t>1000021780</t>
        </is>
      </c>
      <c r="J1695" s="69" t="inlineStr">
        <is>
          <t>墙画安装</t>
        </is>
      </c>
      <c r="K1695" s="70" t="n"/>
      <c r="L1695" s="70" t="n"/>
      <c r="M1695" s="71" t="inlineStr">
        <is>
          <t>m2</t>
        </is>
      </c>
      <c r="N1695" s="72" t="n">
        <v>58</v>
      </c>
      <c r="O1695" s="72">
        <f>ROUND(N1695*(1+$F$10),2)</f>
        <v/>
      </c>
      <c r="P1695" s="73">
        <f>ROUND(K1695*N1695,2)</f>
        <v/>
      </c>
      <c r="Q1695" s="74">
        <f>ROUND(L1695*N1695,2)</f>
        <v/>
      </c>
      <c r="R1695" s="75" t="n"/>
      <c r="S1695" s="76" t="n"/>
      <c r="T1695" s="77">
        <f>K1695-L1695</f>
        <v/>
      </c>
      <c r="U1695" s="77">
        <f>P1695-Q1695</f>
        <v/>
      </c>
      <c r="V1695" s="77">
        <f>ABS(U1695)</f>
        <v/>
      </c>
      <c r="W1695" s="78">
        <f>T1695/L1695</f>
        <v/>
      </c>
      <c r="X1695" s="79">
        <f>ABS(W1695)</f>
        <v/>
      </c>
    </row>
    <row r="1696" ht="11.4" customHeight="1">
      <c r="A1696" s="67" t="inlineStr">
        <is>
          <t>大甜66</t>
        </is>
      </c>
      <c r="B1696" s="67" t="inlineStr">
        <is>
          <t>1064</t>
        </is>
      </c>
      <c r="C1696" s="67" t="inlineStr">
        <is>
          <t>1644</t>
        </is>
      </c>
      <c r="D1696" s="68" t="inlineStr">
        <is>
          <t>03</t>
        </is>
      </c>
      <c r="E1696" s="68" t="inlineStr">
        <is>
          <t>6 物业施工费</t>
        </is>
      </c>
      <c r="F1696" s="68" t="inlineStr">
        <is>
          <t>6.1 总承包工程</t>
        </is>
      </c>
      <c r="G1696" s="68" t="inlineStr">
        <is>
          <t>6.1.1 内部装修工程</t>
        </is>
      </c>
      <c r="H1696" s="68" t="inlineStr">
        <is>
          <t>大堂墙面，墙画</t>
        </is>
      </c>
      <c r="I1696" s="69" t="inlineStr">
        <is>
          <t>1000021606</t>
        </is>
      </c>
      <c r="J1696" s="69" t="inlineStr">
        <is>
          <t>热压膜（主材）</t>
        </is>
      </c>
      <c r="K1696" s="70" t="n"/>
      <c r="L1696" s="70" t="n"/>
      <c r="M1696" s="71" t="inlineStr">
        <is>
          <t>m2</t>
        </is>
      </c>
      <c r="N1696" s="72" t="n"/>
      <c r="O1696" s="72">
        <f>ROUND(N1696*(1+$F$10),2)</f>
        <v/>
      </c>
      <c r="P1696" s="73">
        <f>ROUND(K1696*N1696,2)</f>
        <v/>
      </c>
      <c r="Q1696" s="74">
        <f>ROUND(L1696*N1696,2)</f>
        <v/>
      </c>
      <c r="R1696" s="75" t="n"/>
      <c r="S1696" s="76" t="n"/>
      <c r="T1696" s="77">
        <f>K1696-L1696</f>
        <v/>
      </c>
      <c r="U1696" s="77">
        <f>P1696-Q1696</f>
        <v/>
      </c>
      <c r="V1696" s="77">
        <f>ABS(U1696)</f>
        <v/>
      </c>
      <c r="W1696" s="78">
        <f>T1696/L1696</f>
        <v/>
      </c>
      <c r="X1696" s="79">
        <f>ABS(W1696)</f>
        <v/>
      </c>
    </row>
    <row r="1697" ht="11.4" customHeight="1">
      <c r="A1697" s="67" t="inlineStr">
        <is>
          <t>大甜66</t>
        </is>
      </c>
      <c r="B1697" s="67" t="inlineStr">
        <is>
          <t>1064</t>
        </is>
      </c>
      <c r="C1697" s="67" t="inlineStr">
        <is>
          <t>1644</t>
        </is>
      </c>
      <c r="D1697" s="68" t="inlineStr">
        <is>
          <t>03</t>
        </is>
      </c>
      <c r="E1697" s="68" t="inlineStr">
        <is>
          <t>6 物业施工费</t>
        </is>
      </c>
      <c r="F1697" s="68" t="inlineStr">
        <is>
          <t>6.1 总承包工程</t>
        </is>
      </c>
      <c r="G1697" s="68" t="inlineStr">
        <is>
          <t>6.1.1 内部装修工程</t>
        </is>
      </c>
      <c r="H1697" s="68" t="inlineStr">
        <is>
          <t>大堂墙面，墙画</t>
        </is>
      </c>
      <c r="I1697" s="69" t="inlineStr">
        <is>
          <t>1000022164</t>
        </is>
      </c>
      <c r="J1697" s="69" t="inlineStr">
        <is>
          <t>热压膜（安装）</t>
        </is>
      </c>
      <c r="K1697" s="70" t="n"/>
      <c r="L1697" s="70" t="n"/>
      <c r="M1697" s="71" t="inlineStr">
        <is>
          <t>m2</t>
        </is>
      </c>
      <c r="N1697" s="72" t="n">
        <v>78.06999999999999</v>
      </c>
      <c r="O1697" s="72">
        <f>ROUND(N1697*(1+$F$10),2)</f>
        <v/>
      </c>
      <c r="P1697" s="73">
        <f>ROUND(K1697*N1697,2)</f>
        <v/>
      </c>
      <c r="Q1697" s="74">
        <f>ROUND(L1697*N1697,2)</f>
        <v/>
      </c>
      <c r="R1697" s="75" t="n"/>
      <c r="S1697" s="76" t="n"/>
      <c r="T1697" s="77">
        <f>K1697-L1697</f>
        <v/>
      </c>
      <c r="U1697" s="77">
        <f>P1697-Q1697</f>
        <v/>
      </c>
      <c r="V1697" s="77">
        <f>ABS(U1697)</f>
        <v/>
      </c>
      <c r="W1697" s="78">
        <f>T1697/L1697</f>
        <v/>
      </c>
      <c r="X1697" s="79">
        <f>ABS(W1697)</f>
        <v/>
      </c>
    </row>
    <row r="1698" ht="11.4" customHeight="1">
      <c r="A1698" s="67" t="inlineStr">
        <is>
          <t>大甜66</t>
        </is>
      </c>
      <c r="B1698" s="67" t="inlineStr">
        <is>
          <t>1064</t>
        </is>
      </c>
      <c r="C1698" s="67" t="inlineStr">
        <is>
          <t>1644</t>
        </is>
      </c>
      <c r="D1698" s="68" t="inlineStr">
        <is>
          <t>03</t>
        </is>
      </c>
      <c r="E1698" s="68" t="inlineStr">
        <is>
          <t>6 物业施工费</t>
        </is>
      </c>
      <c r="F1698" s="68" t="inlineStr">
        <is>
          <t>6.1 总承包工程</t>
        </is>
      </c>
      <c r="G1698" s="68" t="inlineStr">
        <is>
          <t>6.1.1 内部装修工程</t>
        </is>
      </c>
      <c r="H1698" s="68" t="inlineStr">
        <is>
          <t>大堂墙面，墙画</t>
        </is>
      </c>
      <c r="I1698" s="69" t="inlineStr">
        <is>
          <t>1000021648</t>
        </is>
      </c>
      <c r="J1698" s="69" t="inlineStr">
        <is>
          <t>餐厅定制3M墙画（Ray,主材及安装）</t>
        </is>
      </c>
      <c r="K1698" s="70" t="n"/>
      <c r="L1698" s="70" t="n"/>
      <c r="M1698" s="71" t="inlineStr">
        <is>
          <t>m2</t>
        </is>
      </c>
      <c r="N1698" s="72" t="n">
        <v>358.52</v>
      </c>
      <c r="O1698" s="72">
        <f>ROUND(N1698*(1+$F$10),2)</f>
        <v/>
      </c>
      <c r="P1698" s="73">
        <f>ROUND(K1698*N1698,2)</f>
        <v/>
      </c>
      <c r="Q1698" s="74">
        <f>ROUND(L1698*N1698,2)</f>
        <v/>
      </c>
      <c r="R1698" s="75" t="n"/>
      <c r="S1698" s="76" t="n"/>
      <c r="T1698" s="77">
        <f>K1698-L1698</f>
        <v/>
      </c>
      <c r="U1698" s="77">
        <f>P1698-Q1698</f>
        <v/>
      </c>
      <c r="V1698" s="77">
        <f>ABS(U1698)</f>
        <v/>
      </c>
      <c r="W1698" s="78">
        <f>T1698/L1698</f>
        <v/>
      </c>
      <c r="X1698" s="79">
        <f>ABS(W1698)</f>
        <v/>
      </c>
    </row>
    <row r="1699" ht="11.4" customHeight="1">
      <c r="A1699" s="67" t="inlineStr">
        <is>
          <t>大甜58</t>
        </is>
      </c>
      <c r="B1699" s="67" t="inlineStr">
        <is>
          <t>1056</t>
        </is>
      </c>
      <c r="C1699" s="67" t="inlineStr">
        <is>
          <t>1611</t>
        </is>
      </c>
      <c r="D1699" s="68" t="inlineStr">
        <is>
          <t>03</t>
        </is>
      </c>
      <c r="E1699" s="68" t="inlineStr">
        <is>
          <t>6 物业施工费</t>
        </is>
      </c>
      <c r="F1699" s="68" t="inlineStr">
        <is>
          <t>6.1 总承包工程</t>
        </is>
      </c>
      <c r="G1699" s="68" t="inlineStr">
        <is>
          <t>6.1.1 内部装修工程</t>
        </is>
      </c>
      <c r="H1699" s="68" t="inlineStr">
        <is>
          <t>大堂吊顶（不含卫生间）</t>
        </is>
      </c>
      <c r="I1699" s="69" t="inlineStr">
        <is>
          <t>1000021485</t>
        </is>
      </c>
      <c r="J1699" s="69" t="inlineStr">
        <is>
          <t>600x600烤漆T龙防潮隔音矿棉天花</t>
        </is>
      </c>
      <c r="K1699" s="70" t="n"/>
      <c r="L1699" s="70" t="n"/>
      <c r="M1699" s="71" t="inlineStr">
        <is>
          <t>m2</t>
        </is>
      </c>
      <c r="N1699" s="72" t="n">
        <v>127.36</v>
      </c>
      <c r="O1699" s="72">
        <f>ROUND(N1699*(1+$F$10),2)</f>
        <v/>
      </c>
      <c r="P1699" s="73">
        <f>ROUND(K1699*N1699,2)</f>
        <v/>
      </c>
      <c r="Q1699" s="74">
        <f>ROUND(L1699*N1699,2)</f>
        <v/>
      </c>
      <c r="R1699" s="75" t="n"/>
      <c r="S1699" s="76" t="n"/>
      <c r="T1699" s="77">
        <f>K1699-L1699</f>
        <v/>
      </c>
      <c r="U1699" s="77">
        <f>P1699-Q1699</f>
        <v/>
      </c>
      <c r="V1699" s="77">
        <f>ABS(U1699)</f>
        <v/>
      </c>
      <c r="W1699" s="78">
        <f>T1699/L1699</f>
        <v/>
      </c>
      <c r="X1699" s="79">
        <f>ABS(W1699)</f>
        <v/>
      </c>
    </row>
    <row r="1700" ht="11.4" customHeight="1">
      <c r="A1700" s="67" t="inlineStr">
        <is>
          <t>大甜58</t>
        </is>
      </c>
      <c r="B1700" s="67" t="inlineStr">
        <is>
          <t>1056</t>
        </is>
      </c>
      <c r="C1700" s="67" t="inlineStr">
        <is>
          <t>1611</t>
        </is>
      </c>
      <c r="D1700" s="68" t="inlineStr">
        <is>
          <t>03</t>
        </is>
      </c>
      <c r="E1700" s="68" t="inlineStr">
        <is>
          <t>6 物业施工费</t>
        </is>
      </c>
      <c r="F1700" s="68" t="inlineStr">
        <is>
          <t>6.1 总承包工程</t>
        </is>
      </c>
      <c r="G1700" s="68" t="inlineStr">
        <is>
          <t>6.1.1 内部装修工程</t>
        </is>
      </c>
      <c r="H1700" s="68" t="inlineStr">
        <is>
          <t>大堂吊顶（不含卫生间）</t>
        </is>
      </c>
      <c r="I1700" s="69" t="inlineStr">
        <is>
          <t>1000021486</t>
        </is>
      </c>
      <c r="J1700" s="69" t="inlineStr">
        <is>
          <t>600*1200烤漆龙骨防潮矿棉板天花</t>
        </is>
      </c>
      <c r="K1700" s="70" t="n"/>
      <c r="L1700" s="70" t="n"/>
      <c r="M1700" s="71" t="inlineStr">
        <is>
          <t>m2</t>
        </is>
      </c>
      <c r="N1700" s="72" t="n">
        <v>138.36</v>
      </c>
      <c r="O1700" s="72">
        <f>ROUND(N1700*(1+$F$10),2)</f>
        <v/>
      </c>
      <c r="P1700" s="73">
        <f>ROUND(K1700*N1700,2)</f>
        <v/>
      </c>
      <c r="Q1700" s="74">
        <f>ROUND(L1700*N1700,2)</f>
        <v/>
      </c>
      <c r="R1700" s="75" t="n"/>
      <c r="S1700" s="76" t="n"/>
      <c r="T1700" s="77">
        <f>K1700-L1700</f>
        <v/>
      </c>
      <c r="U1700" s="77">
        <f>P1700-Q1700</f>
        <v/>
      </c>
      <c r="V1700" s="77">
        <f>ABS(U1700)</f>
        <v/>
      </c>
      <c r="W1700" s="78">
        <f>T1700/L1700</f>
        <v/>
      </c>
      <c r="X1700" s="79">
        <f>ABS(W1700)</f>
        <v/>
      </c>
    </row>
    <row r="1701" ht="11.4" customHeight="1">
      <c r="A1701" s="67" t="inlineStr">
        <is>
          <t>大甜58</t>
        </is>
      </c>
      <c r="B1701" s="67" t="inlineStr">
        <is>
          <t>1056</t>
        </is>
      </c>
      <c r="C1701" s="67" t="inlineStr">
        <is>
          <t>1611</t>
        </is>
      </c>
      <c r="D1701" s="68" t="inlineStr">
        <is>
          <t>03</t>
        </is>
      </c>
      <c r="E1701" s="68" t="inlineStr">
        <is>
          <t>6 物业施工费</t>
        </is>
      </c>
      <c r="F1701" s="68" t="inlineStr">
        <is>
          <t>6.1 总承包工程</t>
        </is>
      </c>
      <c r="G1701" s="68" t="inlineStr">
        <is>
          <t>6.1.1 内部装修工程</t>
        </is>
      </c>
      <c r="H1701" s="68" t="inlineStr">
        <is>
          <t>大堂吊顶（不含卫生间）</t>
        </is>
      </c>
      <c r="I1701" s="69" t="inlineStr">
        <is>
          <t>1000021487</t>
        </is>
      </c>
      <c r="J1701" s="69" t="inlineStr">
        <is>
          <t>600*1200烤漆龙骨防潮防水矿棉板天花</t>
        </is>
      </c>
      <c r="K1701" s="70" t="n"/>
      <c r="L1701" s="70" t="n"/>
      <c r="M1701" s="71" t="inlineStr">
        <is>
          <t>m2</t>
        </is>
      </c>
      <c r="N1701" s="72" t="n">
        <v>138.36</v>
      </c>
      <c r="O1701" s="72">
        <f>ROUND(N1701*(1+$F$10),2)</f>
        <v/>
      </c>
      <c r="P1701" s="73">
        <f>ROUND(K1701*N1701,2)</f>
        <v/>
      </c>
      <c r="Q1701" s="74">
        <f>ROUND(L1701*N1701,2)</f>
        <v/>
      </c>
      <c r="R1701" s="75" t="n"/>
      <c r="S1701" s="76" t="n"/>
      <c r="T1701" s="77">
        <f>K1701-L1701</f>
        <v/>
      </c>
      <c r="U1701" s="77">
        <f>P1701-Q1701</f>
        <v/>
      </c>
      <c r="V1701" s="77">
        <f>ABS(U1701)</f>
        <v/>
      </c>
      <c r="W1701" s="78">
        <f>T1701/L1701</f>
        <v/>
      </c>
      <c r="X1701" s="79">
        <f>ABS(W1701)</f>
        <v/>
      </c>
    </row>
    <row r="1702" ht="11.4" customHeight="1">
      <c r="A1702" s="67" t="inlineStr">
        <is>
          <t>大甜58</t>
        </is>
      </c>
      <c r="B1702" s="67" t="inlineStr">
        <is>
          <t>1056</t>
        </is>
      </c>
      <c r="C1702" s="67" t="inlineStr">
        <is>
          <t>1611</t>
        </is>
      </c>
      <c r="D1702" s="68" t="inlineStr">
        <is>
          <t>03</t>
        </is>
      </c>
      <c r="E1702" s="68" t="inlineStr">
        <is>
          <t>6 物业施工费</t>
        </is>
      </c>
      <c r="F1702" s="68" t="inlineStr">
        <is>
          <t>6.1 总承包工程</t>
        </is>
      </c>
      <c r="G1702" s="68" t="inlineStr">
        <is>
          <t>6.1.1 内部装修工程</t>
        </is>
      </c>
      <c r="H1702" s="68" t="inlineStr">
        <is>
          <t>大堂吊顶（不含卫生间）</t>
        </is>
      </c>
      <c r="I1702" s="69" t="inlineStr">
        <is>
          <t>1000021488</t>
        </is>
      </c>
      <c r="J1702" s="69" t="inlineStr">
        <is>
          <t>600*1200烤漆龙骨防潮灰色矿棉板天花</t>
        </is>
      </c>
      <c r="K1702" s="70" t="n"/>
      <c r="L1702" s="70" t="n"/>
      <c r="M1702" s="71" t="inlineStr">
        <is>
          <t>m2</t>
        </is>
      </c>
      <c r="N1702" s="72" t="n">
        <v>205.49</v>
      </c>
      <c r="O1702" s="72">
        <f>ROUND(N1702*(1+$F$10),2)</f>
        <v/>
      </c>
      <c r="P1702" s="73">
        <f>ROUND(K1702*N1702,2)</f>
        <v/>
      </c>
      <c r="Q1702" s="74">
        <f>ROUND(L1702*N1702,2)</f>
        <v/>
      </c>
      <c r="R1702" s="75" t="n"/>
      <c r="S1702" s="76" t="n"/>
      <c r="T1702" s="77">
        <f>K1702-L1702</f>
        <v/>
      </c>
      <c r="U1702" s="77">
        <f>P1702-Q1702</f>
        <v/>
      </c>
      <c r="V1702" s="77">
        <f>ABS(U1702)</f>
        <v/>
      </c>
      <c r="W1702" s="78">
        <f>T1702/L1702</f>
        <v/>
      </c>
      <c r="X1702" s="79">
        <f>ABS(W1702)</f>
        <v/>
      </c>
    </row>
    <row r="1703" ht="11.4" customHeight="1">
      <c r="A1703" s="67" t="inlineStr">
        <is>
          <t>大甜58</t>
        </is>
      </c>
      <c r="B1703" s="67" t="inlineStr">
        <is>
          <t>1056</t>
        </is>
      </c>
      <c r="C1703" s="67" t="inlineStr">
        <is>
          <t>1611</t>
        </is>
      </c>
      <c r="D1703" s="68" t="inlineStr">
        <is>
          <t>03</t>
        </is>
      </c>
      <c r="E1703" s="68" t="inlineStr">
        <is>
          <t>6 物业施工费</t>
        </is>
      </c>
      <c r="F1703" s="68" t="inlineStr">
        <is>
          <t>6.1 总承包工程</t>
        </is>
      </c>
      <c r="G1703" s="68" t="inlineStr">
        <is>
          <t>6.1.1 内部装修工程</t>
        </is>
      </c>
      <c r="H1703" s="68" t="inlineStr">
        <is>
          <t>大堂吊顶（不含卫生间）</t>
        </is>
      </c>
      <c r="I1703" s="69" t="inlineStr">
        <is>
          <t>1000051716</t>
        </is>
      </c>
      <c r="J1703" s="69" t="inlineStr">
        <is>
          <t>600*1200烤漆龙骨灰色木丝吸音板天花</t>
        </is>
      </c>
      <c r="K1703" s="70" t="n"/>
      <c r="L1703" s="70" t="n"/>
      <c r="M1703" s="71" t="inlineStr">
        <is>
          <t>m2</t>
        </is>
      </c>
      <c r="N1703" s="72" t="n">
        <v>263.1</v>
      </c>
      <c r="O1703" s="72">
        <f>ROUND(N1703*(1+$F$10),2)</f>
        <v/>
      </c>
      <c r="P1703" s="73">
        <f>ROUND(K1703*N1703,2)</f>
        <v/>
      </c>
      <c r="Q1703" s="74">
        <f>ROUND(L1703*N1703,2)</f>
        <v/>
      </c>
      <c r="R1703" s="75" t="n"/>
      <c r="S1703" s="76" t="n"/>
      <c r="T1703" s="77">
        <f>K1703-L1703</f>
        <v/>
      </c>
      <c r="U1703" s="77">
        <f>P1703-Q1703</f>
        <v/>
      </c>
      <c r="V1703" s="77">
        <f>ABS(U1703)</f>
        <v/>
      </c>
      <c r="W1703" s="78">
        <f>T1703/L1703</f>
        <v/>
      </c>
      <c r="X1703" s="79">
        <f>ABS(W1703)</f>
        <v/>
      </c>
    </row>
    <row r="1704" ht="11.4" customHeight="1">
      <c r="A1704" s="67" t="inlineStr">
        <is>
          <t>大甜58</t>
        </is>
      </c>
      <c r="B1704" s="67" t="inlineStr">
        <is>
          <t>1056</t>
        </is>
      </c>
      <c r="C1704" s="67" t="inlineStr">
        <is>
          <t>1611</t>
        </is>
      </c>
      <c r="D1704" s="68" t="inlineStr">
        <is>
          <t>03</t>
        </is>
      </c>
      <c r="E1704" s="68" t="inlineStr">
        <is>
          <t>6 物业施工费</t>
        </is>
      </c>
      <c r="F1704" s="68" t="inlineStr">
        <is>
          <t>6.1 总承包工程</t>
        </is>
      </c>
      <c r="G1704" s="68" t="inlineStr">
        <is>
          <t>6.1.1 内部装修工程</t>
        </is>
      </c>
      <c r="H1704" s="68" t="inlineStr">
        <is>
          <t>大堂吊顶（不含卫生间）</t>
        </is>
      </c>
      <c r="I1704" s="69" t="inlineStr">
        <is>
          <t>1000040048</t>
        </is>
      </c>
      <c r="J1704" s="69" t="inlineStr">
        <is>
          <t>装饰木质格栅</t>
        </is>
      </c>
      <c r="K1704" s="70" t="n"/>
      <c r="L1704" s="70" t="n"/>
      <c r="M1704" s="71" t="inlineStr">
        <is>
          <t>m2</t>
        </is>
      </c>
      <c r="N1704" s="72" t="n">
        <v>2280.18</v>
      </c>
      <c r="O1704" s="72">
        <f>ROUND(N1704*(1+$F$10),2)</f>
        <v/>
      </c>
      <c r="P1704" s="73">
        <f>ROUND(K1704*N1704,2)</f>
        <v/>
      </c>
      <c r="Q1704" s="74">
        <f>ROUND(L1704*N1704,2)</f>
        <v/>
      </c>
      <c r="R1704" s="75" t="n"/>
      <c r="S1704" s="76" t="n"/>
      <c r="T1704" s="77">
        <f>K1704-L1704</f>
        <v/>
      </c>
      <c r="U1704" s="77">
        <f>P1704-Q1704</f>
        <v/>
      </c>
      <c r="V1704" s="77">
        <f>ABS(U1704)</f>
        <v/>
      </c>
      <c r="W1704" s="78">
        <f>T1704/L1704</f>
        <v/>
      </c>
      <c r="X1704" s="79">
        <f>ABS(W1704)</f>
        <v/>
      </c>
    </row>
    <row r="1705" ht="11.4" customHeight="1">
      <c r="A1705" s="67" t="inlineStr">
        <is>
          <t>大甜58</t>
        </is>
      </c>
      <c r="B1705" s="67" t="inlineStr">
        <is>
          <t>1056</t>
        </is>
      </c>
      <c r="C1705" s="67" t="inlineStr">
        <is>
          <t>1611</t>
        </is>
      </c>
      <c r="D1705" s="68" t="inlineStr">
        <is>
          <t>03</t>
        </is>
      </c>
      <c r="E1705" s="68" t="inlineStr">
        <is>
          <t>6 物业施工费</t>
        </is>
      </c>
      <c r="F1705" s="68" t="inlineStr">
        <is>
          <t>6.1 总承包工程</t>
        </is>
      </c>
      <c r="G1705" s="68" t="inlineStr">
        <is>
          <t>6.1.1 内部装修工程</t>
        </is>
      </c>
      <c r="H1705" s="68" t="inlineStr">
        <is>
          <t>大堂吊顶（不含卫生间）</t>
        </is>
      </c>
      <c r="I1705" s="69" t="inlineStr">
        <is>
          <t>1000021490</t>
        </is>
      </c>
      <c r="J1705" s="69" t="inlineStr">
        <is>
          <t>孔板天花（含收边，含所有龙骨等辅件）</t>
        </is>
      </c>
      <c r="K1705" s="70" t="n"/>
      <c r="L1705" s="70" t="n"/>
      <c r="M1705" s="71" t="inlineStr">
        <is>
          <t>m2</t>
        </is>
      </c>
      <c r="N1705" s="72" t="n">
        <v>508.7</v>
      </c>
      <c r="O1705" s="72">
        <f>ROUND(N1705*(1+$F$10),2)</f>
        <v/>
      </c>
      <c r="P1705" s="73">
        <f>ROUND(K1705*N1705,2)</f>
        <v/>
      </c>
      <c r="Q1705" s="74">
        <f>ROUND(L1705*N1705,2)</f>
        <v/>
      </c>
      <c r="R1705" s="75" t="n"/>
      <c r="S1705" s="76" t="n"/>
      <c r="T1705" s="77">
        <f>K1705-L1705</f>
        <v/>
      </c>
      <c r="U1705" s="77">
        <f>P1705-Q1705</f>
        <v/>
      </c>
      <c r="V1705" s="77">
        <f>ABS(U1705)</f>
        <v/>
      </c>
      <c r="W1705" s="78">
        <f>T1705/L1705</f>
        <v/>
      </c>
      <c r="X1705" s="79">
        <f>ABS(W1705)</f>
        <v/>
      </c>
    </row>
    <row r="1706" ht="11.4" customHeight="1">
      <c r="A1706" s="67" t="inlineStr">
        <is>
          <t>大甜58</t>
        </is>
      </c>
      <c r="B1706" s="67" t="inlineStr">
        <is>
          <t>1056</t>
        </is>
      </c>
      <c r="C1706" s="67" t="inlineStr">
        <is>
          <t>1611</t>
        </is>
      </c>
      <c r="D1706" s="68" t="inlineStr">
        <is>
          <t>03</t>
        </is>
      </c>
      <c r="E1706" s="68" t="inlineStr">
        <is>
          <t>6 物业施工费</t>
        </is>
      </c>
      <c r="F1706" s="68" t="inlineStr">
        <is>
          <t>6.1 总承包工程</t>
        </is>
      </c>
      <c r="G1706" s="68" t="inlineStr">
        <is>
          <t>6.1.1 内部装修工程</t>
        </is>
      </c>
      <c r="H1706" s="68" t="inlineStr">
        <is>
          <t>大堂吊顶（不含卫生间）</t>
        </is>
      </c>
      <c r="I1706" s="69" t="inlineStr">
        <is>
          <t>1000051745</t>
        </is>
      </c>
      <c r="J1706" s="69" t="inlineStr">
        <is>
          <t>孔板天花（桂可道，含收边，含所有龙骨等辅件）</t>
        </is>
      </c>
      <c r="K1706" s="70" t="n"/>
      <c r="L1706" s="70" t="n"/>
      <c r="M1706" s="71" t="inlineStr">
        <is>
          <t>m2</t>
        </is>
      </c>
      <c r="N1706" s="72" t="n">
        <v>479.98</v>
      </c>
      <c r="O1706" s="72">
        <f>ROUND(N1706*(1+$F$10),2)</f>
        <v/>
      </c>
      <c r="P1706" s="73">
        <f>ROUND(K1706*N1706,2)</f>
        <v/>
      </c>
      <c r="Q1706" s="74">
        <f>ROUND(L1706*N1706,2)</f>
        <v/>
      </c>
      <c r="R1706" s="75" t="n"/>
      <c r="S1706" s="76" t="n"/>
      <c r="T1706" s="77">
        <f>K1706-L1706</f>
        <v/>
      </c>
      <c r="U1706" s="77">
        <f>P1706-Q1706</f>
        <v/>
      </c>
      <c r="V1706" s="77">
        <f>ABS(U1706)</f>
        <v/>
      </c>
      <c r="W1706" s="78">
        <f>T1706/L1706</f>
        <v/>
      </c>
      <c r="X1706" s="79">
        <f>ABS(W1706)</f>
        <v/>
      </c>
    </row>
    <row r="1707" ht="11.4" customHeight="1">
      <c r="A1707" s="67" t="inlineStr">
        <is>
          <t>大甜58</t>
        </is>
      </c>
      <c r="B1707" s="67" t="inlineStr">
        <is>
          <t>1056</t>
        </is>
      </c>
      <c r="C1707" s="67" t="inlineStr">
        <is>
          <t>1611</t>
        </is>
      </c>
      <c r="D1707" s="68" t="inlineStr">
        <is>
          <t>03</t>
        </is>
      </c>
      <c r="E1707" s="68" t="inlineStr">
        <is>
          <t>6 物业施工费</t>
        </is>
      </c>
      <c r="F1707" s="68" t="inlineStr">
        <is>
          <t>6.1 总承包工程</t>
        </is>
      </c>
      <c r="G1707" s="68" t="inlineStr">
        <is>
          <t>6.1.1 内部装修工程</t>
        </is>
      </c>
      <c r="H1707" s="68" t="inlineStr">
        <is>
          <t>大堂吊顶（不含卫生间）</t>
        </is>
      </c>
      <c r="I1707" s="69" t="inlineStr">
        <is>
          <t>1000021491</t>
        </is>
      </c>
      <c r="J1707" s="69" t="inlineStr">
        <is>
          <t>碳灰色镜面板（含收边，含所有龙骨等辅件）</t>
        </is>
      </c>
      <c r="K1707" s="70" t="n"/>
      <c r="L1707" s="70" t="n"/>
      <c r="M1707" s="71" t="inlineStr">
        <is>
          <t>m2</t>
        </is>
      </c>
      <c r="N1707" s="72" t="n">
        <v>362.28</v>
      </c>
      <c r="O1707" s="72">
        <f>ROUND(N1707*(1+$F$10),2)</f>
        <v/>
      </c>
      <c r="P1707" s="73">
        <f>ROUND(K1707*N1707,2)</f>
        <v/>
      </c>
      <c r="Q1707" s="74">
        <f>ROUND(L1707*N1707,2)</f>
        <v/>
      </c>
      <c r="R1707" s="75" t="n"/>
      <c r="S1707" s="76" t="n"/>
      <c r="T1707" s="77">
        <f>K1707-L1707</f>
        <v/>
      </c>
      <c r="U1707" s="77">
        <f>P1707-Q1707</f>
        <v/>
      </c>
      <c r="V1707" s="77">
        <f>ABS(U1707)</f>
        <v/>
      </c>
      <c r="W1707" s="78">
        <f>T1707/L1707</f>
        <v/>
      </c>
      <c r="X1707" s="79">
        <f>ABS(W1707)</f>
        <v/>
      </c>
    </row>
    <row r="1708" ht="11.4" customHeight="1">
      <c r="A1708" s="67" t="inlineStr">
        <is>
          <t>大甜58</t>
        </is>
      </c>
      <c r="B1708" s="67" t="inlineStr">
        <is>
          <t>1056</t>
        </is>
      </c>
      <c r="C1708" s="67" t="inlineStr">
        <is>
          <t>1611</t>
        </is>
      </c>
      <c r="D1708" s="68" t="inlineStr">
        <is>
          <t>03</t>
        </is>
      </c>
      <c r="E1708" s="68" t="inlineStr">
        <is>
          <t>6 物业施工费</t>
        </is>
      </c>
      <c r="F1708" s="68" t="inlineStr">
        <is>
          <t>6.1 总承包工程</t>
        </is>
      </c>
      <c r="G1708" s="68" t="inlineStr">
        <is>
          <t>6.1.1 内部装修工程</t>
        </is>
      </c>
      <c r="H1708" s="68" t="inlineStr">
        <is>
          <t>大堂吊顶（不含卫生间）</t>
        </is>
      </c>
      <c r="I1708" s="69" t="inlineStr">
        <is>
          <t>1000022180</t>
        </is>
      </c>
      <c r="J1708" s="69" t="inlineStr">
        <is>
          <t>不锈钢波纹艺术天花（Luna,含收边、龙骨等辅件）</t>
        </is>
      </c>
      <c r="K1708" s="70" t="n"/>
      <c r="L1708" s="70" t="n"/>
      <c r="M1708" s="71" t="inlineStr">
        <is>
          <t>m2</t>
        </is>
      </c>
      <c r="N1708" s="72" t="n">
        <v>1804.45</v>
      </c>
      <c r="O1708" s="72">
        <f>ROUND(N1708*(1+$F$10),2)</f>
        <v/>
      </c>
      <c r="P1708" s="73">
        <f>ROUND(K1708*N1708,2)</f>
        <v/>
      </c>
      <c r="Q1708" s="74">
        <f>ROUND(L1708*N1708,2)</f>
        <v/>
      </c>
      <c r="R1708" s="75" t="n"/>
      <c r="S1708" s="76" t="n"/>
      <c r="T1708" s="77">
        <f>K1708-L1708</f>
        <v/>
      </c>
      <c r="U1708" s="77">
        <f>P1708-Q1708</f>
        <v/>
      </c>
      <c r="V1708" s="77">
        <f>ABS(U1708)</f>
        <v/>
      </c>
      <c r="W1708" s="78">
        <f>T1708/L1708</f>
        <v/>
      </c>
      <c r="X1708" s="79">
        <f>ABS(W1708)</f>
        <v/>
      </c>
    </row>
    <row r="1709" ht="11.4" customHeight="1">
      <c r="A1709" s="67" t="inlineStr">
        <is>
          <t>大甜58</t>
        </is>
      </c>
      <c r="B1709" s="67" t="inlineStr">
        <is>
          <t>1056</t>
        </is>
      </c>
      <c r="C1709" s="67" t="inlineStr">
        <is>
          <t>1611</t>
        </is>
      </c>
      <c r="D1709" s="68" t="inlineStr">
        <is>
          <t>03</t>
        </is>
      </c>
      <c r="E1709" s="68" t="inlineStr">
        <is>
          <t>6 物业施工费</t>
        </is>
      </c>
      <c r="F1709" s="68" t="inlineStr">
        <is>
          <t>6.1 总承包工程</t>
        </is>
      </c>
      <c r="G1709" s="68" t="inlineStr">
        <is>
          <t>6.1.1 内部装修工程</t>
        </is>
      </c>
      <c r="H1709" s="68" t="inlineStr">
        <is>
          <t>大堂吊顶（不含卫生间）</t>
        </is>
      </c>
      <c r="I1709" s="69" t="inlineStr">
        <is>
          <t>1000021781</t>
        </is>
      </c>
      <c r="J1709" s="69" t="inlineStr">
        <is>
          <t>轻钢龙骨石膏板叠级天花（含收口凹槽）</t>
        </is>
      </c>
      <c r="K1709" s="70" t="n"/>
      <c r="L1709" s="70" t="n"/>
      <c r="M1709" s="71" t="inlineStr">
        <is>
          <t>m2</t>
        </is>
      </c>
      <c r="N1709" s="72" t="n">
        <v>250.08</v>
      </c>
      <c r="O1709" s="72">
        <f>ROUND(N1709*(1+$F$10),2)</f>
        <v/>
      </c>
      <c r="P1709" s="73">
        <f>ROUND(K1709*N1709,2)</f>
        <v/>
      </c>
      <c r="Q1709" s="74">
        <f>ROUND(L1709*N1709,2)</f>
        <v/>
      </c>
      <c r="R1709" s="75" t="n"/>
      <c r="S1709" s="76" t="n"/>
      <c r="T1709" s="77">
        <f>K1709-L1709</f>
        <v/>
      </c>
      <c r="U1709" s="77">
        <f>P1709-Q1709</f>
        <v/>
      </c>
      <c r="V1709" s="77">
        <f>ABS(U1709)</f>
        <v/>
      </c>
      <c r="W1709" s="78">
        <f>T1709/L1709</f>
        <v/>
      </c>
      <c r="X1709" s="79">
        <f>ABS(W1709)</f>
        <v/>
      </c>
    </row>
    <row r="1710" ht="11.4" customHeight="1">
      <c r="A1710" s="67" t="inlineStr">
        <is>
          <t>大甜58</t>
        </is>
      </c>
      <c r="B1710" s="67" t="inlineStr">
        <is>
          <t>1056</t>
        </is>
      </c>
      <c r="C1710" s="67" t="inlineStr">
        <is>
          <t>1611</t>
        </is>
      </c>
      <c r="D1710" s="68" t="inlineStr">
        <is>
          <t>03</t>
        </is>
      </c>
      <c r="E1710" s="68" t="inlineStr">
        <is>
          <t>6 物业施工费</t>
        </is>
      </c>
      <c r="F1710" s="68" t="inlineStr">
        <is>
          <t>6.1 总承包工程</t>
        </is>
      </c>
      <c r="G1710" s="68" t="inlineStr">
        <is>
          <t>6.1.1 内部装修工程</t>
        </is>
      </c>
      <c r="H1710" s="68" t="inlineStr">
        <is>
          <t>大堂吊顶（不含卫生间）</t>
        </is>
      </c>
      <c r="I1710" s="69" t="inlineStr">
        <is>
          <t>1000021782</t>
        </is>
      </c>
      <c r="J1710" s="69" t="inlineStr">
        <is>
          <t>轻钢龙骨石膏板天花</t>
        </is>
      </c>
      <c r="K1710" s="70" t="n"/>
      <c r="L1710" s="70" t="n"/>
      <c r="M1710" s="71" t="inlineStr">
        <is>
          <t>m2</t>
        </is>
      </c>
      <c r="N1710" s="72" t="n">
        <v>139.73</v>
      </c>
      <c r="O1710" s="72">
        <f>ROUND(N1710*(1+$F$10),2)</f>
        <v/>
      </c>
      <c r="P1710" s="73">
        <f>ROUND(K1710*N1710,2)</f>
        <v/>
      </c>
      <c r="Q1710" s="74">
        <f>ROUND(L1710*N1710,2)</f>
        <v/>
      </c>
      <c r="R1710" s="75" t="n"/>
      <c r="S1710" s="76" t="n"/>
      <c r="T1710" s="77">
        <f>K1710-L1710</f>
        <v/>
      </c>
      <c r="U1710" s="77">
        <f>P1710-Q1710</f>
        <v/>
      </c>
      <c r="V1710" s="77">
        <f>ABS(U1710)</f>
        <v/>
      </c>
      <c r="W1710" s="78">
        <f>T1710/L1710</f>
        <v/>
      </c>
      <c r="X1710" s="79">
        <f>ABS(W1710)</f>
        <v/>
      </c>
    </row>
    <row r="1711" ht="11.4" customHeight="1">
      <c r="A1711" s="67" t="inlineStr">
        <is>
          <t>大甜58</t>
        </is>
      </c>
      <c r="B1711" s="67" t="inlineStr">
        <is>
          <t>1056</t>
        </is>
      </c>
      <c r="C1711" s="67" t="inlineStr">
        <is>
          <t>1611</t>
        </is>
      </c>
      <c r="D1711" s="68" t="inlineStr">
        <is>
          <t>03</t>
        </is>
      </c>
      <c r="E1711" s="68" t="inlineStr">
        <is>
          <t>6 物业施工费</t>
        </is>
      </c>
      <c r="F1711" s="68" t="inlineStr">
        <is>
          <t>6.1 总承包工程</t>
        </is>
      </c>
      <c r="G1711" s="68" t="inlineStr">
        <is>
          <t>6.1.1 内部装修工程</t>
        </is>
      </c>
      <c r="H1711" s="68" t="inlineStr">
        <is>
          <t>大堂吊顶（不含卫生间）</t>
        </is>
      </c>
      <c r="I1711" s="69" t="inlineStr">
        <is>
          <t>1000021783</t>
        </is>
      </c>
      <c r="J1711" s="69" t="inlineStr">
        <is>
          <t>防火板天花</t>
        </is>
      </c>
      <c r="K1711" s="70" t="n"/>
      <c r="L1711" s="70" t="n"/>
      <c r="M1711" s="71" t="inlineStr">
        <is>
          <t>m2</t>
        </is>
      </c>
      <c r="N1711" s="72" t="n">
        <v>480.14</v>
      </c>
      <c r="O1711" s="72">
        <f>ROUND(N1711*(1+$F$10),2)</f>
        <v/>
      </c>
      <c r="P1711" s="73">
        <f>ROUND(K1711*N1711,2)</f>
        <v/>
      </c>
      <c r="Q1711" s="74">
        <f>ROUND(L1711*N1711,2)</f>
        <v/>
      </c>
      <c r="R1711" s="75" t="n"/>
      <c r="S1711" s="76" t="n"/>
      <c r="T1711" s="77">
        <f>K1711-L1711</f>
        <v/>
      </c>
      <c r="U1711" s="77">
        <f>P1711-Q1711</f>
        <v/>
      </c>
      <c r="V1711" s="77">
        <f>ABS(U1711)</f>
        <v/>
      </c>
      <c r="W1711" s="78">
        <f>T1711/L1711</f>
        <v/>
      </c>
      <c r="X1711" s="79">
        <f>ABS(W1711)</f>
        <v/>
      </c>
    </row>
    <row r="1712" ht="11.4" customHeight="1">
      <c r="A1712" s="67" t="inlineStr">
        <is>
          <t>大甜58</t>
        </is>
      </c>
      <c r="B1712" s="67" t="inlineStr">
        <is>
          <t>1056</t>
        </is>
      </c>
      <c r="C1712" s="67" t="inlineStr">
        <is>
          <t>1611</t>
        </is>
      </c>
      <c r="D1712" s="68" t="inlineStr">
        <is>
          <t>03</t>
        </is>
      </c>
      <c r="E1712" s="68" t="inlineStr">
        <is>
          <t>6 物业施工费</t>
        </is>
      </c>
      <c r="F1712" s="68" t="inlineStr">
        <is>
          <t>6.1 总承包工程</t>
        </is>
      </c>
      <c r="G1712" s="68" t="inlineStr">
        <is>
          <t>6.1.1 内部装修工程</t>
        </is>
      </c>
      <c r="H1712" s="68" t="inlineStr">
        <is>
          <t>大堂吊顶（不含卫生间）</t>
        </is>
      </c>
      <c r="I1712" s="69" t="inlineStr">
        <is>
          <t>1000021483</t>
        </is>
      </c>
      <c r="J1712" s="69" t="inlineStr">
        <is>
          <t>室内深色乳胶漆（含批搪，可擦洗）</t>
        </is>
      </c>
      <c r="K1712" s="70" t="n"/>
      <c r="L1712" s="70" t="n"/>
      <c r="M1712" s="71" t="inlineStr">
        <is>
          <t>m2</t>
        </is>
      </c>
      <c r="N1712" s="72" t="n">
        <v>62.19</v>
      </c>
      <c r="O1712" s="72">
        <f>ROUND(N1712*(1+$F$10),2)</f>
        <v/>
      </c>
      <c r="P1712" s="73">
        <f>ROUND(K1712*N1712,2)</f>
        <v/>
      </c>
      <c r="Q1712" s="74">
        <f>ROUND(L1712*N1712,2)</f>
        <v/>
      </c>
      <c r="R1712" s="75" t="n"/>
      <c r="S1712" s="76" t="n"/>
      <c r="T1712" s="77">
        <f>K1712-L1712</f>
        <v/>
      </c>
      <c r="U1712" s="77">
        <f>P1712-Q1712</f>
        <v/>
      </c>
      <c r="V1712" s="77">
        <f>ABS(U1712)</f>
        <v/>
      </c>
      <c r="W1712" s="78">
        <f>T1712/L1712</f>
        <v/>
      </c>
      <c r="X1712" s="79">
        <f>ABS(W1712)</f>
        <v/>
      </c>
    </row>
    <row r="1713" ht="11.4" customHeight="1">
      <c r="A1713" s="67" t="inlineStr">
        <is>
          <t>大甜58</t>
        </is>
      </c>
      <c r="B1713" s="67" t="inlineStr">
        <is>
          <t>1056</t>
        </is>
      </c>
      <c r="C1713" s="67" t="inlineStr">
        <is>
          <t>1611</t>
        </is>
      </c>
      <c r="D1713" s="68" t="inlineStr">
        <is>
          <t>03</t>
        </is>
      </c>
      <c r="E1713" s="68" t="inlineStr">
        <is>
          <t>6 物业施工费</t>
        </is>
      </c>
      <c r="F1713" s="68" t="inlineStr">
        <is>
          <t>6.1 总承包工程</t>
        </is>
      </c>
      <c r="G1713" s="68" t="inlineStr">
        <is>
          <t>6.1.1 内部装修工程</t>
        </is>
      </c>
      <c r="H1713" s="68" t="inlineStr">
        <is>
          <t>大堂吊顶（不含卫生间）</t>
        </is>
      </c>
      <c r="I1713" s="69" t="inlineStr">
        <is>
          <t>1000021489</t>
        </is>
      </c>
      <c r="J1713" s="69" t="inlineStr">
        <is>
          <t>天花黄色/棕色涂料（无腻子，喷刷）</t>
        </is>
      </c>
      <c r="K1713" s="70" t="n"/>
      <c r="L1713" s="70" t="n"/>
      <c r="M1713" s="71" t="inlineStr">
        <is>
          <t>m2</t>
        </is>
      </c>
      <c r="N1713" s="72" t="n">
        <v>54.37</v>
      </c>
      <c r="O1713" s="72">
        <f>ROUND(N1713*(1+$F$10),2)</f>
        <v/>
      </c>
      <c r="P1713" s="73">
        <f>ROUND(K1713*N1713,2)</f>
        <v/>
      </c>
      <c r="Q1713" s="74">
        <f>ROUND(L1713*N1713,2)</f>
        <v/>
      </c>
      <c r="R1713" s="75" t="n"/>
      <c r="S1713" s="76" t="n"/>
      <c r="T1713" s="77">
        <f>K1713-L1713</f>
        <v/>
      </c>
      <c r="U1713" s="77">
        <f>P1713-Q1713</f>
        <v/>
      </c>
      <c r="V1713" s="77">
        <f>ABS(U1713)</f>
        <v/>
      </c>
      <c r="W1713" s="78">
        <f>T1713/L1713</f>
        <v/>
      </c>
      <c r="X1713" s="79">
        <f>ABS(W1713)</f>
        <v/>
      </c>
    </row>
    <row r="1714" ht="11.4" customHeight="1">
      <c r="A1714" s="67" t="inlineStr">
        <is>
          <t>大甜58</t>
        </is>
      </c>
      <c r="B1714" s="67" t="inlineStr">
        <is>
          <t>1056</t>
        </is>
      </c>
      <c r="C1714" s="67" t="inlineStr">
        <is>
          <t>1611</t>
        </is>
      </c>
      <c r="D1714" s="68" t="inlineStr">
        <is>
          <t>03</t>
        </is>
      </c>
      <c r="E1714" s="68" t="inlineStr">
        <is>
          <t>6 物业施工费</t>
        </is>
      </c>
      <c r="F1714" s="68" t="inlineStr">
        <is>
          <t>6.1 总承包工程</t>
        </is>
      </c>
      <c r="G1714" s="68" t="inlineStr">
        <is>
          <t>6.1.1 内部装修工程</t>
        </is>
      </c>
      <c r="H1714" s="68" t="inlineStr">
        <is>
          <t>大堂吊顶（不含卫生间）</t>
        </is>
      </c>
      <c r="I1714" s="69" t="inlineStr">
        <is>
          <t>1000021784</t>
        </is>
      </c>
      <c r="J1714" s="69" t="inlineStr">
        <is>
          <t>天花轨道灯灯槽（含乳胶漆饰面）</t>
        </is>
      </c>
      <c r="K1714" s="70" t="n"/>
      <c r="L1714" s="70" t="n"/>
      <c r="M1714" s="71" t="inlineStr">
        <is>
          <t>米</t>
        </is>
      </c>
      <c r="N1714" s="72" t="n">
        <v>146.58</v>
      </c>
      <c r="O1714" s="72">
        <f>ROUND(N1714*(1+$F$10),2)</f>
        <v/>
      </c>
      <c r="P1714" s="73">
        <f>ROUND(K1714*N1714,2)</f>
        <v/>
      </c>
      <c r="Q1714" s="74">
        <f>ROUND(L1714*N1714,2)</f>
        <v/>
      </c>
      <c r="R1714" s="75" t="n"/>
      <c r="S1714" s="76" t="n"/>
      <c r="T1714" s="77">
        <f>K1714-L1714</f>
        <v/>
      </c>
      <c r="U1714" s="77">
        <f>P1714-Q1714</f>
        <v/>
      </c>
      <c r="V1714" s="77">
        <f>ABS(U1714)</f>
        <v/>
      </c>
      <c r="W1714" s="78">
        <f>T1714/L1714</f>
        <v/>
      </c>
      <c r="X1714" s="79">
        <f>ABS(W1714)</f>
        <v/>
      </c>
    </row>
    <row r="1715" ht="11.4" customHeight="1">
      <c r="A1715" s="67" t="inlineStr">
        <is>
          <t>大甜58</t>
        </is>
      </c>
      <c r="B1715" s="67" t="inlineStr">
        <is>
          <t>1056</t>
        </is>
      </c>
      <c r="C1715" s="67" t="inlineStr">
        <is>
          <t>1611</t>
        </is>
      </c>
      <c r="D1715" s="68" t="inlineStr">
        <is>
          <t>03</t>
        </is>
      </c>
      <c r="E1715" s="68" t="inlineStr">
        <is>
          <t>6 物业施工费</t>
        </is>
      </c>
      <c r="F1715" s="68" t="inlineStr">
        <is>
          <t>6.1 总承包工程</t>
        </is>
      </c>
      <c r="G1715" s="68" t="inlineStr">
        <is>
          <t>6.1.1 内部装修工程</t>
        </is>
      </c>
      <c r="H1715" s="68" t="inlineStr">
        <is>
          <t>大堂吊顶（不含卫生间）</t>
        </is>
      </c>
      <c r="I1715" s="69" t="inlineStr">
        <is>
          <t>1000021785</t>
        </is>
      </c>
      <c r="J1715" s="69" t="inlineStr">
        <is>
          <t>遮光板不锈钢收口</t>
        </is>
      </c>
      <c r="K1715" s="70" t="n"/>
      <c r="L1715" s="70" t="n"/>
      <c r="M1715" s="71" t="inlineStr">
        <is>
          <t>米</t>
        </is>
      </c>
      <c r="N1715" s="72" t="n">
        <v>87.81</v>
      </c>
      <c r="O1715" s="72">
        <f>ROUND(N1715*(1+$F$10),2)</f>
        <v/>
      </c>
      <c r="P1715" s="73">
        <f>ROUND(K1715*N1715,2)</f>
        <v/>
      </c>
      <c r="Q1715" s="74">
        <f>ROUND(L1715*N1715,2)</f>
        <v/>
      </c>
      <c r="R1715" s="75" t="n"/>
      <c r="S1715" s="76" t="n"/>
      <c r="T1715" s="77">
        <f>K1715-L1715</f>
        <v/>
      </c>
      <c r="U1715" s="77">
        <f>P1715-Q1715</f>
        <v/>
      </c>
      <c r="V1715" s="77">
        <f>ABS(U1715)</f>
        <v/>
      </c>
      <c r="W1715" s="78">
        <f>T1715/L1715</f>
        <v/>
      </c>
      <c r="X1715" s="79">
        <f>ABS(W1715)</f>
        <v/>
      </c>
    </row>
    <row r="1716" ht="11.4" customHeight="1">
      <c r="A1716" s="67" t="inlineStr">
        <is>
          <t>大甜59</t>
        </is>
      </c>
      <c r="B1716" s="67" t="inlineStr">
        <is>
          <t>1057</t>
        </is>
      </c>
      <c r="C1716" s="67" t="inlineStr">
        <is>
          <t>1611</t>
        </is>
      </c>
      <c r="D1716" s="68" t="inlineStr">
        <is>
          <t>03</t>
        </is>
      </c>
      <c r="E1716" s="68" t="inlineStr">
        <is>
          <t>0 地产费用</t>
        </is>
      </c>
      <c r="F1716" s="68" t="inlineStr">
        <is>
          <t>0.2 房产建筑</t>
        </is>
      </c>
      <c r="G1716" s="68" t="inlineStr">
        <is>
          <t>DT外立面(总包自建)</t>
        </is>
      </c>
      <c r="H1716" s="68" t="inlineStr">
        <is>
          <t>DT外立面(总包自建)</t>
        </is>
      </c>
      <c r="I1716" s="69" t="inlineStr">
        <is>
          <t>1000021443</t>
        </is>
      </c>
      <c r="J1716" s="69" t="inlineStr">
        <is>
          <t>DT-外墙漆</t>
        </is>
      </c>
      <c r="K1716" s="70" t="n"/>
      <c r="L1716" s="70" t="n"/>
      <c r="M1716" s="71" t="inlineStr">
        <is>
          <t>m2</t>
        </is>
      </c>
      <c r="N1716" s="72" t="n">
        <v>170.01</v>
      </c>
      <c r="O1716" s="72">
        <f>ROUND(N1716*(1+$F$10),2)</f>
        <v/>
      </c>
      <c r="P1716" s="73">
        <f>ROUND(K1716*N1716,2)</f>
        <v/>
      </c>
      <c r="Q1716" s="74">
        <f>ROUND(L1716*N1716,2)</f>
        <v/>
      </c>
      <c r="R1716" s="75" t="n"/>
      <c r="S1716" s="76" t="n"/>
      <c r="T1716" s="77">
        <f>K1716-L1716</f>
        <v/>
      </c>
      <c r="U1716" s="77">
        <f>P1716-Q1716</f>
        <v/>
      </c>
      <c r="V1716" s="77">
        <f>ABS(U1716)</f>
        <v/>
      </c>
      <c r="W1716" s="78">
        <f>T1716/L1716</f>
        <v/>
      </c>
      <c r="X1716" s="79">
        <f>ABS(W1716)</f>
        <v/>
      </c>
    </row>
    <row r="1717" ht="11.4" customHeight="1">
      <c r="A1717" s="67" t="inlineStr">
        <is>
          <t>大甜59</t>
        </is>
      </c>
      <c r="B1717" s="67" t="inlineStr">
        <is>
          <t>1057</t>
        </is>
      </c>
      <c r="C1717" s="67" t="inlineStr">
        <is>
          <t>1611</t>
        </is>
      </c>
      <c r="D1717" s="68" t="inlineStr">
        <is>
          <t>03</t>
        </is>
      </c>
      <c r="E1717" s="68" t="inlineStr">
        <is>
          <t>0 地产费用</t>
        </is>
      </c>
      <c r="F1717" s="68" t="inlineStr">
        <is>
          <t>0.2 房产建筑</t>
        </is>
      </c>
      <c r="G1717" s="68" t="inlineStr">
        <is>
          <t>DT外立面(总包自建)</t>
        </is>
      </c>
      <c r="H1717" s="68" t="inlineStr">
        <is>
          <t>DT外立面(总包自建)</t>
        </is>
      </c>
      <c r="I1717" s="69" t="inlineStr">
        <is>
          <t>1000021444</t>
        </is>
      </c>
      <c r="J1717" s="69" t="inlineStr">
        <is>
          <t>DT-售卖窗口推拉窗（主材，佳诺浩德）</t>
        </is>
      </c>
      <c r="K1717" s="70" t="n"/>
      <c r="L1717" s="70" t="n"/>
      <c r="M1717" s="71" t="inlineStr">
        <is>
          <t>只</t>
        </is>
      </c>
      <c r="N1717" s="72" t="n">
        <v>3717.71</v>
      </c>
      <c r="O1717" s="72">
        <f>ROUND(N1717*(1+$F$10),2)</f>
        <v/>
      </c>
      <c r="P1717" s="73">
        <f>ROUND(K1717*N1717,2)</f>
        <v/>
      </c>
      <c r="Q1717" s="74">
        <f>ROUND(L1717*N1717,2)</f>
        <v/>
      </c>
      <c r="R1717" s="75" t="n"/>
      <c r="S1717" s="76" t="n"/>
      <c r="T1717" s="77">
        <f>K1717-L1717</f>
        <v/>
      </c>
      <c r="U1717" s="77">
        <f>P1717-Q1717</f>
        <v/>
      </c>
      <c r="V1717" s="77">
        <f>ABS(U1717)</f>
        <v/>
      </c>
      <c r="W1717" s="78">
        <f>T1717/L1717</f>
        <v/>
      </c>
      <c r="X1717" s="79">
        <f>ABS(W1717)</f>
        <v/>
      </c>
    </row>
    <row r="1718" ht="11.4" customHeight="1">
      <c r="A1718" s="67" t="inlineStr">
        <is>
          <t>大甜59</t>
        </is>
      </c>
      <c r="B1718" s="67" t="inlineStr">
        <is>
          <t>1057</t>
        </is>
      </c>
      <c r="C1718" s="67" t="inlineStr">
        <is>
          <t>1611</t>
        </is>
      </c>
      <c r="D1718" s="68" t="inlineStr">
        <is>
          <t>03</t>
        </is>
      </c>
      <c r="E1718" s="68" t="inlineStr">
        <is>
          <t>0 地产费用</t>
        </is>
      </c>
      <c r="F1718" s="68" t="inlineStr">
        <is>
          <t>0.2 房产建筑</t>
        </is>
      </c>
      <c r="G1718" s="68" t="inlineStr">
        <is>
          <t>DT外立面(总包自建)</t>
        </is>
      </c>
      <c r="H1718" s="68" t="inlineStr">
        <is>
          <t>DT外立面(总包自建)</t>
        </is>
      </c>
      <c r="I1718" s="69" t="inlineStr">
        <is>
          <t>1000053608</t>
        </is>
      </c>
      <c r="J1718" s="69" t="inlineStr">
        <is>
          <t>DT-售卖窗口推拉窗（主材，天晟）</t>
        </is>
      </c>
      <c r="K1718" s="70" t="n"/>
      <c r="L1718" s="70" t="n"/>
      <c r="M1718" s="71" t="inlineStr">
        <is>
          <t>只</t>
        </is>
      </c>
      <c r="N1718" s="72" t="n">
        <v>3717.71</v>
      </c>
      <c r="O1718" s="72">
        <f>ROUND(N1718*(1+$F$10),2)</f>
        <v/>
      </c>
      <c r="P1718" s="73">
        <f>ROUND(K1718*N1718,2)</f>
        <v/>
      </c>
      <c r="Q1718" s="74">
        <f>ROUND(L1718*N1718,2)</f>
        <v/>
      </c>
      <c r="R1718" s="75" t="n"/>
      <c r="S1718" s="76" t="n"/>
      <c r="T1718" s="77">
        <f>K1718-L1718</f>
        <v/>
      </c>
      <c r="U1718" s="77">
        <f>P1718-Q1718</f>
        <v/>
      </c>
      <c r="V1718" s="77">
        <f>ABS(U1718)</f>
        <v/>
      </c>
      <c r="W1718" s="78">
        <f>T1718/L1718</f>
        <v/>
      </c>
      <c r="X1718" s="79">
        <f>ABS(W1718)</f>
        <v/>
      </c>
    </row>
    <row r="1719" ht="11.4" customHeight="1">
      <c r="A1719" s="67" t="inlineStr">
        <is>
          <t>大甜59</t>
        </is>
      </c>
      <c r="B1719" s="67" t="inlineStr">
        <is>
          <t>1057</t>
        </is>
      </c>
      <c r="C1719" s="67" t="inlineStr">
        <is>
          <t>1611</t>
        </is>
      </c>
      <c r="D1719" s="68" t="inlineStr">
        <is>
          <t>03</t>
        </is>
      </c>
      <c r="E1719" s="68" t="inlineStr">
        <is>
          <t>0 地产费用</t>
        </is>
      </c>
      <c r="F1719" s="68" t="inlineStr">
        <is>
          <t>0.2 房产建筑</t>
        </is>
      </c>
      <c r="G1719" s="68" t="inlineStr">
        <is>
          <t>DT外立面(总包自建)</t>
        </is>
      </c>
      <c r="H1719" s="68" t="inlineStr">
        <is>
          <t>DT外立面(总包自建)</t>
        </is>
      </c>
      <c r="I1719" s="69" t="inlineStr">
        <is>
          <t>1000053611</t>
        </is>
      </c>
      <c r="J1719" s="69" t="inlineStr">
        <is>
          <t>DT-售卖窗口推拉窗（主材，航凯）</t>
        </is>
      </c>
      <c r="K1719" s="70" t="n"/>
      <c r="L1719" s="70" t="n"/>
      <c r="M1719" s="71" t="inlineStr">
        <is>
          <t>只</t>
        </is>
      </c>
      <c r="N1719" s="72" t="n">
        <v>3717.71</v>
      </c>
      <c r="O1719" s="72">
        <f>ROUND(N1719*(1+$F$10),2)</f>
        <v/>
      </c>
      <c r="P1719" s="73">
        <f>ROUND(K1719*N1719,2)</f>
        <v/>
      </c>
      <c r="Q1719" s="74">
        <f>ROUND(L1719*N1719,2)</f>
        <v/>
      </c>
      <c r="R1719" s="75" t="n"/>
      <c r="S1719" s="76" t="n"/>
      <c r="T1719" s="77">
        <f>K1719-L1719</f>
        <v/>
      </c>
      <c r="U1719" s="77">
        <f>P1719-Q1719</f>
        <v/>
      </c>
      <c r="V1719" s="77">
        <f>ABS(U1719)</f>
        <v/>
      </c>
      <c r="W1719" s="78">
        <f>T1719/L1719</f>
        <v/>
      </c>
      <c r="X1719" s="79">
        <f>ABS(W1719)</f>
        <v/>
      </c>
    </row>
    <row r="1720" ht="11.4" customHeight="1">
      <c r="A1720" s="67" t="inlineStr">
        <is>
          <t>大甜59</t>
        </is>
      </c>
      <c r="B1720" s="67" t="inlineStr">
        <is>
          <t>1057</t>
        </is>
      </c>
      <c r="C1720" s="67" t="inlineStr">
        <is>
          <t>1611</t>
        </is>
      </c>
      <c r="D1720" s="68" t="inlineStr">
        <is>
          <t>03</t>
        </is>
      </c>
      <c r="E1720" s="68" t="inlineStr">
        <is>
          <t>0 地产费用</t>
        </is>
      </c>
      <c r="F1720" s="68" t="inlineStr">
        <is>
          <t>0.2 房产建筑</t>
        </is>
      </c>
      <c r="G1720" s="68" t="inlineStr">
        <is>
          <t>DT外立面(总包自建)</t>
        </is>
      </c>
      <c r="H1720" s="68" t="inlineStr">
        <is>
          <t>DT外立面(总包自建)</t>
        </is>
      </c>
      <c r="I1720" s="69" t="inlineStr">
        <is>
          <t>1000081636</t>
        </is>
      </c>
      <c r="J1720" s="69" t="inlineStr">
        <is>
          <t>DT-售卖窗口推拉窗（主材，力保)</t>
        </is>
      </c>
      <c r="K1720" s="70" t="n"/>
      <c r="L1720" s="70" t="n"/>
      <c r="M1720" s="71" t="inlineStr">
        <is>
          <t>只</t>
        </is>
      </c>
      <c r="N1720" s="72" t="n">
        <v>3717.71</v>
      </c>
      <c r="O1720" s="72">
        <f>ROUND(N1720*(1+$F$10),2)</f>
        <v/>
      </c>
      <c r="P1720" s="73">
        <f>ROUND(K1720*N1720,2)</f>
        <v/>
      </c>
      <c r="Q1720" s="74">
        <f>ROUND(L1720*N1720,2)</f>
        <v/>
      </c>
      <c r="R1720" s="75" t="n"/>
      <c r="S1720" s="76" t="n"/>
      <c r="T1720" s="77">
        <f>K1720-L1720</f>
        <v/>
      </c>
      <c r="U1720" s="77">
        <f>P1720-Q1720</f>
        <v/>
      </c>
      <c r="V1720" s="77">
        <f>ABS(U1720)</f>
        <v/>
      </c>
      <c r="W1720" s="78">
        <f>T1720/L1720</f>
        <v/>
      </c>
      <c r="X1720" s="79">
        <f>ABS(W1720)</f>
        <v/>
      </c>
    </row>
    <row r="1721" ht="11.4" customHeight="1">
      <c r="A1721" s="67" t="inlineStr">
        <is>
          <t>大甜59</t>
        </is>
      </c>
      <c r="B1721" s="67" t="inlineStr">
        <is>
          <t>1057</t>
        </is>
      </c>
      <c r="C1721" s="67" t="inlineStr">
        <is>
          <t>1611</t>
        </is>
      </c>
      <c r="D1721" s="68" t="inlineStr">
        <is>
          <t>03</t>
        </is>
      </c>
      <c r="E1721" s="68" t="inlineStr">
        <is>
          <t>0 地产费用</t>
        </is>
      </c>
      <c r="F1721" s="68" t="inlineStr">
        <is>
          <t>0.2 房产建筑</t>
        </is>
      </c>
      <c r="G1721" s="68" t="inlineStr">
        <is>
          <t>DT外立面(总包自建)</t>
        </is>
      </c>
      <c r="H1721" s="68" t="inlineStr">
        <is>
          <t>DT外立面(总包自建)</t>
        </is>
      </c>
      <c r="I1721" s="69" t="inlineStr">
        <is>
          <t>1000021718</t>
        </is>
      </c>
      <c r="J1721" s="69" t="inlineStr">
        <is>
          <t>DT-二层室外楼梯不锈钢扶手</t>
        </is>
      </c>
      <c r="K1721" s="70" t="n"/>
      <c r="L1721" s="70" t="n"/>
      <c r="M1721" s="71" t="inlineStr">
        <is>
          <t>米</t>
        </is>
      </c>
      <c r="N1721" s="72" t="n">
        <v>241.33</v>
      </c>
      <c r="O1721" s="72">
        <f>ROUND(N1721*(1+$F$10),2)</f>
        <v/>
      </c>
      <c r="P1721" s="73">
        <f>ROUND(K1721*N1721,2)</f>
        <v/>
      </c>
      <c r="Q1721" s="74">
        <f>ROUND(L1721*N1721,2)</f>
        <v/>
      </c>
      <c r="R1721" s="75" t="n"/>
      <c r="S1721" s="76" t="n"/>
      <c r="T1721" s="77">
        <f>K1721-L1721</f>
        <v/>
      </c>
      <c r="U1721" s="77">
        <f>P1721-Q1721</f>
        <v/>
      </c>
      <c r="V1721" s="77">
        <f>ABS(U1721)</f>
        <v/>
      </c>
      <c r="W1721" s="78">
        <f>T1721/L1721</f>
        <v/>
      </c>
      <c r="X1721" s="79">
        <f>ABS(W1721)</f>
        <v/>
      </c>
    </row>
    <row r="1722" ht="11.4" customHeight="1">
      <c r="A1722" s="67" t="inlineStr">
        <is>
          <t>大甜59</t>
        </is>
      </c>
      <c r="B1722" s="67" t="inlineStr">
        <is>
          <t>1057</t>
        </is>
      </c>
      <c r="C1722" s="67" t="inlineStr">
        <is>
          <t>1611</t>
        </is>
      </c>
      <c r="D1722" s="68" t="inlineStr">
        <is>
          <t>03</t>
        </is>
      </c>
      <c r="E1722" s="68" t="inlineStr">
        <is>
          <t>0 地产费用</t>
        </is>
      </c>
      <c r="F1722" s="68" t="inlineStr">
        <is>
          <t>0.2 房产建筑</t>
        </is>
      </c>
      <c r="G1722" s="68" t="inlineStr">
        <is>
          <t>DT外立面(总包自建)</t>
        </is>
      </c>
      <c r="H1722" s="68" t="inlineStr">
        <is>
          <t>DT外立面(总包自建)</t>
        </is>
      </c>
      <c r="I1722" s="69" t="inlineStr">
        <is>
          <t>1000021719</t>
        </is>
      </c>
      <c r="J1722" s="69" t="inlineStr">
        <is>
          <t>刀旗加固（仅适用于刀旗高出建筑物的情况）</t>
        </is>
      </c>
      <c r="K1722" s="70" t="n"/>
      <c r="L1722" s="70" t="n"/>
      <c r="M1722" s="71" t="inlineStr">
        <is>
          <t>项</t>
        </is>
      </c>
      <c r="N1722" s="72" t="n">
        <v>4598.62</v>
      </c>
      <c r="O1722" s="72">
        <f>ROUND(N1722*(1+$F$10),2)</f>
        <v/>
      </c>
      <c r="P1722" s="73">
        <f>ROUND(K1722*N1722,2)</f>
        <v/>
      </c>
      <c r="Q1722" s="74">
        <f>ROUND(L1722*N1722,2)</f>
        <v/>
      </c>
      <c r="R1722" s="75" t="n"/>
      <c r="S1722" s="76" t="n"/>
      <c r="T1722" s="77">
        <f>K1722-L1722</f>
        <v/>
      </c>
      <c r="U1722" s="77">
        <f>P1722-Q1722</f>
        <v/>
      </c>
      <c r="V1722" s="77">
        <f>ABS(U1722)</f>
        <v/>
      </c>
      <c r="W1722" s="78">
        <f>T1722/L1722</f>
        <v/>
      </c>
      <c r="X1722" s="79">
        <f>ABS(W1722)</f>
        <v/>
      </c>
    </row>
    <row r="1723" ht="11.4" customHeight="1">
      <c r="A1723" s="67" t="inlineStr">
        <is>
          <t>大甜59</t>
        </is>
      </c>
      <c r="B1723" s="67" t="inlineStr">
        <is>
          <t>1057</t>
        </is>
      </c>
      <c r="C1723" s="67" t="inlineStr">
        <is>
          <t>1611</t>
        </is>
      </c>
      <c r="D1723" s="68" t="inlineStr">
        <is>
          <t>03</t>
        </is>
      </c>
      <c r="E1723" s="68" t="inlineStr">
        <is>
          <t>0 地产费用</t>
        </is>
      </c>
      <c r="F1723" s="68" t="inlineStr">
        <is>
          <t>0.2 房产建筑</t>
        </is>
      </c>
      <c r="G1723" s="68" t="inlineStr">
        <is>
          <t>户外棚架区、伞位区</t>
        </is>
      </c>
      <c r="H1723" s="68" t="inlineStr">
        <is>
          <t>户外棚架区、伞位区</t>
        </is>
      </c>
      <c r="I1723" s="69" t="inlineStr">
        <is>
          <t>1000021722</t>
        </is>
      </c>
      <c r="J1723" s="69" t="inlineStr">
        <is>
          <t>DT-室外棚架钢结构及油漆</t>
        </is>
      </c>
      <c r="K1723" s="70" t="n"/>
      <c r="L1723" s="70" t="n"/>
      <c r="M1723" s="71" t="inlineStr">
        <is>
          <t>吨</t>
        </is>
      </c>
      <c r="N1723" s="72" t="n">
        <v>9866.1</v>
      </c>
      <c r="O1723" s="72">
        <f>ROUND(N1723*(1+$F$10),2)</f>
        <v/>
      </c>
      <c r="P1723" s="73">
        <f>ROUND(K1723*N1723,2)</f>
        <v/>
      </c>
      <c r="Q1723" s="74">
        <f>ROUND(L1723*N1723,2)</f>
        <v/>
      </c>
      <c r="R1723" s="75" t="n"/>
      <c r="S1723" s="76" t="n"/>
      <c r="T1723" s="77">
        <f>K1723-L1723</f>
        <v/>
      </c>
      <c r="U1723" s="77">
        <f>P1723-Q1723</f>
        <v/>
      </c>
      <c r="V1723" s="77">
        <f>ABS(U1723)</f>
        <v/>
      </c>
      <c r="W1723" s="78">
        <f>T1723/L1723</f>
        <v/>
      </c>
      <c r="X1723" s="79">
        <f>ABS(W1723)</f>
        <v/>
      </c>
    </row>
    <row r="1724" ht="11.4" customHeight="1">
      <c r="A1724" s="67" t="inlineStr">
        <is>
          <t>大甜59</t>
        </is>
      </c>
      <c r="B1724" s="67" t="inlineStr">
        <is>
          <t>1057</t>
        </is>
      </c>
      <c r="C1724" s="67" t="inlineStr">
        <is>
          <t>1611</t>
        </is>
      </c>
      <c r="D1724" s="68" t="inlineStr">
        <is>
          <t>03</t>
        </is>
      </c>
      <c r="E1724" s="68" t="inlineStr">
        <is>
          <t>0 地产费用</t>
        </is>
      </c>
      <c r="F1724" s="68" t="inlineStr">
        <is>
          <t>0.2 房产建筑</t>
        </is>
      </c>
      <c r="G1724" s="68" t="inlineStr">
        <is>
          <t>户外棚架区、伞位区</t>
        </is>
      </c>
      <c r="H1724" s="68" t="inlineStr">
        <is>
          <t>户外棚架区、伞位区</t>
        </is>
      </c>
      <c r="I1724" s="69" t="inlineStr">
        <is>
          <t>1000021723</t>
        </is>
      </c>
      <c r="J1724" s="69" t="inlineStr">
        <is>
          <t>DT-室外花槽及防水</t>
        </is>
      </c>
      <c r="K1724" s="70" t="n"/>
      <c r="L1724" s="70" t="n"/>
      <c r="M1724" s="71" t="inlineStr">
        <is>
          <t>米</t>
        </is>
      </c>
      <c r="N1724" s="72" t="n">
        <v>2570.99</v>
      </c>
      <c r="O1724" s="72">
        <f>ROUND(N1724*(1+$F$10),2)</f>
        <v/>
      </c>
      <c r="P1724" s="73">
        <f>ROUND(K1724*N1724,2)</f>
        <v/>
      </c>
      <c r="Q1724" s="74">
        <f>ROUND(L1724*N1724,2)</f>
        <v/>
      </c>
      <c r="R1724" s="75" t="n"/>
      <c r="S1724" s="76" t="n"/>
      <c r="T1724" s="77">
        <f>K1724-L1724</f>
        <v/>
      </c>
      <c r="U1724" s="77">
        <f>P1724-Q1724</f>
        <v/>
      </c>
      <c r="V1724" s="77">
        <f>ABS(U1724)</f>
        <v/>
      </c>
      <c r="W1724" s="78">
        <f>T1724/L1724</f>
        <v/>
      </c>
      <c r="X1724" s="79">
        <f>ABS(W1724)</f>
        <v/>
      </c>
    </row>
    <row r="1725" ht="11.4" customHeight="1">
      <c r="A1725" s="67" t="inlineStr">
        <is>
          <t>大甜59</t>
        </is>
      </c>
      <c r="B1725" s="67" t="inlineStr">
        <is>
          <t>1057</t>
        </is>
      </c>
      <c r="C1725" s="67" t="inlineStr">
        <is>
          <t>1611</t>
        </is>
      </c>
      <c r="D1725" s="68" t="inlineStr">
        <is>
          <t>03</t>
        </is>
      </c>
      <c r="E1725" s="68" t="inlineStr">
        <is>
          <t>0 地产费用</t>
        </is>
      </c>
      <c r="F1725" s="68" t="inlineStr">
        <is>
          <t>0.2 房产建筑</t>
        </is>
      </c>
      <c r="G1725" s="68" t="inlineStr">
        <is>
          <t>户外棚架区、伞位区</t>
        </is>
      </c>
      <c r="H1725" s="68" t="inlineStr">
        <is>
          <t>户外棚架区、伞位区</t>
        </is>
      </c>
      <c r="I1725" s="69" t="inlineStr">
        <is>
          <t>1000021445</t>
        </is>
      </c>
      <c r="J1725" s="69" t="inlineStr">
        <is>
          <t>DT-花槽塑铝板</t>
        </is>
      </c>
      <c r="K1725" s="70" t="n"/>
      <c r="L1725" s="70" t="n"/>
      <c r="M1725" s="71" t="inlineStr">
        <is>
          <t>m2</t>
        </is>
      </c>
      <c r="N1725" s="72" t="n">
        <v>465.14</v>
      </c>
      <c r="O1725" s="72">
        <f>ROUND(N1725*(1+$F$10),2)</f>
        <v/>
      </c>
      <c r="P1725" s="73">
        <f>ROUND(K1725*N1725,2)</f>
        <v/>
      </c>
      <c r="Q1725" s="74">
        <f>ROUND(L1725*N1725,2)</f>
        <v/>
      </c>
      <c r="R1725" s="75" t="n"/>
      <c r="S1725" s="76" t="n"/>
      <c r="T1725" s="77">
        <f>K1725-L1725</f>
        <v/>
      </c>
      <c r="U1725" s="77">
        <f>P1725-Q1725</f>
        <v/>
      </c>
      <c r="V1725" s="77">
        <f>ABS(U1725)</f>
        <v/>
      </c>
      <c r="W1725" s="78">
        <f>T1725/L1725</f>
        <v/>
      </c>
      <c r="X1725" s="79">
        <f>ABS(W1725)</f>
        <v/>
      </c>
    </row>
    <row r="1726" ht="11.4" customHeight="1">
      <c r="A1726" s="67" t="inlineStr">
        <is>
          <t>大甜59</t>
        </is>
      </c>
      <c r="B1726" s="67" t="inlineStr">
        <is>
          <t>1057</t>
        </is>
      </c>
      <c r="C1726" s="67" t="inlineStr">
        <is>
          <t>1611</t>
        </is>
      </c>
      <c r="D1726" s="68" t="inlineStr">
        <is>
          <t>03</t>
        </is>
      </c>
      <c r="E1726" s="68" t="inlineStr">
        <is>
          <t>0 地产费用</t>
        </is>
      </c>
      <c r="F1726" s="68" t="inlineStr">
        <is>
          <t>0.2 房产建筑</t>
        </is>
      </c>
      <c r="G1726" s="68" t="inlineStr">
        <is>
          <t>户外棚架区、伞位区</t>
        </is>
      </c>
      <c r="H1726" s="68" t="inlineStr">
        <is>
          <t>户外棚架区、伞位区</t>
        </is>
      </c>
      <c r="I1726" s="69" t="inlineStr">
        <is>
          <t>1000021724</t>
        </is>
      </c>
      <c r="J1726" s="69" t="inlineStr">
        <is>
          <t>DT-花槽格栅及喷漆</t>
        </is>
      </c>
      <c r="K1726" s="70" t="n"/>
      <c r="L1726" s="70" t="n"/>
      <c r="M1726" s="71" t="inlineStr">
        <is>
          <t>m2</t>
        </is>
      </c>
      <c r="N1726" s="72" t="n">
        <v>979.4400000000001</v>
      </c>
      <c r="O1726" s="72">
        <f>ROUND(N1726*(1+$F$10),2)</f>
        <v/>
      </c>
      <c r="P1726" s="73">
        <f>ROUND(K1726*N1726,2)</f>
        <v/>
      </c>
      <c r="Q1726" s="74">
        <f>ROUND(L1726*N1726,2)</f>
        <v/>
      </c>
      <c r="R1726" s="75" t="n"/>
      <c r="S1726" s="76" t="n"/>
      <c r="T1726" s="77">
        <f>K1726-L1726</f>
        <v/>
      </c>
      <c r="U1726" s="77">
        <f>P1726-Q1726</f>
        <v/>
      </c>
      <c r="V1726" s="77">
        <f>ABS(U1726)</f>
        <v/>
      </c>
      <c r="W1726" s="78">
        <f>T1726/L1726</f>
        <v/>
      </c>
      <c r="X1726" s="79">
        <f>ABS(W1726)</f>
        <v/>
      </c>
    </row>
    <row r="1727" ht="11.4" customHeight="1">
      <c r="A1727" s="67" t="inlineStr">
        <is>
          <t>大甜59</t>
        </is>
      </c>
      <c r="B1727" s="67" t="inlineStr">
        <is>
          <t>1057</t>
        </is>
      </c>
      <c r="C1727" s="67" t="inlineStr">
        <is>
          <t>1611</t>
        </is>
      </c>
      <c r="D1727" s="68" t="inlineStr">
        <is>
          <t>03</t>
        </is>
      </c>
      <c r="E1727" s="68" t="inlineStr">
        <is>
          <t>6 物业施工费</t>
        </is>
      </c>
      <c r="F1727" s="68" t="inlineStr">
        <is>
          <t>6.1 总承包工程</t>
        </is>
      </c>
      <c r="G1727" s="68" t="inlineStr">
        <is>
          <t>6.1.1 内部装修工程</t>
        </is>
      </c>
      <c r="H1727" s="68" t="inlineStr">
        <is>
          <t>外立面装修</t>
        </is>
      </c>
      <c r="I1727" s="69" t="inlineStr">
        <is>
          <t>1000021787</t>
        </is>
      </c>
      <c r="J1727" s="69" t="inlineStr">
        <is>
          <t>铝框12mm 钢化玻璃（单层）</t>
        </is>
      </c>
      <c r="K1727" s="70" t="n"/>
      <c r="L1727" s="70" t="n"/>
      <c r="M1727" s="71" t="inlineStr">
        <is>
          <t>m2</t>
        </is>
      </c>
      <c r="N1727" s="72" t="n">
        <v>465.88</v>
      </c>
      <c r="O1727" s="72">
        <f>ROUND(N1727*(1+$F$10),2)</f>
        <v/>
      </c>
      <c r="P1727" s="73">
        <f>ROUND(K1727*N1727,2)</f>
        <v/>
      </c>
      <c r="Q1727" s="74">
        <f>ROUND(L1727*N1727,2)</f>
        <v/>
      </c>
      <c r="R1727" s="75" t="n"/>
      <c r="S1727" s="76" t="n"/>
      <c r="T1727" s="77">
        <f>K1727-L1727</f>
        <v/>
      </c>
      <c r="U1727" s="77">
        <f>P1727-Q1727</f>
        <v/>
      </c>
      <c r="V1727" s="77">
        <f>ABS(U1727)</f>
        <v/>
      </c>
      <c r="W1727" s="78">
        <f>T1727/L1727</f>
        <v/>
      </c>
      <c r="X1727" s="79">
        <f>ABS(W1727)</f>
        <v/>
      </c>
    </row>
    <row r="1728" ht="11.4" customHeight="1">
      <c r="A1728" s="67" t="inlineStr">
        <is>
          <t>大甜59</t>
        </is>
      </c>
      <c r="B1728" s="67" t="inlineStr">
        <is>
          <t>1057</t>
        </is>
      </c>
      <c r="C1728" s="67" t="inlineStr">
        <is>
          <t>1611</t>
        </is>
      </c>
      <c r="D1728" s="68" t="inlineStr">
        <is>
          <t>03</t>
        </is>
      </c>
      <c r="E1728" s="68" t="inlineStr">
        <is>
          <t>6 物业施工费</t>
        </is>
      </c>
      <c r="F1728" s="68" t="inlineStr">
        <is>
          <t>6.1 总承包工程</t>
        </is>
      </c>
      <c r="G1728" s="68" t="inlineStr">
        <is>
          <t>6.1.1 内部装修工程</t>
        </is>
      </c>
      <c r="H1728" s="68" t="inlineStr">
        <is>
          <t>外立面装修</t>
        </is>
      </c>
      <c r="I1728" s="69" t="inlineStr">
        <is>
          <t>1000021788</t>
        </is>
      </c>
      <c r="J1728" s="69" t="inlineStr">
        <is>
          <t>铝框6+6mm 钢化玻璃（双层）</t>
        </is>
      </c>
      <c r="K1728" s="70" t="n"/>
      <c r="L1728" s="70" t="n"/>
      <c r="M1728" s="71" t="inlineStr">
        <is>
          <t>m2</t>
        </is>
      </c>
      <c r="N1728" s="72" t="n">
        <v>674.21</v>
      </c>
      <c r="O1728" s="72">
        <f>ROUND(N1728*(1+$F$10),2)</f>
        <v/>
      </c>
      <c r="P1728" s="73">
        <f>ROUND(K1728*N1728,2)</f>
        <v/>
      </c>
      <c r="Q1728" s="74">
        <f>ROUND(L1728*N1728,2)</f>
        <v/>
      </c>
      <c r="R1728" s="75" t="n"/>
      <c r="S1728" s="76" t="n"/>
      <c r="T1728" s="77">
        <f>K1728-L1728</f>
        <v/>
      </c>
      <c r="U1728" s="77">
        <f>P1728-Q1728</f>
        <v/>
      </c>
      <c r="V1728" s="77">
        <f>ABS(U1728)</f>
        <v/>
      </c>
      <c r="W1728" s="78">
        <f>T1728/L1728</f>
        <v/>
      </c>
      <c r="X1728" s="79">
        <f>ABS(W1728)</f>
        <v/>
      </c>
    </row>
    <row r="1729" ht="11.4" customHeight="1">
      <c r="A1729" s="67" t="inlineStr">
        <is>
          <t>大甜59</t>
        </is>
      </c>
      <c r="B1729" s="67" t="inlineStr">
        <is>
          <t>1057</t>
        </is>
      </c>
      <c r="C1729" s="67" t="inlineStr">
        <is>
          <t>1611</t>
        </is>
      </c>
      <c r="D1729" s="68" t="inlineStr">
        <is>
          <t>03</t>
        </is>
      </c>
      <c r="E1729" s="68" t="inlineStr">
        <is>
          <t>6 物业施工费</t>
        </is>
      </c>
      <c r="F1729" s="68" t="inlineStr">
        <is>
          <t>6.1 总承包工程</t>
        </is>
      </c>
      <c r="G1729" s="68" t="inlineStr">
        <is>
          <t>6.1.1 内部装修工程</t>
        </is>
      </c>
      <c r="H1729" s="68" t="inlineStr">
        <is>
          <t>外立面装修</t>
        </is>
      </c>
      <c r="I1729" s="69" t="inlineStr">
        <is>
          <t>1000021789</t>
        </is>
      </c>
      <c r="J1729" s="69" t="inlineStr">
        <is>
          <t>铝框15mm 钢化防火玻璃</t>
        </is>
      </c>
      <c r="K1729" s="70" t="n"/>
      <c r="L1729" s="70" t="n"/>
      <c r="M1729" s="71" t="inlineStr">
        <is>
          <t>m2</t>
        </is>
      </c>
      <c r="N1729" s="72" t="n">
        <v>592.51</v>
      </c>
      <c r="O1729" s="72">
        <f>ROUND(N1729*(1+$F$10),2)</f>
        <v/>
      </c>
      <c r="P1729" s="73">
        <f>ROUND(K1729*N1729,2)</f>
        <v/>
      </c>
      <c r="Q1729" s="74">
        <f>ROUND(L1729*N1729,2)</f>
        <v/>
      </c>
      <c r="R1729" s="75" t="n"/>
      <c r="S1729" s="76" t="n"/>
      <c r="T1729" s="77">
        <f>K1729-L1729</f>
        <v/>
      </c>
      <c r="U1729" s="77">
        <f>P1729-Q1729</f>
        <v/>
      </c>
      <c r="V1729" s="77">
        <f>ABS(U1729)</f>
        <v/>
      </c>
      <c r="W1729" s="78">
        <f>T1729/L1729</f>
        <v/>
      </c>
      <c r="X1729" s="79">
        <f>ABS(W1729)</f>
        <v/>
      </c>
    </row>
    <row r="1730" ht="11.4" customHeight="1">
      <c r="A1730" s="67" t="inlineStr">
        <is>
          <t>大甜59</t>
        </is>
      </c>
      <c r="B1730" s="67" t="inlineStr">
        <is>
          <t>1057</t>
        </is>
      </c>
      <c r="C1730" s="67" t="inlineStr">
        <is>
          <t>1611</t>
        </is>
      </c>
      <c r="D1730" s="68" t="inlineStr">
        <is>
          <t>03</t>
        </is>
      </c>
      <c r="E1730" s="68" t="inlineStr">
        <is>
          <t>6 物业施工费</t>
        </is>
      </c>
      <c r="F1730" s="68" t="inlineStr">
        <is>
          <t>6.1 总承包工程</t>
        </is>
      </c>
      <c r="G1730" s="68" t="inlineStr">
        <is>
          <t>6.1.1 内部装修工程</t>
        </is>
      </c>
      <c r="H1730" s="68" t="inlineStr">
        <is>
          <t>外立面装修</t>
        </is>
      </c>
      <c r="I1730" s="69" t="inlineStr">
        <is>
          <t>1000021790</t>
        </is>
      </c>
      <c r="J1730" s="69" t="inlineStr">
        <is>
          <t>铝框19mm 钢化防火玻璃</t>
        </is>
      </c>
      <c r="K1730" s="70" t="n"/>
      <c r="L1730" s="70" t="n"/>
      <c r="M1730" s="71" t="inlineStr">
        <is>
          <t>m2</t>
        </is>
      </c>
      <c r="N1730" s="72" t="n">
        <v>763.01</v>
      </c>
      <c r="O1730" s="72">
        <f>ROUND(N1730*(1+$F$10),2)</f>
        <v/>
      </c>
      <c r="P1730" s="73">
        <f>ROUND(K1730*N1730,2)</f>
        <v/>
      </c>
      <c r="Q1730" s="74">
        <f>ROUND(L1730*N1730,2)</f>
        <v/>
      </c>
      <c r="R1730" s="75" t="n"/>
      <c r="S1730" s="76" t="n"/>
      <c r="T1730" s="77">
        <f>K1730-L1730</f>
        <v/>
      </c>
      <c r="U1730" s="77">
        <f>P1730-Q1730</f>
        <v/>
      </c>
      <c r="V1730" s="77">
        <f>ABS(U1730)</f>
        <v/>
      </c>
      <c r="W1730" s="78">
        <f>T1730/L1730</f>
        <v/>
      </c>
      <c r="X1730" s="79">
        <f>ABS(W1730)</f>
        <v/>
      </c>
    </row>
    <row r="1731" ht="11.4" customHeight="1">
      <c r="A1731" s="67" t="inlineStr">
        <is>
          <t>大甜59</t>
        </is>
      </c>
      <c r="B1731" s="67" t="inlineStr">
        <is>
          <t>1057</t>
        </is>
      </c>
      <c r="C1731" s="67" t="inlineStr">
        <is>
          <t>1611</t>
        </is>
      </c>
      <c r="D1731" s="68" t="inlineStr">
        <is>
          <t>03</t>
        </is>
      </c>
      <c r="E1731" s="68" t="inlineStr">
        <is>
          <t>6 物业施工费</t>
        </is>
      </c>
      <c r="F1731" s="68" t="inlineStr">
        <is>
          <t>6.1 总承包工程</t>
        </is>
      </c>
      <c r="G1731" s="68" t="inlineStr">
        <is>
          <t>6.1.1 内部装修工程</t>
        </is>
      </c>
      <c r="H1731" s="68" t="inlineStr">
        <is>
          <t>外立面装修</t>
        </is>
      </c>
      <c r="I1731" s="69" t="inlineStr">
        <is>
          <t>1000021791</t>
        </is>
      </c>
      <c r="J1731" s="69" t="inlineStr">
        <is>
          <t>12mm 钢化玻璃（不含铝框）</t>
        </is>
      </c>
      <c r="K1731" s="70" t="n"/>
      <c r="L1731" s="70" t="n"/>
      <c r="M1731" s="71" t="inlineStr">
        <is>
          <t>m2</t>
        </is>
      </c>
      <c r="N1731" s="72" t="n">
        <v>229.85</v>
      </c>
      <c r="O1731" s="72">
        <f>ROUND(N1731*(1+$F$10),2)</f>
        <v/>
      </c>
      <c r="P1731" s="73">
        <f>ROUND(K1731*N1731,2)</f>
        <v/>
      </c>
      <c r="Q1731" s="74">
        <f>ROUND(L1731*N1731,2)</f>
        <v/>
      </c>
      <c r="R1731" s="75" t="n"/>
      <c r="S1731" s="76" t="n"/>
      <c r="T1731" s="77">
        <f>K1731-L1731</f>
        <v/>
      </c>
      <c r="U1731" s="77">
        <f>P1731-Q1731</f>
        <v/>
      </c>
      <c r="V1731" s="77">
        <f>ABS(U1731)</f>
        <v/>
      </c>
      <c r="W1731" s="78">
        <f>T1731/L1731</f>
        <v/>
      </c>
      <c r="X1731" s="79">
        <f>ABS(W1731)</f>
        <v/>
      </c>
    </row>
    <row r="1732" ht="11.4" customHeight="1">
      <c r="A1732" s="67" t="inlineStr">
        <is>
          <t>大甜59</t>
        </is>
      </c>
      <c r="B1732" s="67" t="inlineStr">
        <is>
          <t>1057</t>
        </is>
      </c>
      <c r="C1732" s="67" t="inlineStr">
        <is>
          <t>1611</t>
        </is>
      </c>
      <c r="D1732" s="68" t="inlineStr">
        <is>
          <t>03</t>
        </is>
      </c>
      <c r="E1732" s="68" t="inlineStr">
        <is>
          <t>6 物业施工费</t>
        </is>
      </c>
      <c r="F1732" s="68" t="inlineStr">
        <is>
          <t>6.1 总承包工程</t>
        </is>
      </c>
      <c r="G1732" s="68" t="inlineStr">
        <is>
          <t>6.1.1 内部装修工程</t>
        </is>
      </c>
      <c r="H1732" s="68" t="inlineStr">
        <is>
          <t>外立面装修</t>
        </is>
      </c>
      <c r="I1732" s="69" t="inlineStr">
        <is>
          <t>1000022168</t>
        </is>
      </c>
      <c r="J1732" s="69" t="inlineStr">
        <is>
          <t>窗框刷漆</t>
        </is>
      </c>
      <c r="K1732" s="70" t="n"/>
      <c r="L1732" s="70" t="n"/>
      <c r="M1732" s="71" t="inlineStr">
        <is>
          <t>m2</t>
        </is>
      </c>
      <c r="N1732" s="72" t="n">
        <v>36.96</v>
      </c>
      <c r="O1732" s="72">
        <f>ROUND(N1732*(1+$F$10),2)</f>
        <v/>
      </c>
      <c r="P1732" s="73">
        <f>ROUND(K1732*N1732,2)</f>
        <v/>
      </c>
      <c r="Q1732" s="74">
        <f>ROUND(L1732*N1732,2)</f>
        <v/>
      </c>
      <c r="R1732" s="75" t="n"/>
      <c r="S1732" s="76" t="n"/>
      <c r="T1732" s="77">
        <f>K1732-L1732</f>
        <v/>
      </c>
      <c r="U1732" s="77">
        <f>P1732-Q1732</f>
        <v/>
      </c>
      <c r="V1732" s="77">
        <f>ABS(U1732)</f>
        <v/>
      </c>
      <c r="W1732" s="78">
        <f>T1732/L1732</f>
        <v/>
      </c>
      <c r="X1732" s="79">
        <f>ABS(W1732)</f>
        <v/>
      </c>
    </row>
    <row r="1733" ht="11.4" customHeight="1">
      <c r="A1733" s="67" t="inlineStr">
        <is>
          <t>大甜59</t>
        </is>
      </c>
      <c r="B1733" s="67" t="inlineStr">
        <is>
          <t>1057</t>
        </is>
      </c>
      <c r="C1733" s="67" t="inlineStr">
        <is>
          <t>1611</t>
        </is>
      </c>
      <c r="D1733" s="68" t="inlineStr">
        <is>
          <t>03</t>
        </is>
      </c>
      <c r="E1733" s="68" t="inlineStr">
        <is>
          <t>6 物业施工费</t>
        </is>
      </c>
      <c r="F1733" s="68" t="inlineStr">
        <is>
          <t>6.1 总承包工程</t>
        </is>
      </c>
      <c r="G1733" s="68" t="inlineStr">
        <is>
          <t>6.1.1 内部装修工程</t>
        </is>
      </c>
      <c r="H1733" s="68" t="inlineStr">
        <is>
          <t>外立面装修</t>
        </is>
      </c>
      <c r="I1733" s="69" t="inlineStr">
        <is>
          <t>1000021442</t>
        </is>
      </c>
      <c r="J1733" s="69" t="inlineStr">
        <is>
          <t>消防排烟窗</t>
        </is>
      </c>
      <c r="K1733" s="70" t="n"/>
      <c r="L1733" s="70" t="n"/>
      <c r="M1733" s="71" t="inlineStr">
        <is>
          <t>m2</t>
        </is>
      </c>
      <c r="N1733" s="72" t="n">
        <v>958.97</v>
      </c>
      <c r="O1733" s="72">
        <f>ROUND(N1733*(1+$F$10),2)</f>
        <v/>
      </c>
      <c r="P1733" s="73">
        <f>ROUND(K1733*N1733,2)</f>
        <v/>
      </c>
      <c r="Q1733" s="74">
        <f>ROUND(L1733*N1733,2)</f>
        <v/>
      </c>
      <c r="R1733" s="75" t="n"/>
      <c r="S1733" s="76" t="n"/>
      <c r="T1733" s="77">
        <f>K1733-L1733</f>
        <v/>
      </c>
      <c r="U1733" s="77">
        <f>P1733-Q1733</f>
        <v/>
      </c>
      <c r="V1733" s="77">
        <f>ABS(U1733)</f>
        <v/>
      </c>
      <c r="W1733" s="78">
        <f>T1733/L1733</f>
        <v/>
      </c>
      <c r="X1733" s="79">
        <f>ABS(W1733)</f>
        <v/>
      </c>
    </row>
    <row r="1734" ht="11.4" customHeight="1">
      <c r="A1734" s="67" t="inlineStr">
        <is>
          <t>大甜59</t>
        </is>
      </c>
      <c r="B1734" s="67" t="inlineStr">
        <is>
          <t>1057</t>
        </is>
      </c>
      <c r="C1734" s="67" t="inlineStr">
        <is>
          <t>1611</t>
        </is>
      </c>
      <c r="D1734" s="68" t="inlineStr">
        <is>
          <t>03</t>
        </is>
      </c>
      <c r="E1734" s="68" t="inlineStr">
        <is>
          <t>6 物业施工费</t>
        </is>
      </c>
      <c r="F1734" s="68" t="inlineStr">
        <is>
          <t>6.1 总承包工程</t>
        </is>
      </c>
      <c r="G1734" s="68" t="inlineStr">
        <is>
          <t>6.1.1 内部装修工程</t>
        </is>
      </c>
      <c r="H1734" s="68" t="inlineStr">
        <is>
          <t>外立面装修</t>
        </is>
      </c>
      <c r="I1734" s="69" t="inlineStr">
        <is>
          <t>1000021629</t>
        </is>
      </c>
      <c r="J1734" s="69" t="inlineStr">
        <is>
          <t>人造石贴面</t>
        </is>
      </c>
      <c r="K1734" s="70" t="n"/>
      <c r="L1734" s="70" t="n"/>
      <c r="M1734" s="71" t="inlineStr">
        <is>
          <t>m2</t>
        </is>
      </c>
      <c r="N1734" s="72" t="n">
        <v>1134.73</v>
      </c>
      <c r="O1734" s="72">
        <f>ROUND(N1734*(1+$F$10),2)</f>
        <v/>
      </c>
      <c r="P1734" s="73">
        <f>ROUND(K1734*N1734,2)</f>
        <v/>
      </c>
      <c r="Q1734" s="74">
        <f>ROUND(L1734*N1734,2)</f>
        <v/>
      </c>
      <c r="R1734" s="75" t="n"/>
      <c r="S1734" s="76" t="n"/>
      <c r="T1734" s="77">
        <f>K1734-L1734</f>
        <v/>
      </c>
      <c r="U1734" s="77">
        <f>P1734-Q1734</f>
        <v/>
      </c>
      <c r="V1734" s="77">
        <f>ABS(U1734)</f>
        <v/>
      </c>
      <c r="W1734" s="78">
        <f>T1734/L1734</f>
        <v/>
      </c>
      <c r="X1734" s="79">
        <f>ABS(W1734)</f>
        <v/>
      </c>
    </row>
    <row r="1735" ht="11.4" customHeight="1">
      <c r="A1735" s="67" t="inlineStr">
        <is>
          <t>大甜59</t>
        </is>
      </c>
      <c r="B1735" s="67" t="inlineStr">
        <is>
          <t>1057</t>
        </is>
      </c>
      <c r="C1735" s="67" t="inlineStr">
        <is>
          <t>1611</t>
        </is>
      </c>
      <c r="D1735" s="68" t="inlineStr">
        <is>
          <t>03</t>
        </is>
      </c>
      <c r="E1735" s="68" t="inlineStr">
        <is>
          <t>6 物业施工费</t>
        </is>
      </c>
      <c r="F1735" s="68" t="inlineStr">
        <is>
          <t>6.1 总承包工程</t>
        </is>
      </c>
      <c r="G1735" s="68" t="inlineStr">
        <is>
          <t>6.1.1 内部装修工程</t>
        </is>
      </c>
      <c r="H1735" s="68" t="inlineStr">
        <is>
          <t>外立面装修</t>
        </is>
      </c>
      <c r="I1735" s="69" t="inlineStr">
        <is>
          <t>1000021492</t>
        </is>
      </c>
      <c r="J1735" s="69" t="inlineStr">
        <is>
          <t>外墙塑铝板（新高丽）</t>
        </is>
      </c>
      <c r="K1735" s="70" t="n"/>
      <c r="L1735" s="70" t="n"/>
      <c r="M1735" s="71" t="inlineStr">
        <is>
          <t>m2</t>
        </is>
      </c>
      <c r="N1735" s="72" t="n">
        <v>464.59</v>
      </c>
      <c r="O1735" s="72">
        <f>ROUND(N1735*(1+$F$10),2)</f>
        <v/>
      </c>
      <c r="P1735" s="73">
        <f>ROUND(K1735*N1735,2)</f>
        <v/>
      </c>
      <c r="Q1735" s="74">
        <f>ROUND(L1735*N1735,2)</f>
        <v/>
      </c>
      <c r="R1735" s="75" t="n"/>
      <c r="S1735" s="76" t="n"/>
      <c r="T1735" s="77">
        <f>K1735-L1735</f>
        <v/>
      </c>
      <c r="U1735" s="77">
        <f>P1735-Q1735</f>
        <v/>
      </c>
      <c r="V1735" s="77">
        <f>ABS(U1735)</f>
        <v/>
      </c>
      <c r="W1735" s="78">
        <f>T1735/L1735</f>
        <v/>
      </c>
      <c r="X1735" s="79">
        <f>ABS(W1735)</f>
        <v/>
      </c>
    </row>
    <row r="1736" ht="11.4" customHeight="1">
      <c r="A1736" s="67" t="inlineStr">
        <is>
          <t>大甜59</t>
        </is>
      </c>
      <c r="B1736" s="67" t="inlineStr">
        <is>
          <t>1057</t>
        </is>
      </c>
      <c r="C1736" s="67" t="inlineStr">
        <is>
          <t>1611</t>
        </is>
      </c>
      <c r="D1736" s="68" t="inlineStr">
        <is>
          <t>03</t>
        </is>
      </c>
      <c r="E1736" s="68" t="inlineStr">
        <is>
          <t>6 物业施工费</t>
        </is>
      </c>
      <c r="F1736" s="68" t="inlineStr">
        <is>
          <t>6.1 总承包工程</t>
        </is>
      </c>
      <c r="G1736" s="68" t="inlineStr">
        <is>
          <t>6.1.1 内部装修工程</t>
        </is>
      </c>
      <c r="H1736" s="68" t="inlineStr">
        <is>
          <t>外立面装修</t>
        </is>
      </c>
      <c r="I1736" s="69" t="inlineStr">
        <is>
          <t>1000040125</t>
        </is>
      </c>
      <c r="J1736" s="69" t="inlineStr">
        <is>
          <t>外墙塑铝板（桂可道）</t>
        </is>
      </c>
      <c r="K1736" s="70" t="n"/>
      <c r="L1736" s="70" t="n"/>
      <c r="M1736" s="71" t="inlineStr">
        <is>
          <t>m2</t>
        </is>
      </c>
      <c r="N1736" s="72" t="n">
        <v>460.58</v>
      </c>
      <c r="O1736" s="72">
        <f>ROUND(N1736*(1+$F$10),2)</f>
        <v/>
      </c>
      <c r="P1736" s="73">
        <f>ROUND(K1736*N1736,2)</f>
        <v/>
      </c>
      <c r="Q1736" s="74">
        <f>ROUND(L1736*N1736,2)</f>
        <v/>
      </c>
      <c r="R1736" s="75" t="n"/>
      <c r="S1736" s="76" t="n"/>
      <c r="T1736" s="77">
        <f>K1736-L1736</f>
        <v/>
      </c>
      <c r="U1736" s="77">
        <f>P1736-Q1736</f>
        <v/>
      </c>
      <c r="V1736" s="77">
        <f>ABS(U1736)</f>
        <v/>
      </c>
      <c r="W1736" s="78">
        <f>T1736/L1736</f>
        <v/>
      </c>
      <c r="X1736" s="79">
        <f>ABS(W1736)</f>
        <v/>
      </c>
    </row>
    <row r="1737" ht="11.4" customHeight="1">
      <c r="A1737" s="67" t="inlineStr">
        <is>
          <t>大甜59</t>
        </is>
      </c>
      <c r="B1737" s="67" t="inlineStr">
        <is>
          <t>1057</t>
        </is>
      </c>
      <c r="C1737" s="67" t="inlineStr">
        <is>
          <t>1611</t>
        </is>
      </c>
      <c r="D1737" s="68" t="inlineStr">
        <is>
          <t>03</t>
        </is>
      </c>
      <c r="E1737" s="68" t="inlineStr">
        <is>
          <t>6 物业施工费</t>
        </is>
      </c>
      <c r="F1737" s="68" t="inlineStr">
        <is>
          <t>6.1 总承包工程</t>
        </is>
      </c>
      <c r="G1737" s="68" t="inlineStr">
        <is>
          <t>6.1.1 内部装修工程</t>
        </is>
      </c>
      <c r="H1737" s="68" t="inlineStr">
        <is>
          <t>外立面装修</t>
        </is>
      </c>
      <c r="I1737" s="69" t="inlineStr">
        <is>
          <t>1000040126</t>
        </is>
      </c>
      <c r="J1737" s="69" t="inlineStr">
        <is>
          <t>外墙塑铝板（标榜）</t>
        </is>
      </c>
      <c r="K1737" s="70" t="n"/>
      <c r="L1737" s="70" t="n"/>
      <c r="M1737" s="71" t="inlineStr">
        <is>
          <t>m2</t>
        </is>
      </c>
      <c r="N1737" s="72" t="n">
        <v>464.64</v>
      </c>
      <c r="O1737" s="72">
        <f>ROUND(N1737*(1+$F$10),2)</f>
        <v/>
      </c>
      <c r="P1737" s="73">
        <f>ROUND(K1737*N1737,2)</f>
        <v/>
      </c>
      <c r="Q1737" s="74">
        <f>ROUND(L1737*N1737,2)</f>
        <v/>
      </c>
      <c r="R1737" s="75" t="n"/>
      <c r="S1737" s="76" t="n"/>
      <c r="T1737" s="77">
        <f>K1737-L1737</f>
        <v/>
      </c>
      <c r="U1737" s="77">
        <f>P1737-Q1737</f>
        <v/>
      </c>
      <c r="V1737" s="77">
        <f>ABS(U1737)</f>
        <v/>
      </c>
      <c r="W1737" s="78">
        <f>T1737/L1737</f>
        <v/>
      </c>
      <c r="X1737" s="79">
        <f>ABS(W1737)</f>
        <v/>
      </c>
    </row>
    <row r="1738" ht="11.4" customHeight="1">
      <c r="A1738" s="67" t="inlineStr">
        <is>
          <t>大甜59</t>
        </is>
      </c>
      <c r="B1738" s="67" t="inlineStr">
        <is>
          <t>1057</t>
        </is>
      </c>
      <c r="C1738" s="67" t="inlineStr">
        <is>
          <t>1611</t>
        </is>
      </c>
      <c r="D1738" s="68" t="inlineStr">
        <is>
          <t>03</t>
        </is>
      </c>
      <c r="E1738" s="68" t="inlineStr">
        <is>
          <t>6 物业施工费</t>
        </is>
      </c>
      <c r="F1738" s="68" t="inlineStr">
        <is>
          <t>6.1 总承包工程</t>
        </is>
      </c>
      <c r="G1738" s="68" t="inlineStr">
        <is>
          <t>6.1.1 内部装修工程</t>
        </is>
      </c>
      <c r="H1738" s="68" t="inlineStr">
        <is>
          <t>外立面装修</t>
        </is>
      </c>
      <c r="I1738" s="69" t="inlineStr">
        <is>
          <t>1000022142</t>
        </is>
      </c>
      <c r="J1738" s="69" t="inlineStr">
        <is>
          <t>外墙花纹木纹铝塑板（Luna，A级防火）</t>
        </is>
      </c>
      <c r="K1738" s="70" t="n"/>
      <c r="L1738" s="70" t="n"/>
      <c r="M1738" s="71" t="inlineStr">
        <is>
          <t>m2</t>
        </is>
      </c>
      <c r="N1738" s="72" t="n">
        <v>887.74</v>
      </c>
      <c r="O1738" s="72">
        <f>ROUND(N1738*(1+$F$10),2)</f>
        <v/>
      </c>
      <c r="P1738" s="73">
        <f>ROUND(K1738*N1738,2)</f>
        <v/>
      </c>
      <c r="Q1738" s="74">
        <f>ROUND(L1738*N1738,2)</f>
        <v/>
      </c>
      <c r="R1738" s="75" t="n"/>
      <c r="S1738" s="76" t="n"/>
      <c r="T1738" s="77">
        <f>K1738-L1738</f>
        <v/>
      </c>
      <c r="U1738" s="77">
        <f>P1738-Q1738</f>
        <v/>
      </c>
      <c r="V1738" s="77">
        <f>ABS(U1738)</f>
        <v/>
      </c>
      <c r="W1738" s="78">
        <f>T1738/L1738</f>
        <v/>
      </c>
      <c r="X1738" s="79">
        <f>ABS(W1738)</f>
        <v/>
      </c>
    </row>
    <row r="1739" ht="11.4" customHeight="1">
      <c r="A1739" s="67" t="inlineStr">
        <is>
          <t>大甜59</t>
        </is>
      </c>
      <c r="B1739" s="67" t="inlineStr">
        <is>
          <t>1057</t>
        </is>
      </c>
      <c r="C1739" s="67" t="inlineStr">
        <is>
          <t>1611</t>
        </is>
      </c>
      <c r="D1739" s="68" t="inlineStr">
        <is>
          <t>03</t>
        </is>
      </c>
      <c r="E1739" s="68" t="inlineStr">
        <is>
          <t>6 物业施工费</t>
        </is>
      </c>
      <c r="F1739" s="68" t="inlineStr">
        <is>
          <t>6.1 总承包工程</t>
        </is>
      </c>
      <c r="G1739" s="68" t="inlineStr">
        <is>
          <t>6.1.1 内部装修工程</t>
        </is>
      </c>
      <c r="H1739" s="68" t="inlineStr">
        <is>
          <t>外立面装修</t>
        </is>
      </c>
      <c r="I1739" s="69" t="inlineStr">
        <is>
          <t>1000021792</t>
        </is>
      </c>
      <c r="J1739" s="69" t="inlineStr">
        <is>
          <t>外立面穿孔铝板安装</t>
        </is>
      </c>
      <c r="K1739" s="70" t="n"/>
      <c r="L1739" s="70" t="n"/>
      <c r="M1739" s="71" t="inlineStr">
        <is>
          <t>m2</t>
        </is>
      </c>
      <c r="N1739" s="72" t="n">
        <v>360.47</v>
      </c>
      <c r="O1739" s="72">
        <f>ROUND(N1739*(1+$F$10),2)</f>
        <v/>
      </c>
      <c r="P1739" s="73">
        <f>ROUND(K1739*N1739,2)</f>
        <v/>
      </c>
      <c r="Q1739" s="74">
        <f>ROUND(L1739*N1739,2)</f>
        <v/>
      </c>
      <c r="R1739" s="75" t="n"/>
      <c r="S1739" s="76" t="n"/>
      <c r="T1739" s="77">
        <f>K1739-L1739</f>
        <v/>
      </c>
      <c r="U1739" s="77">
        <f>P1739-Q1739</f>
        <v/>
      </c>
      <c r="V1739" s="77">
        <f>ABS(U1739)</f>
        <v/>
      </c>
      <c r="W1739" s="78">
        <f>T1739/L1739</f>
        <v/>
      </c>
      <c r="X1739" s="79">
        <f>ABS(W1739)</f>
        <v/>
      </c>
    </row>
    <row r="1740" ht="11.4" customHeight="1">
      <c r="A1740" s="67" t="inlineStr">
        <is>
          <t>大甜59</t>
        </is>
      </c>
      <c r="B1740" s="67" t="inlineStr">
        <is>
          <t>1057</t>
        </is>
      </c>
      <c r="C1740" s="67" t="inlineStr">
        <is>
          <t>1611</t>
        </is>
      </c>
      <c r="D1740" s="68" t="inlineStr">
        <is>
          <t>03</t>
        </is>
      </c>
      <c r="E1740" s="68" t="inlineStr">
        <is>
          <t>6 物业施工费</t>
        </is>
      </c>
      <c r="F1740" s="68" t="inlineStr">
        <is>
          <t>6.1 总承包工程</t>
        </is>
      </c>
      <c r="G1740" s="68" t="inlineStr">
        <is>
          <t>6.1.1 内部装修工程</t>
        </is>
      </c>
      <c r="H1740" s="68" t="inlineStr">
        <is>
          <t>外立面装修</t>
        </is>
      </c>
      <c r="I1740" s="69" t="inlineStr">
        <is>
          <t>1000021773</t>
        </is>
      </c>
      <c r="J1740" s="69" t="inlineStr">
        <is>
          <t>墙面基层（木工板或硅酸钙板）</t>
        </is>
      </c>
      <c r="K1740" s="70" t="n"/>
      <c r="L1740" s="70" t="n"/>
      <c r="M1740" s="71" t="inlineStr">
        <is>
          <t>m2</t>
        </is>
      </c>
      <c r="N1740" s="72" t="n">
        <v>114.06</v>
      </c>
      <c r="O1740" s="72">
        <f>ROUND(N1740*(1+$F$10),2)</f>
        <v/>
      </c>
      <c r="P1740" s="73">
        <f>ROUND(K1740*N1740,2)</f>
        <v/>
      </c>
      <c r="Q1740" s="74">
        <f>ROUND(L1740*N1740,2)</f>
        <v/>
      </c>
      <c r="R1740" s="75" t="n"/>
      <c r="S1740" s="76" t="n"/>
      <c r="T1740" s="77">
        <f>K1740-L1740</f>
        <v/>
      </c>
      <c r="U1740" s="77">
        <f>P1740-Q1740</f>
        <v/>
      </c>
      <c r="V1740" s="77">
        <f>ABS(U1740)</f>
        <v/>
      </c>
      <c r="W1740" s="78">
        <f>T1740/L1740</f>
        <v/>
      </c>
      <c r="X1740" s="79">
        <f>ABS(W1740)</f>
        <v/>
      </c>
    </row>
    <row r="1741" ht="11.4" customHeight="1">
      <c r="A1741" s="67" t="inlineStr">
        <is>
          <t>大甜59</t>
        </is>
      </c>
      <c r="B1741" s="67" t="inlineStr">
        <is>
          <t>1057</t>
        </is>
      </c>
      <c r="C1741" s="67" t="inlineStr">
        <is>
          <t>1611</t>
        </is>
      </c>
      <c r="D1741" s="68" t="inlineStr">
        <is>
          <t>03</t>
        </is>
      </c>
      <c r="E1741" s="68" t="inlineStr">
        <is>
          <t>6 物业施工费</t>
        </is>
      </c>
      <c r="F1741" s="68" t="inlineStr">
        <is>
          <t>6.1 总承包工程</t>
        </is>
      </c>
      <c r="G1741" s="68" t="inlineStr">
        <is>
          <t>6.1.1 内部装修工程</t>
        </is>
      </c>
      <c r="H1741" s="68" t="inlineStr">
        <is>
          <t>外立面装修</t>
        </is>
      </c>
      <c r="I1741" s="69" t="inlineStr">
        <is>
          <t>1000021494</t>
        </is>
      </c>
      <c r="J1741" s="69" t="inlineStr">
        <is>
          <t>纤维水泥板（室外）</t>
        </is>
      </c>
      <c r="K1741" s="70" t="n"/>
      <c r="L1741" s="70" t="n"/>
      <c r="M1741" s="71" t="inlineStr">
        <is>
          <t>m2</t>
        </is>
      </c>
      <c r="N1741" s="72" t="n">
        <v>392.72</v>
      </c>
      <c r="O1741" s="72">
        <f>ROUND(N1741*(1+$F$10),2)</f>
        <v/>
      </c>
      <c r="P1741" s="73">
        <f>ROUND(K1741*N1741,2)</f>
        <v/>
      </c>
      <c r="Q1741" s="74">
        <f>ROUND(L1741*N1741,2)</f>
        <v/>
      </c>
      <c r="R1741" s="75" t="n"/>
      <c r="S1741" s="76" t="n"/>
      <c r="T1741" s="77">
        <f>K1741-L1741</f>
        <v/>
      </c>
      <c r="U1741" s="77">
        <f>P1741-Q1741</f>
        <v/>
      </c>
      <c r="V1741" s="77">
        <f>ABS(U1741)</f>
        <v/>
      </c>
      <c r="W1741" s="78">
        <f>T1741/L1741</f>
        <v/>
      </c>
      <c r="X1741" s="79">
        <f>ABS(W1741)</f>
        <v/>
      </c>
    </row>
    <row r="1742" ht="11.4" customHeight="1">
      <c r="A1742" s="67" t="inlineStr">
        <is>
          <t>大甜59</t>
        </is>
      </c>
      <c r="B1742" s="67" t="inlineStr">
        <is>
          <t>1057</t>
        </is>
      </c>
      <c r="C1742" s="67" t="inlineStr">
        <is>
          <t>1611</t>
        </is>
      </c>
      <c r="D1742" s="68" t="inlineStr">
        <is>
          <t>03</t>
        </is>
      </c>
      <c r="E1742" s="68" t="inlineStr">
        <is>
          <t>6 物业施工费</t>
        </is>
      </c>
      <c r="F1742" s="68" t="inlineStr">
        <is>
          <t>6.1 总承包工程</t>
        </is>
      </c>
      <c r="G1742" s="68" t="inlineStr">
        <is>
          <t>6.1.1 内部装修工程</t>
        </is>
      </c>
      <c r="H1742" s="68" t="inlineStr">
        <is>
          <t>外立面装修</t>
        </is>
      </c>
      <c r="I1742" s="69" t="inlineStr">
        <is>
          <t>1000021493</t>
        </is>
      </c>
      <c r="J1742" s="69" t="inlineStr">
        <is>
          <t>镜面铝塑板（桂可道）</t>
        </is>
      </c>
      <c r="K1742" s="70" t="n"/>
      <c r="L1742" s="70" t="n"/>
      <c r="M1742" s="71" t="inlineStr">
        <is>
          <t>m2</t>
        </is>
      </c>
      <c r="N1742" s="72" t="n">
        <v>635.04</v>
      </c>
      <c r="O1742" s="72">
        <f>ROUND(N1742*(1+$F$10),2)</f>
        <v/>
      </c>
      <c r="P1742" s="73">
        <f>ROUND(K1742*N1742,2)</f>
        <v/>
      </c>
      <c r="Q1742" s="74">
        <f>ROUND(L1742*N1742,2)</f>
        <v/>
      </c>
      <c r="R1742" s="75" t="n"/>
      <c r="S1742" s="76" t="n"/>
      <c r="T1742" s="77">
        <f>K1742-L1742</f>
        <v/>
      </c>
      <c r="U1742" s="77">
        <f>P1742-Q1742</f>
        <v/>
      </c>
      <c r="V1742" s="77">
        <f>ABS(U1742)</f>
        <v/>
      </c>
      <c r="W1742" s="78">
        <f>T1742/L1742</f>
        <v/>
      </c>
      <c r="X1742" s="79">
        <f>ABS(W1742)</f>
        <v/>
      </c>
    </row>
    <row r="1743" ht="11.4" customHeight="1">
      <c r="A1743" s="67" t="inlineStr">
        <is>
          <t>大甜59</t>
        </is>
      </c>
      <c r="B1743" s="67" t="inlineStr">
        <is>
          <t>1057</t>
        </is>
      </c>
      <c r="C1743" s="67" t="inlineStr">
        <is>
          <t>1611</t>
        </is>
      </c>
      <c r="D1743" s="68" t="inlineStr">
        <is>
          <t>03</t>
        </is>
      </c>
      <c r="E1743" s="68" t="inlineStr">
        <is>
          <t>6 物业施工费</t>
        </is>
      </c>
      <c r="F1743" s="68" t="inlineStr">
        <is>
          <t>6.1 总承包工程</t>
        </is>
      </c>
      <c r="G1743" s="68" t="inlineStr">
        <is>
          <t>6.1.1 内部装修工程</t>
        </is>
      </c>
      <c r="H1743" s="68" t="inlineStr">
        <is>
          <t>外立面装修</t>
        </is>
      </c>
      <c r="I1743" s="69" t="inlineStr">
        <is>
          <t>1000040119</t>
        </is>
      </c>
      <c r="J1743" s="69" t="inlineStr">
        <is>
          <t>镜面铝塑板（标榜）</t>
        </is>
      </c>
      <c r="K1743" s="70" t="n"/>
      <c r="L1743" s="70" t="n"/>
      <c r="M1743" s="71" t="inlineStr">
        <is>
          <t>m2</t>
        </is>
      </c>
      <c r="N1743" s="72" t="n">
        <v>608.1</v>
      </c>
      <c r="O1743" s="72">
        <f>ROUND(N1743*(1+$F$10),2)</f>
        <v/>
      </c>
      <c r="P1743" s="73">
        <f>ROUND(K1743*N1743,2)</f>
        <v/>
      </c>
      <c r="Q1743" s="74">
        <f>ROUND(L1743*N1743,2)</f>
        <v/>
      </c>
      <c r="R1743" s="75" t="n"/>
      <c r="S1743" s="76" t="n"/>
      <c r="T1743" s="77">
        <f>K1743-L1743</f>
        <v/>
      </c>
      <c r="U1743" s="77">
        <f>P1743-Q1743</f>
        <v/>
      </c>
      <c r="V1743" s="77">
        <f>ABS(U1743)</f>
        <v/>
      </c>
      <c r="W1743" s="78">
        <f>T1743/L1743</f>
        <v/>
      </c>
      <c r="X1743" s="79">
        <f>ABS(W1743)</f>
        <v/>
      </c>
    </row>
    <row r="1744" ht="11.4" customHeight="1">
      <c r="A1744" s="67" t="inlineStr">
        <is>
          <t>大甜59</t>
        </is>
      </c>
      <c r="B1744" s="67" t="inlineStr">
        <is>
          <t>1057</t>
        </is>
      </c>
      <c r="C1744" s="67" t="inlineStr">
        <is>
          <t>1611</t>
        </is>
      </c>
      <c r="D1744" s="68" t="inlineStr">
        <is>
          <t>03</t>
        </is>
      </c>
      <c r="E1744" s="68" t="inlineStr">
        <is>
          <t>6 物业施工费</t>
        </is>
      </c>
      <c r="F1744" s="68" t="inlineStr">
        <is>
          <t>6.1 总承包工程</t>
        </is>
      </c>
      <c r="G1744" s="68" t="inlineStr">
        <is>
          <t>6.1.1 内部装修工程</t>
        </is>
      </c>
      <c r="H1744" s="68" t="inlineStr">
        <is>
          <t>外立面装修</t>
        </is>
      </c>
      <c r="I1744" s="69" t="inlineStr">
        <is>
          <t>1000021786</t>
        </is>
      </c>
      <c r="J1744" s="69" t="inlineStr">
        <is>
          <t>外立面纯铝板</t>
        </is>
      </c>
      <c r="K1744" s="70" t="n"/>
      <c r="L1744" s="70" t="n"/>
      <c r="M1744" s="71" t="inlineStr">
        <is>
          <t>m2</t>
        </is>
      </c>
      <c r="N1744" s="72" t="n">
        <v>727.77</v>
      </c>
      <c r="O1744" s="72">
        <f>ROUND(N1744*(1+$F$10),2)</f>
        <v/>
      </c>
      <c r="P1744" s="73">
        <f>ROUND(K1744*N1744,2)</f>
        <v/>
      </c>
      <c r="Q1744" s="74">
        <f>ROUND(L1744*N1744,2)</f>
        <v/>
      </c>
      <c r="R1744" s="75" t="n"/>
      <c r="S1744" s="76" t="n"/>
      <c r="T1744" s="77">
        <f>K1744-L1744</f>
        <v/>
      </c>
      <c r="U1744" s="77">
        <f>P1744-Q1744</f>
        <v/>
      </c>
      <c r="V1744" s="77">
        <f>ABS(U1744)</f>
        <v/>
      </c>
      <c r="W1744" s="78">
        <f>T1744/L1744</f>
        <v/>
      </c>
      <c r="X1744" s="79">
        <f>ABS(W1744)</f>
        <v/>
      </c>
    </row>
    <row r="1745" ht="11.4" customHeight="1">
      <c r="A1745" s="67" t="inlineStr">
        <is>
          <t>大甜59</t>
        </is>
      </c>
      <c r="B1745" s="67" t="inlineStr">
        <is>
          <t>1057</t>
        </is>
      </c>
      <c r="C1745" s="67" t="inlineStr">
        <is>
          <t>1611</t>
        </is>
      </c>
      <c r="D1745" s="68" t="inlineStr">
        <is>
          <t>03</t>
        </is>
      </c>
      <c r="E1745" s="68" t="inlineStr">
        <is>
          <t>6 物业施工费</t>
        </is>
      </c>
      <c r="F1745" s="68" t="inlineStr">
        <is>
          <t>6.1 总承包工程</t>
        </is>
      </c>
      <c r="G1745" s="68" t="inlineStr">
        <is>
          <t>6.1.1 内部装修工程</t>
        </is>
      </c>
      <c r="H1745" s="68" t="inlineStr">
        <is>
          <t>外立面装修</t>
        </is>
      </c>
      <c r="I1745" s="69" t="inlineStr">
        <is>
          <t>1000021793</t>
        </is>
      </c>
      <c r="J1745" s="69" t="inlineStr">
        <is>
          <t>外立面宣传画基层</t>
        </is>
      </c>
      <c r="K1745" s="70" t="n"/>
      <c r="L1745" s="70" t="n"/>
      <c r="M1745" s="71" t="inlineStr">
        <is>
          <t>m2</t>
        </is>
      </c>
      <c r="N1745" s="72" t="n">
        <v>234.97</v>
      </c>
      <c r="O1745" s="72">
        <f>ROUND(N1745*(1+$F$10),2)</f>
        <v/>
      </c>
      <c r="P1745" s="73">
        <f>ROUND(K1745*N1745,2)</f>
        <v/>
      </c>
      <c r="Q1745" s="74">
        <f>ROUND(L1745*N1745,2)</f>
        <v/>
      </c>
      <c r="R1745" s="75" t="n"/>
      <c r="S1745" s="76" t="n"/>
      <c r="T1745" s="77">
        <f>K1745-L1745</f>
        <v/>
      </c>
      <c r="U1745" s="77">
        <f>P1745-Q1745</f>
        <v/>
      </c>
      <c r="V1745" s="77">
        <f>ABS(U1745)</f>
        <v/>
      </c>
      <c r="W1745" s="78">
        <f>T1745/L1745</f>
        <v/>
      </c>
      <c r="X1745" s="79">
        <f>ABS(W1745)</f>
        <v/>
      </c>
    </row>
    <row r="1746" ht="11.4" customHeight="1">
      <c r="A1746" s="67" t="inlineStr">
        <is>
          <t>大甜59</t>
        </is>
      </c>
      <c r="B1746" s="67" t="inlineStr">
        <is>
          <t>1057</t>
        </is>
      </c>
      <c r="C1746" s="67" t="inlineStr">
        <is>
          <t>1611</t>
        </is>
      </c>
      <c r="D1746" s="68" t="inlineStr">
        <is>
          <t>03</t>
        </is>
      </c>
      <c r="E1746" s="68" t="inlineStr">
        <is>
          <t>6 物业施工费</t>
        </is>
      </c>
      <c r="F1746" s="68" t="inlineStr">
        <is>
          <t>6.1 总承包工程</t>
        </is>
      </c>
      <c r="G1746" s="68" t="inlineStr">
        <is>
          <t>6.1.1 内部装修工程</t>
        </is>
      </c>
      <c r="H1746" s="68" t="inlineStr">
        <is>
          <t>外立面装修</t>
        </is>
      </c>
      <c r="I1746" s="69" t="inlineStr">
        <is>
          <t>1000021459</t>
        </is>
      </c>
      <c r="J1746" s="69" t="inlineStr">
        <is>
          <t>门头内充保温棉（适用北区外立面）</t>
        </is>
      </c>
      <c r="K1746" s="70" t="n"/>
      <c r="L1746" s="70" t="n"/>
      <c r="M1746" s="71" t="inlineStr">
        <is>
          <t>m2</t>
        </is>
      </c>
      <c r="N1746" s="72" t="n">
        <v>60.18</v>
      </c>
      <c r="O1746" s="72">
        <f>ROUND(N1746*(1+$F$10),2)</f>
        <v/>
      </c>
      <c r="P1746" s="73">
        <f>ROUND(K1746*N1746,2)</f>
        <v/>
      </c>
      <c r="Q1746" s="74">
        <f>ROUND(L1746*N1746,2)</f>
        <v/>
      </c>
      <c r="R1746" s="75" t="n"/>
      <c r="S1746" s="76" t="n"/>
      <c r="T1746" s="77">
        <f>K1746-L1746</f>
        <v/>
      </c>
      <c r="U1746" s="77">
        <f>P1746-Q1746</f>
        <v/>
      </c>
      <c r="V1746" s="77">
        <f>ABS(U1746)</f>
        <v/>
      </c>
      <c r="W1746" s="78">
        <f>T1746/L1746</f>
        <v/>
      </c>
      <c r="X1746" s="79">
        <f>ABS(W1746)</f>
        <v/>
      </c>
    </row>
    <row r="1747" ht="11.4" customHeight="1">
      <c r="A1747" s="67" t="inlineStr">
        <is>
          <t>大甜59</t>
        </is>
      </c>
      <c r="B1747" s="67" t="inlineStr">
        <is>
          <t>1057</t>
        </is>
      </c>
      <c r="C1747" s="67" t="inlineStr">
        <is>
          <t>1611</t>
        </is>
      </c>
      <c r="D1747" s="68" t="inlineStr">
        <is>
          <t>03</t>
        </is>
      </c>
      <c r="E1747" s="68" t="inlineStr">
        <is>
          <t>6 物业施工费</t>
        </is>
      </c>
      <c r="F1747" s="68" t="inlineStr">
        <is>
          <t>6.1 总承包工程</t>
        </is>
      </c>
      <c r="G1747" s="68" t="inlineStr">
        <is>
          <t>6.1.1 内部装修工程</t>
        </is>
      </c>
      <c r="H1747" s="68" t="inlineStr">
        <is>
          <t>外立面装修</t>
        </is>
      </c>
      <c r="I1747" s="69" t="inlineStr">
        <is>
          <t>1000021794</t>
        </is>
      </c>
      <c r="J1747" s="69" t="inlineStr">
        <is>
          <t>外墙脚手架及吊篮（高于5米，低于9米）-按m2计</t>
        </is>
      </c>
      <c r="K1747" s="70" t="n"/>
      <c r="L1747" s="70" t="n"/>
      <c r="M1747" s="71" t="inlineStr">
        <is>
          <t>m2</t>
        </is>
      </c>
      <c r="N1747" s="72" t="n">
        <v>38</v>
      </c>
      <c r="O1747" s="72">
        <f>ROUND(N1747*(1+$F$10),2)</f>
        <v/>
      </c>
      <c r="P1747" s="73">
        <f>ROUND(K1747*N1747,2)</f>
        <v/>
      </c>
      <c r="Q1747" s="74">
        <f>ROUND(L1747*N1747,2)</f>
        <v/>
      </c>
      <c r="R1747" s="75" t="n"/>
      <c r="S1747" s="76" t="n"/>
      <c r="T1747" s="77">
        <f>K1747-L1747</f>
        <v/>
      </c>
      <c r="U1747" s="77">
        <f>P1747-Q1747</f>
        <v/>
      </c>
      <c r="V1747" s="77">
        <f>ABS(U1747)</f>
        <v/>
      </c>
      <c r="W1747" s="78">
        <f>T1747/L1747</f>
        <v/>
      </c>
      <c r="X1747" s="79">
        <f>ABS(W1747)</f>
        <v/>
      </c>
    </row>
    <row r="1748" ht="11.4" customHeight="1">
      <c r="A1748" s="67" t="inlineStr">
        <is>
          <t>大甜59</t>
        </is>
      </c>
      <c r="B1748" s="67" t="inlineStr">
        <is>
          <t>1057</t>
        </is>
      </c>
      <c r="C1748" s="67" t="inlineStr">
        <is>
          <t>1611</t>
        </is>
      </c>
      <c r="D1748" s="68" t="inlineStr">
        <is>
          <t>03</t>
        </is>
      </c>
      <c r="E1748" s="68" t="inlineStr">
        <is>
          <t>6 物业施工费</t>
        </is>
      </c>
      <c r="F1748" s="68" t="inlineStr">
        <is>
          <t>6.1 总承包工程</t>
        </is>
      </c>
      <c r="G1748" s="68" t="inlineStr">
        <is>
          <t>6.1.1 内部装修工程</t>
        </is>
      </c>
      <c r="H1748" s="68" t="inlineStr">
        <is>
          <t>外立面装修</t>
        </is>
      </c>
      <c r="I1748" s="69" t="inlineStr">
        <is>
          <t>1000021795</t>
        </is>
      </c>
      <c r="J1748" s="69" t="inlineStr">
        <is>
          <t>外墙脚手架及吊篮（高于9米）-按m2计</t>
        </is>
      </c>
      <c r="K1748" s="70" t="n"/>
      <c r="L1748" s="70" t="n"/>
      <c r="M1748" s="71" t="inlineStr">
        <is>
          <t>m2</t>
        </is>
      </c>
      <c r="N1748" s="72" t="n">
        <v>38</v>
      </c>
      <c r="O1748" s="72">
        <f>ROUND(N1748*(1+$F$10),2)</f>
        <v/>
      </c>
      <c r="P1748" s="73">
        <f>ROUND(K1748*N1748,2)</f>
        <v/>
      </c>
      <c r="Q1748" s="74">
        <f>ROUND(L1748*N1748,2)</f>
        <v/>
      </c>
      <c r="R1748" s="75" t="n"/>
      <c r="S1748" s="76" t="n"/>
      <c r="T1748" s="77">
        <f>K1748-L1748</f>
        <v/>
      </c>
      <c r="U1748" s="77">
        <f>P1748-Q1748</f>
        <v/>
      </c>
      <c r="V1748" s="77">
        <f>ABS(U1748)</f>
        <v/>
      </c>
      <c r="W1748" s="78">
        <f>T1748/L1748</f>
        <v/>
      </c>
      <c r="X1748" s="79">
        <f>ABS(W1748)</f>
        <v/>
      </c>
    </row>
    <row r="1749" ht="11.4" customHeight="1">
      <c r="A1749" s="67" t="inlineStr">
        <is>
          <t>大甜59</t>
        </is>
      </c>
      <c r="B1749" s="67" t="inlineStr">
        <is>
          <t>1057</t>
        </is>
      </c>
      <c r="C1749" s="67" t="inlineStr">
        <is>
          <t>1611</t>
        </is>
      </c>
      <c r="D1749" s="68" t="inlineStr">
        <is>
          <t>03</t>
        </is>
      </c>
      <c r="E1749" s="68" t="inlineStr">
        <is>
          <t>6 物业施工费</t>
        </is>
      </c>
      <c r="F1749" s="68" t="inlineStr">
        <is>
          <t>6.1 总承包工程</t>
        </is>
      </c>
      <c r="G1749" s="68" t="inlineStr">
        <is>
          <t>6.1.1 内部装修工程</t>
        </is>
      </c>
      <c r="H1749" s="68" t="inlineStr">
        <is>
          <t>外立面装修</t>
        </is>
      </c>
      <c r="I1749" s="69" t="inlineStr">
        <is>
          <t>1000021630</t>
        </is>
      </c>
      <c r="J1749" s="69" t="inlineStr">
        <is>
          <t>外立面墙面砖（琛雄）</t>
        </is>
      </c>
      <c r="K1749" s="70" t="n"/>
      <c r="L1749" s="70" t="n"/>
      <c r="M1749" s="71" t="inlineStr">
        <is>
          <t>m2</t>
        </is>
      </c>
      <c r="N1749" s="72" t="n">
        <v>167.98</v>
      </c>
      <c r="O1749" s="72">
        <f>ROUND(N1749*(1+$F$10),2)</f>
        <v/>
      </c>
      <c r="P1749" s="73">
        <f>ROUND(K1749*N1749,2)</f>
        <v/>
      </c>
      <c r="Q1749" s="74">
        <f>ROUND(L1749*N1749,2)</f>
        <v/>
      </c>
      <c r="R1749" s="75" t="n"/>
      <c r="S1749" s="76" t="n"/>
      <c r="T1749" s="77">
        <f>K1749-L1749</f>
        <v/>
      </c>
      <c r="U1749" s="77">
        <f>P1749-Q1749</f>
        <v/>
      </c>
      <c r="V1749" s="77">
        <f>ABS(U1749)</f>
        <v/>
      </c>
      <c r="W1749" s="78">
        <f>T1749/L1749</f>
        <v/>
      </c>
      <c r="X1749" s="79">
        <f>ABS(W1749)</f>
        <v/>
      </c>
    </row>
    <row r="1750" ht="11.4" customHeight="1">
      <c r="A1750" s="67" t="inlineStr">
        <is>
          <t>大甜59</t>
        </is>
      </c>
      <c r="B1750" s="67" t="inlineStr">
        <is>
          <t>1057</t>
        </is>
      </c>
      <c r="C1750" s="67" t="inlineStr">
        <is>
          <t>1611</t>
        </is>
      </c>
      <c r="D1750" s="68" t="inlineStr">
        <is>
          <t>03</t>
        </is>
      </c>
      <c r="E1750" s="68" t="inlineStr">
        <is>
          <t>6 物业施工费</t>
        </is>
      </c>
      <c r="F1750" s="68" t="inlineStr">
        <is>
          <t>6.1 总承包工程</t>
        </is>
      </c>
      <c r="G1750" s="68" t="inlineStr">
        <is>
          <t>6.1.1 内部装修工程</t>
        </is>
      </c>
      <c r="H1750" s="68" t="inlineStr">
        <is>
          <t>外立面装修</t>
        </is>
      </c>
      <c r="I1750" s="69" t="inlineStr">
        <is>
          <t>1000021646</t>
        </is>
      </c>
      <c r="J1750" s="69" t="inlineStr">
        <is>
          <t>外立面墙面砖（共荣）</t>
        </is>
      </c>
      <c r="K1750" s="70" t="n"/>
      <c r="L1750" s="70" t="n"/>
      <c r="M1750" s="71" t="inlineStr">
        <is>
          <t>m2</t>
        </is>
      </c>
      <c r="N1750" s="72" t="n">
        <v>147.41</v>
      </c>
      <c r="O1750" s="72">
        <f>ROUND(N1750*(1+$F$10),2)</f>
        <v/>
      </c>
      <c r="P1750" s="73">
        <f>ROUND(K1750*N1750,2)</f>
        <v/>
      </c>
      <c r="Q1750" s="74">
        <f>ROUND(L1750*N1750,2)</f>
        <v/>
      </c>
      <c r="R1750" s="75" t="n"/>
      <c r="S1750" s="76" t="n"/>
      <c r="T1750" s="77">
        <f>K1750-L1750</f>
        <v/>
      </c>
      <c r="U1750" s="77">
        <f>P1750-Q1750</f>
        <v/>
      </c>
      <c r="V1750" s="77">
        <f>ABS(U1750)</f>
        <v/>
      </c>
      <c r="W1750" s="78">
        <f>T1750/L1750</f>
        <v/>
      </c>
      <c r="X1750" s="79">
        <f>ABS(W1750)</f>
        <v/>
      </c>
    </row>
    <row r="1751" ht="11.4" customHeight="1">
      <c r="A1751" s="67" t="inlineStr">
        <is>
          <t>大甜59</t>
        </is>
      </c>
      <c r="B1751" s="67" t="inlineStr">
        <is>
          <t>1057</t>
        </is>
      </c>
      <c r="C1751" s="67" t="inlineStr">
        <is>
          <t>1611</t>
        </is>
      </c>
      <c r="D1751" s="68" t="inlineStr">
        <is>
          <t>03</t>
        </is>
      </c>
      <c r="E1751" s="68" t="inlineStr">
        <is>
          <t>6 物业施工费</t>
        </is>
      </c>
      <c r="F1751" s="68" t="inlineStr">
        <is>
          <t>6.1 总承包工程</t>
        </is>
      </c>
      <c r="G1751" s="68" t="inlineStr">
        <is>
          <t>6.1.1 内部装修工程</t>
        </is>
      </c>
      <c r="H1751" s="68" t="inlineStr">
        <is>
          <t>外立面装修</t>
        </is>
      </c>
      <c r="I1751" s="69" t="inlineStr">
        <is>
          <t>1000021631</t>
        </is>
      </c>
      <c r="J1751" s="69" t="inlineStr">
        <is>
          <t>外立面墙面砖（冠军）</t>
        </is>
      </c>
      <c r="K1751" s="70" t="n"/>
      <c r="L1751" s="70" t="n"/>
      <c r="M1751" s="71" t="inlineStr">
        <is>
          <t>m2</t>
        </is>
      </c>
      <c r="N1751" s="72" t="n">
        <v>169.19</v>
      </c>
      <c r="O1751" s="72">
        <f>ROUND(N1751*(1+$F$10),2)</f>
        <v/>
      </c>
      <c r="P1751" s="73">
        <f>ROUND(K1751*N1751,2)</f>
        <v/>
      </c>
      <c r="Q1751" s="74">
        <f>ROUND(L1751*N1751,2)</f>
        <v/>
      </c>
      <c r="R1751" s="75" t="n"/>
      <c r="S1751" s="76" t="n"/>
      <c r="T1751" s="77">
        <f>K1751-L1751</f>
        <v/>
      </c>
      <c r="U1751" s="77">
        <f>P1751-Q1751</f>
        <v/>
      </c>
      <c r="V1751" s="77">
        <f>ABS(U1751)</f>
        <v/>
      </c>
      <c r="W1751" s="78">
        <f>T1751/L1751</f>
        <v/>
      </c>
      <c r="X1751" s="79">
        <f>ABS(W1751)</f>
        <v/>
      </c>
    </row>
    <row r="1752" ht="11.4" customHeight="1">
      <c r="A1752" s="67" t="inlineStr">
        <is>
          <t>大甜59</t>
        </is>
      </c>
      <c r="B1752" s="67" t="inlineStr">
        <is>
          <t>1057</t>
        </is>
      </c>
      <c r="C1752" s="67" t="inlineStr">
        <is>
          <t>1611</t>
        </is>
      </c>
      <c r="D1752" s="68" t="inlineStr">
        <is>
          <t>03</t>
        </is>
      </c>
      <c r="E1752" s="68" t="inlineStr">
        <is>
          <t>6 物业施工费</t>
        </is>
      </c>
      <c r="F1752" s="68" t="inlineStr">
        <is>
          <t>6.1 总承包工程</t>
        </is>
      </c>
      <c r="G1752" s="68" t="inlineStr">
        <is>
          <t>6.1.1 内部装修工程</t>
        </is>
      </c>
      <c r="H1752" s="68" t="inlineStr">
        <is>
          <t>外立面装修</t>
        </is>
      </c>
      <c r="I1752" s="69" t="inlineStr">
        <is>
          <t>1000021479</t>
        </is>
      </c>
      <c r="J1752" s="69" t="inlineStr">
        <is>
          <t>小青砖（琛雄）</t>
        </is>
      </c>
      <c r="K1752" s="70" t="n"/>
      <c r="L1752" s="70" t="n"/>
      <c r="M1752" s="71" t="inlineStr">
        <is>
          <t>m2</t>
        </is>
      </c>
      <c r="N1752" s="72" t="n">
        <v>206.06</v>
      </c>
      <c r="O1752" s="72">
        <f>ROUND(N1752*(1+$F$10),2)</f>
        <v/>
      </c>
      <c r="P1752" s="73">
        <f>ROUND(K1752*N1752,2)</f>
        <v/>
      </c>
      <c r="Q1752" s="74">
        <f>ROUND(L1752*N1752,2)</f>
        <v/>
      </c>
      <c r="R1752" s="75" t="n"/>
      <c r="S1752" s="76" t="n"/>
      <c r="T1752" s="77">
        <f>K1752-L1752</f>
        <v/>
      </c>
      <c r="U1752" s="77">
        <f>P1752-Q1752</f>
        <v/>
      </c>
      <c r="V1752" s="77">
        <f>ABS(U1752)</f>
        <v/>
      </c>
      <c r="W1752" s="78">
        <f>T1752/L1752</f>
        <v/>
      </c>
      <c r="X1752" s="79">
        <f>ABS(W1752)</f>
        <v/>
      </c>
    </row>
    <row r="1753" ht="11.4" customHeight="1">
      <c r="A1753" s="67" t="inlineStr">
        <is>
          <t>大甜59</t>
        </is>
      </c>
      <c r="B1753" s="67" t="inlineStr">
        <is>
          <t>1057</t>
        </is>
      </c>
      <c r="C1753" s="67" t="inlineStr">
        <is>
          <t>1611</t>
        </is>
      </c>
      <c r="D1753" s="68" t="inlineStr">
        <is>
          <t>03</t>
        </is>
      </c>
      <c r="E1753" s="68" t="inlineStr">
        <is>
          <t>6 物业施工费</t>
        </is>
      </c>
      <c r="F1753" s="68" t="inlineStr">
        <is>
          <t>6.1 总承包工程</t>
        </is>
      </c>
      <c r="G1753" s="68" t="inlineStr">
        <is>
          <t>6.1.1 内部装修工程</t>
        </is>
      </c>
      <c r="H1753" s="68" t="inlineStr">
        <is>
          <t>外立面装修</t>
        </is>
      </c>
      <c r="I1753" s="69" t="inlineStr">
        <is>
          <t>1000021480</t>
        </is>
      </c>
      <c r="J1753" s="69" t="inlineStr">
        <is>
          <t>小青砖（共荣）</t>
        </is>
      </c>
      <c r="K1753" s="70" t="n"/>
      <c r="L1753" s="70" t="n"/>
      <c r="M1753" s="71" t="inlineStr">
        <is>
          <t>m2</t>
        </is>
      </c>
      <c r="N1753" s="72" t="n">
        <v>193.96</v>
      </c>
      <c r="O1753" s="72">
        <f>ROUND(N1753*(1+$F$10),2)</f>
        <v/>
      </c>
      <c r="P1753" s="73">
        <f>ROUND(K1753*N1753,2)</f>
        <v/>
      </c>
      <c r="Q1753" s="74">
        <f>ROUND(L1753*N1753,2)</f>
        <v/>
      </c>
      <c r="R1753" s="75" t="n"/>
      <c r="S1753" s="76" t="n"/>
      <c r="T1753" s="77">
        <f>K1753-L1753</f>
        <v/>
      </c>
      <c r="U1753" s="77">
        <f>P1753-Q1753</f>
        <v/>
      </c>
      <c r="V1753" s="77">
        <f>ABS(U1753)</f>
        <v/>
      </c>
      <c r="W1753" s="78">
        <f>T1753/L1753</f>
        <v/>
      </c>
      <c r="X1753" s="79">
        <f>ABS(W1753)</f>
        <v/>
      </c>
    </row>
    <row r="1754" ht="11.4" customHeight="1">
      <c r="A1754" s="67" t="inlineStr">
        <is>
          <t>大甜59</t>
        </is>
      </c>
      <c r="B1754" s="67" t="inlineStr">
        <is>
          <t>1057</t>
        </is>
      </c>
      <c r="C1754" s="67" t="inlineStr">
        <is>
          <t>1611</t>
        </is>
      </c>
      <c r="D1754" s="68" t="inlineStr">
        <is>
          <t>03</t>
        </is>
      </c>
      <c r="E1754" s="68" t="inlineStr">
        <is>
          <t>6 物业施工费</t>
        </is>
      </c>
      <c r="F1754" s="68" t="inlineStr">
        <is>
          <t>6.1 总承包工程</t>
        </is>
      </c>
      <c r="G1754" s="68" t="inlineStr">
        <is>
          <t>6.1.1 内部装修工程</t>
        </is>
      </c>
      <c r="H1754" s="68" t="inlineStr">
        <is>
          <t>外立面装修</t>
        </is>
      </c>
      <c r="I1754" s="69" t="inlineStr">
        <is>
          <t>1000021697</t>
        </is>
      </c>
      <c r="J1754" s="69" t="inlineStr">
        <is>
          <t>小青砖（冠军）</t>
        </is>
      </c>
      <c r="K1754" s="70" t="n"/>
      <c r="L1754" s="70" t="n"/>
      <c r="M1754" s="71" t="inlineStr">
        <is>
          <t>m2</t>
        </is>
      </c>
      <c r="N1754" s="72" t="n">
        <v>215.74</v>
      </c>
      <c r="O1754" s="72">
        <f>ROUND(N1754*(1+$F$10),2)</f>
        <v/>
      </c>
      <c r="P1754" s="73">
        <f>ROUND(K1754*N1754,2)</f>
        <v/>
      </c>
      <c r="Q1754" s="74">
        <f>ROUND(L1754*N1754,2)</f>
        <v/>
      </c>
      <c r="R1754" s="75" t="n"/>
      <c r="S1754" s="76" t="n"/>
      <c r="T1754" s="77">
        <f>K1754-L1754</f>
        <v/>
      </c>
      <c r="U1754" s="77">
        <f>P1754-Q1754</f>
        <v/>
      </c>
      <c r="V1754" s="77">
        <f>ABS(U1754)</f>
        <v/>
      </c>
      <c r="W1754" s="78">
        <f>T1754/L1754</f>
        <v/>
      </c>
      <c r="X1754" s="79">
        <f>ABS(W1754)</f>
        <v/>
      </c>
    </row>
    <row r="1755" ht="11.4" customHeight="1">
      <c r="A1755" s="67" t="inlineStr">
        <is>
          <t>大甜59</t>
        </is>
      </c>
      <c r="B1755" s="67" t="inlineStr">
        <is>
          <t>1057</t>
        </is>
      </c>
      <c r="C1755" s="67" t="inlineStr">
        <is>
          <t>1611</t>
        </is>
      </c>
      <c r="D1755" s="68" t="inlineStr">
        <is>
          <t>03</t>
        </is>
      </c>
      <c r="E1755" s="68" t="inlineStr">
        <is>
          <t>6 物业施工费</t>
        </is>
      </c>
      <c r="F1755" s="68" t="inlineStr">
        <is>
          <t>6.1 总承包工程</t>
        </is>
      </c>
      <c r="G1755" s="68" t="inlineStr">
        <is>
          <t>6.1.1 内部装修工程</t>
        </is>
      </c>
      <c r="H1755" s="68" t="inlineStr">
        <is>
          <t>厨房墙面（不含员休室）</t>
        </is>
      </c>
      <c r="I1755" s="69" t="inlineStr">
        <is>
          <t>1000021636</t>
        </is>
      </c>
      <c r="J1755" s="69" t="inlineStr">
        <is>
          <t>150*75mm二三窗墙面砖（琛雄）</t>
        </is>
      </c>
      <c r="K1755" s="70" t="n"/>
      <c r="L1755" s="70" t="n"/>
      <c r="M1755" s="71" t="inlineStr">
        <is>
          <t>m2</t>
        </is>
      </c>
      <c r="N1755" s="72" t="n">
        <v>209.13</v>
      </c>
      <c r="O1755" s="72">
        <f>ROUND(N1755*(1+$F$10),2)</f>
        <v/>
      </c>
      <c r="P1755" s="73">
        <f>ROUND(K1755*N1755,2)</f>
        <v/>
      </c>
      <c r="Q1755" s="74">
        <f>ROUND(L1755*N1755,2)</f>
        <v/>
      </c>
      <c r="R1755" s="75" t="n"/>
      <c r="S1755" s="76" t="n"/>
      <c r="T1755" s="77">
        <f>K1755-L1755</f>
        <v/>
      </c>
      <c r="U1755" s="77">
        <f>P1755-Q1755</f>
        <v/>
      </c>
      <c r="V1755" s="77">
        <f>ABS(U1755)</f>
        <v/>
      </c>
      <c r="W1755" s="78">
        <f>T1755/L1755</f>
        <v/>
      </c>
      <c r="X1755" s="79">
        <f>ABS(W1755)</f>
        <v/>
      </c>
    </row>
    <row r="1756" ht="11.4" customHeight="1">
      <c r="A1756" s="67" t="inlineStr">
        <is>
          <t>大甜59</t>
        </is>
      </c>
      <c r="B1756" s="67" t="inlineStr">
        <is>
          <t>1057</t>
        </is>
      </c>
      <c r="C1756" s="67" t="inlineStr">
        <is>
          <t>1611</t>
        </is>
      </c>
      <c r="D1756" s="68" t="inlineStr">
        <is>
          <t>03</t>
        </is>
      </c>
      <c r="E1756" s="68" t="inlineStr">
        <is>
          <t>6 物业施工费</t>
        </is>
      </c>
      <c r="F1756" s="68" t="inlineStr">
        <is>
          <t>6.1 总承包工程</t>
        </is>
      </c>
      <c r="G1756" s="68" t="inlineStr">
        <is>
          <t>6.1.1 内部装修工程</t>
        </is>
      </c>
      <c r="H1756" s="68" t="inlineStr">
        <is>
          <t>厨房墙面（不含员休室）</t>
        </is>
      </c>
      <c r="I1756" s="69" t="inlineStr">
        <is>
          <t>1000021647</t>
        </is>
      </c>
      <c r="J1756" s="69" t="inlineStr">
        <is>
          <t>150*75mm二三窗墙面砖（共荣）</t>
        </is>
      </c>
      <c r="K1756" s="70" t="n"/>
      <c r="L1756" s="70" t="n"/>
      <c r="M1756" s="71" t="inlineStr">
        <is>
          <t>m2</t>
        </is>
      </c>
      <c r="N1756" s="72" t="n">
        <v>203.08</v>
      </c>
      <c r="O1756" s="72">
        <f>ROUND(N1756*(1+$F$10),2)</f>
        <v/>
      </c>
      <c r="P1756" s="73">
        <f>ROUND(K1756*N1756,2)</f>
        <v/>
      </c>
      <c r="Q1756" s="74">
        <f>ROUND(L1756*N1756,2)</f>
        <v/>
      </c>
      <c r="R1756" s="75" t="n"/>
      <c r="S1756" s="76" t="n"/>
      <c r="T1756" s="77">
        <f>K1756-L1756</f>
        <v/>
      </c>
      <c r="U1756" s="77">
        <f>P1756-Q1756</f>
        <v/>
      </c>
      <c r="V1756" s="77">
        <f>ABS(U1756)</f>
        <v/>
      </c>
      <c r="W1756" s="78">
        <f>T1756/L1756</f>
        <v/>
      </c>
      <c r="X1756" s="79">
        <f>ABS(W1756)</f>
        <v/>
      </c>
    </row>
    <row r="1757" ht="11.4" customHeight="1">
      <c r="A1757" s="67" t="inlineStr">
        <is>
          <t>大甜59</t>
        </is>
      </c>
      <c r="B1757" s="67" t="inlineStr">
        <is>
          <t>1057</t>
        </is>
      </c>
      <c r="C1757" s="67" t="inlineStr">
        <is>
          <t>1611</t>
        </is>
      </c>
      <c r="D1757" s="68" t="inlineStr">
        <is>
          <t>03</t>
        </is>
      </c>
      <c r="E1757" s="68" t="inlineStr">
        <is>
          <t>6 物业施工费</t>
        </is>
      </c>
      <c r="F1757" s="68" t="inlineStr">
        <is>
          <t>6.1 总承包工程</t>
        </is>
      </c>
      <c r="G1757" s="68" t="inlineStr">
        <is>
          <t>6.1.1 内部装修工程</t>
        </is>
      </c>
      <c r="H1757" s="68" t="inlineStr">
        <is>
          <t>厨房墙面（不含员休室）</t>
        </is>
      </c>
      <c r="I1757" s="69" t="inlineStr">
        <is>
          <t>1000021495</t>
        </is>
      </c>
      <c r="J1757" s="69" t="inlineStr">
        <is>
          <t>150*75mm二三窗墙面砖（冠军）</t>
        </is>
      </c>
      <c r="K1757" s="70" t="n"/>
      <c r="L1757" s="70" t="n"/>
      <c r="M1757" s="71" t="inlineStr">
        <is>
          <t>m2</t>
        </is>
      </c>
      <c r="N1757" s="72" t="n">
        <v>209.13</v>
      </c>
      <c r="O1757" s="72">
        <f>ROUND(N1757*(1+$F$10),2)</f>
        <v/>
      </c>
      <c r="P1757" s="73">
        <f>ROUND(K1757*N1757,2)</f>
        <v/>
      </c>
      <c r="Q1757" s="74">
        <f>ROUND(L1757*N1757,2)</f>
        <v/>
      </c>
      <c r="R1757" s="75" t="n"/>
      <c r="S1757" s="76" t="n"/>
      <c r="T1757" s="77">
        <f>K1757-L1757</f>
        <v/>
      </c>
      <c r="U1757" s="77">
        <f>P1757-Q1757</f>
        <v/>
      </c>
      <c r="V1757" s="77">
        <f>ABS(U1757)</f>
        <v/>
      </c>
      <c r="W1757" s="78">
        <f>T1757/L1757</f>
        <v/>
      </c>
      <c r="X1757" s="79">
        <f>ABS(W1757)</f>
        <v/>
      </c>
    </row>
    <row r="1758" ht="11.4" customHeight="1">
      <c r="A1758" s="67" t="inlineStr">
        <is>
          <t>大甜59</t>
        </is>
      </c>
      <c r="B1758" s="67" t="inlineStr">
        <is>
          <t>1057</t>
        </is>
      </c>
      <c r="C1758" s="67" t="inlineStr">
        <is>
          <t>1611</t>
        </is>
      </c>
      <c r="D1758" s="68" t="inlineStr">
        <is>
          <t>03</t>
        </is>
      </c>
      <c r="E1758" s="68" t="inlineStr">
        <is>
          <t>6 物业施工费</t>
        </is>
      </c>
      <c r="F1758" s="68" t="inlineStr">
        <is>
          <t>6.1 总承包工程</t>
        </is>
      </c>
      <c r="G1758" s="68" t="inlineStr">
        <is>
          <t>6.1.1 内部装修工程</t>
        </is>
      </c>
      <c r="H1758" s="68" t="inlineStr">
        <is>
          <t>外立面装修</t>
        </is>
      </c>
      <c r="I1758" s="69" t="inlineStr">
        <is>
          <t>1000021496</t>
        </is>
      </c>
      <c r="J1758" s="69" t="inlineStr">
        <is>
          <t>仿木外墙装饰条</t>
        </is>
      </c>
      <c r="K1758" s="70" t="n"/>
      <c r="L1758" s="70" t="n"/>
      <c r="M1758" s="71" t="inlineStr">
        <is>
          <t>m2</t>
        </is>
      </c>
      <c r="N1758" s="72" t="n">
        <v>660.97</v>
      </c>
      <c r="O1758" s="72">
        <f>ROUND(N1758*(1+$F$10),2)</f>
        <v/>
      </c>
      <c r="P1758" s="73">
        <f>ROUND(K1758*N1758,2)</f>
        <v/>
      </c>
      <c r="Q1758" s="74">
        <f>ROUND(L1758*N1758,2)</f>
        <v/>
      </c>
      <c r="R1758" s="75" t="n"/>
      <c r="S1758" s="76" t="n"/>
      <c r="T1758" s="77">
        <f>K1758-L1758</f>
        <v/>
      </c>
      <c r="U1758" s="77">
        <f>P1758-Q1758</f>
        <v/>
      </c>
      <c r="V1758" s="77">
        <f>ABS(U1758)</f>
        <v/>
      </c>
      <c r="W1758" s="78">
        <f>T1758/L1758</f>
        <v/>
      </c>
      <c r="X1758" s="79">
        <f>ABS(W1758)</f>
        <v/>
      </c>
    </row>
    <row r="1759" ht="11.4" customHeight="1">
      <c r="A1759" s="67" t="inlineStr">
        <is>
          <t>大甜59</t>
        </is>
      </c>
      <c r="B1759" s="67" t="inlineStr">
        <is>
          <t>1057</t>
        </is>
      </c>
      <c r="C1759" s="67" t="inlineStr">
        <is>
          <t>1611</t>
        </is>
      </c>
      <c r="D1759" s="68" t="inlineStr">
        <is>
          <t>03</t>
        </is>
      </c>
      <c r="E1759" s="68" t="inlineStr">
        <is>
          <t>6 物业施工费</t>
        </is>
      </c>
      <c r="F1759" s="68" t="inlineStr">
        <is>
          <t>6.1 总承包工程</t>
        </is>
      </c>
      <c r="G1759" s="68" t="inlineStr">
        <is>
          <t>6.1.1 内部装修工程</t>
        </is>
      </c>
      <c r="H1759" s="68" t="inlineStr">
        <is>
          <t>外立面装修</t>
        </is>
      </c>
      <c r="I1759" s="69" t="inlineStr">
        <is>
          <t>1000021497</t>
        </is>
      </c>
      <c r="J1759" s="69" t="inlineStr">
        <is>
          <t>仿木外墙装饰条（非标，按米计）</t>
        </is>
      </c>
      <c r="K1759" s="70" t="n"/>
      <c r="L1759" s="70" t="n"/>
      <c r="M1759" s="71" t="inlineStr">
        <is>
          <t>米</t>
        </is>
      </c>
      <c r="N1759" s="72" t="n">
        <v>68.09999999999999</v>
      </c>
      <c r="O1759" s="72">
        <f>ROUND(N1759*(1+$F$10),2)</f>
        <v/>
      </c>
      <c r="P1759" s="73">
        <f>ROUND(K1759*N1759,2)</f>
        <v/>
      </c>
      <c r="Q1759" s="74">
        <f>ROUND(L1759*N1759,2)</f>
        <v/>
      </c>
      <c r="R1759" s="75" t="n"/>
      <c r="S1759" s="76" t="n"/>
      <c r="T1759" s="77">
        <f>K1759-L1759</f>
        <v/>
      </c>
      <c r="U1759" s="77">
        <f>P1759-Q1759</f>
        <v/>
      </c>
      <c r="V1759" s="77">
        <f>ABS(U1759)</f>
        <v/>
      </c>
      <c r="W1759" s="78">
        <f>T1759/L1759</f>
        <v/>
      </c>
      <c r="X1759" s="79">
        <f>ABS(W1759)</f>
        <v/>
      </c>
    </row>
    <row r="1760" ht="11.4" customHeight="1">
      <c r="A1760" s="67" t="inlineStr">
        <is>
          <t>大甜59</t>
        </is>
      </c>
      <c r="B1760" s="67" t="inlineStr">
        <is>
          <t>1057</t>
        </is>
      </c>
      <c r="C1760" s="67" t="inlineStr">
        <is>
          <t>1611</t>
        </is>
      </c>
      <c r="D1760" s="68" t="inlineStr">
        <is>
          <t>03</t>
        </is>
      </c>
      <c r="E1760" s="68" t="inlineStr">
        <is>
          <t>6 物业施工费</t>
        </is>
      </c>
      <c r="F1760" s="68" t="inlineStr">
        <is>
          <t>6.1 总承包工程</t>
        </is>
      </c>
      <c r="G1760" s="68" t="inlineStr">
        <is>
          <t>6.1.1 内部装修工程</t>
        </is>
      </c>
      <c r="H1760" s="68" t="inlineStr">
        <is>
          <t>外立面装修</t>
        </is>
      </c>
      <c r="I1760" s="69" t="inlineStr">
        <is>
          <t>1000021498</t>
        </is>
      </c>
      <c r="J1760" s="69" t="inlineStr">
        <is>
          <t>外立面乳胶漆</t>
        </is>
      </c>
      <c r="K1760" s="70" t="n"/>
      <c r="L1760" s="70" t="n"/>
      <c r="M1760" s="71" t="inlineStr">
        <is>
          <t>m2</t>
        </is>
      </c>
      <c r="N1760" s="72" t="n">
        <v>135.83</v>
      </c>
      <c r="O1760" s="72">
        <f>ROUND(N1760*(1+$F$10),2)</f>
        <v/>
      </c>
      <c r="P1760" s="73">
        <f>ROUND(K1760*N1760,2)</f>
        <v/>
      </c>
      <c r="Q1760" s="74">
        <f>ROUND(L1760*N1760,2)</f>
        <v/>
      </c>
      <c r="R1760" s="75" t="n"/>
      <c r="S1760" s="76" t="n"/>
      <c r="T1760" s="77">
        <f>K1760-L1760</f>
        <v/>
      </c>
      <c r="U1760" s="77">
        <f>P1760-Q1760</f>
        <v/>
      </c>
      <c r="V1760" s="77">
        <f>ABS(U1760)</f>
        <v/>
      </c>
      <c r="W1760" s="78">
        <f>T1760/L1760</f>
        <v/>
      </c>
      <c r="X1760" s="79">
        <f>ABS(W1760)</f>
        <v/>
      </c>
    </row>
    <row r="1761" ht="11.4" customHeight="1">
      <c r="A1761" s="67" t="inlineStr">
        <is>
          <t>大甜59</t>
        </is>
      </c>
      <c r="B1761" s="67" t="inlineStr">
        <is>
          <t>1057</t>
        </is>
      </c>
      <c r="C1761" s="67" t="inlineStr">
        <is>
          <t>1611</t>
        </is>
      </c>
      <c r="D1761" s="68" t="inlineStr">
        <is>
          <t>03</t>
        </is>
      </c>
      <c r="E1761" s="68" t="inlineStr">
        <is>
          <t>6 物业施工费</t>
        </is>
      </c>
      <c r="F1761" s="68" t="inlineStr">
        <is>
          <t>6.1 总承包工程</t>
        </is>
      </c>
      <c r="G1761" s="68" t="inlineStr">
        <is>
          <t>6.1.1 内部装修工程</t>
        </is>
      </c>
      <c r="H1761" s="68" t="inlineStr">
        <is>
          <t>外立面装修</t>
        </is>
      </c>
      <c r="I1761" s="69" t="inlineStr">
        <is>
          <t>1000021457</t>
        </is>
      </c>
      <c r="J1761" s="69" t="inlineStr">
        <is>
          <t>国产同质砖踢脚（琛雄）</t>
        </is>
      </c>
      <c r="K1761" s="70" t="n"/>
      <c r="L1761" s="70" t="n"/>
      <c r="M1761" s="71" t="inlineStr">
        <is>
          <t>米</t>
        </is>
      </c>
      <c r="N1761" s="72" t="n">
        <v>41.36</v>
      </c>
      <c r="O1761" s="72">
        <f>ROUND(N1761*(1+$F$10),2)</f>
        <v/>
      </c>
      <c r="P1761" s="73">
        <f>ROUND(K1761*N1761,2)</f>
        <v/>
      </c>
      <c r="Q1761" s="74">
        <f>ROUND(L1761*N1761,2)</f>
        <v/>
      </c>
      <c r="R1761" s="75" t="n"/>
      <c r="S1761" s="76" t="n"/>
      <c r="T1761" s="77">
        <f>K1761-L1761</f>
        <v/>
      </c>
      <c r="U1761" s="77">
        <f>P1761-Q1761</f>
        <v/>
      </c>
      <c r="V1761" s="77">
        <f>ABS(U1761)</f>
        <v/>
      </c>
      <c r="W1761" s="78">
        <f>T1761/L1761</f>
        <v/>
      </c>
      <c r="X1761" s="79">
        <f>ABS(W1761)</f>
        <v/>
      </c>
    </row>
    <row r="1762" ht="11.4" customHeight="1">
      <c r="A1762" s="67" t="inlineStr">
        <is>
          <t>大甜59</t>
        </is>
      </c>
      <c r="B1762" s="67" t="inlineStr">
        <is>
          <t>1057</t>
        </is>
      </c>
      <c r="C1762" s="67" t="inlineStr">
        <is>
          <t>1611</t>
        </is>
      </c>
      <c r="D1762" s="68" t="inlineStr">
        <is>
          <t>03</t>
        </is>
      </c>
      <c r="E1762" s="68" t="inlineStr">
        <is>
          <t>6 物业施工费</t>
        </is>
      </c>
      <c r="F1762" s="68" t="inlineStr">
        <is>
          <t>6.1 总承包工程</t>
        </is>
      </c>
      <c r="G1762" s="68" t="inlineStr">
        <is>
          <t>6.1.1 内部装修工程</t>
        </is>
      </c>
      <c r="H1762" s="68" t="inlineStr">
        <is>
          <t>外立面装修</t>
        </is>
      </c>
      <c r="I1762" s="69" t="inlineStr">
        <is>
          <t>1000021644</t>
        </is>
      </c>
      <c r="J1762" s="69" t="inlineStr">
        <is>
          <t>国产同质砖踢脚（共荣）</t>
        </is>
      </c>
      <c r="K1762" s="70" t="n"/>
      <c r="L1762" s="70" t="n"/>
      <c r="M1762" s="71" t="inlineStr">
        <is>
          <t>米</t>
        </is>
      </c>
      <c r="N1762" s="72" t="n">
        <v>38.94</v>
      </c>
      <c r="O1762" s="72">
        <f>ROUND(N1762*(1+$F$10),2)</f>
        <v/>
      </c>
      <c r="P1762" s="73">
        <f>ROUND(K1762*N1762,2)</f>
        <v/>
      </c>
      <c r="Q1762" s="74">
        <f>ROUND(L1762*N1762,2)</f>
        <v/>
      </c>
      <c r="R1762" s="75" t="n"/>
      <c r="S1762" s="76" t="n"/>
      <c r="T1762" s="77">
        <f>K1762-L1762</f>
        <v/>
      </c>
      <c r="U1762" s="77">
        <f>P1762-Q1762</f>
        <v/>
      </c>
      <c r="V1762" s="77">
        <f>ABS(U1762)</f>
        <v/>
      </c>
      <c r="W1762" s="78">
        <f>T1762/L1762</f>
        <v/>
      </c>
      <c r="X1762" s="79">
        <f>ABS(W1762)</f>
        <v/>
      </c>
    </row>
    <row r="1763" ht="11.4" customHeight="1">
      <c r="A1763" s="67" t="inlineStr">
        <is>
          <t>大甜59</t>
        </is>
      </c>
      <c r="B1763" s="67" t="inlineStr">
        <is>
          <t>1057</t>
        </is>
      </c>
      <c r="C1763" s="67" t="inlineStr">
        <is>
          <t>1611</t>
        </is>
      </c>
      <c r="D1763" s="68" t="inlineStr">
        <is>
          <t>03</t>
        </is>
      </c>
      <c r="E1763" s="68" t="inlineStr">
        <is>
          <t>6 物业施工费</t>
        </is>
      </c>
      <c r="F1763" s="68" t="inlineStr">
        <is>
          <t>6.1 总承包工程</t>
        </is>
      </c>
      <c r="G1763" s="68" t="inlineStr">
        <is>
          <t>6.1.1 内部装修工程</t>
        </is>
      </c>
      <c r="H1763" s="68" t="inlineStr">
        <is>
          <t>外立面装修</t>
        </is>
      </c>
      <c r="I1763" s="69" t="inlineStr">
        <is>
          <t>1000021623</t>
        </is>
      </c>
      <c r="J1763" s="69" t="inlineStr">
        <is>
          <t>国产同质砖踢脚（冠军）</t>
        </is>
      </c>
      <c r="K1763" s="70" t="n"/>
      <c r="L1763" s="70" t="n"/>
      <c r="M1763" s="71" t="inlineStr">
        <is>
          <t>米</t>
        </is>
      </c>
      <c r="N1763" s="72" t="n">
        <v>42.57</v>
      </c>
      <c r="O1763" s="72">
        <f>ROUND(N1763*(1+$F$10),2)</f>
        <v/>
      </c>
      <c r="P1763" s="73">
        <f>ROUND(K1763*N1763,2)</f>
        <v/>
      </c>
      <c r="Q1763" s="74">
        <f>ROUND(L1763*N1763,2)</f>
        <v/>
      </c>
      <c r="R1763" s="75" t="n"/>
      <c r="S1763" s="76" t="n"/>
      <c r="T1763" s="77">
        <f>K1763-L1763</f>
        <v/>
      </c>
      <c r="U1763" s="77">
        <f>P1763-Q1763</f>
        <v/>
      </c>
      <c r="V1763" s="77">
        <f>ABS(U1763)</f>
        <v/>
      </c>
      <c r="W1763" s="78">
        <f>T1763/L1763</f>
        <v/>
      </c>
      <c r="X1763" s="79">
        <f>ABS(W1763)</f>
        <v/>
      </c>
    </row>
    <row r="1764" ht="11.4" customHeight="1">
      <c r="A1764" s="67" t="inlineStr">
        <is>
          <t>大甜59</t>
        </is>
      </c>
      <c r="B1764" s="67" t="inlineStr">
        <is>
          <t>1057</t>
        </is>
      </c>
      <c r="C1764" s="67" t="inlineStr">
        <is>
          <t>1611</t>
        </is>
      </c>
      <c r="D1764" s="68" t="inlineStr">
        <is>
          <t>03</t>
        </is>
      </c>
      <c r="E1764" s="68" t="inlineStr">
        <is>
          <t>6 物业施工费</t>
        </is>
      </c>
      <c r="F1764" s="68" t="inlineStr">
        <is>
          <t>6.1 总承包工程</t>
        </is>
      </c>
      <c r="G1764" s="68" t="inlineStr">
        <is>
          <t>6.1.1 内部装修工程</t>
        </is>
      </c>
      <c r="H1764" s="68" t="inlineStr">
        <is>
          <t>外立面装修</t>
        </is>
      </c>
      <c r="I1764" s="69" t="inlineStr">
        <is>
          <t>1000021796</t>
        </is>
      </c>
      <c r="J1764" s="69" t="inlineStr">
        <is>
          <t>石材砖踢脚</t>
        </is>
      </c>
      <c r="K1764" s="70" t="n"/>
      <c r="L1764" s="70" t="n"/>
      <c r="M1764" s="71" t="inlineStr">
        <is>
          <t>米</t>
        </is>
      </c>
      <c r="N1764" s="72" t="n">
        <v>55.41</v>
      </c>
      <c r="O1764" s="72">
        <f>ROUND(N1764*(1+$F$10),2)</f>
        <v/>
      </c>
      <c r="P1764" s="73">
        <f>ROUND(K1764*N1764,2)</f>
        <v/>
      </c>
      <c r="Q1764" s="74">
        <f>ROUND(L1764*N1764,2)</f>
        <v/>
      </c>
      <c r="R1764" s="75" t="n"/>
      <c r="S1764" s="76" t="n"/>
      <c r="T1764" s="77">
        <f>K1764-L1764</f>
        <v/>
      </c>
      <c r="U1764" s="77">
        <f>P1764-Q1764</f>
        <v/>
      </c>
      <c r="V1764" s="77">
        <f>ABS(U1764)</f>
        <v/>
      </c>
      <c r="W1764" s="78">
        <f>T1764/L1764</f>
        <v/>
      </c>
      <c r="X1764" s="79">
        <f>ABS(W1764)</f>
        <v/>
      </c>
    </row>
    <row r="1765" ht="11.4" customHeight="1">
      <c r="A1765" s="67" t="inlineStr">
        <is>
          <t>大甜59</t>
        </is>
      </c>
      <c r="B1765" s="67" t="inlineStr">
        <is>
          <t>1057</t>
        </is>
      </c>
      <c r="C1765" s="67" t="inlineStr">
        <is>
          <t>1611</t>
        </is>
      </c>
      <c r="D1765" s="68" t="inlineStr">
        <is>
          <t>03</t>
        </is>
      </c>
      <c r="E1765" s="68" t="inlineStr">
        <is>
          <t>6 物业施工费</t>
        </is>
      </c>
      <c r="F1765" s="68" t="inlineStr">
        <is>
          <t>6.1 总承包工程</t>
        </is>
      </c>
      <c r="G1765" s="68" t="inlineStr">
        <is>
          <t>6.1.1 内部装修工程</t>
        </is>
      </c>
      <c r="H1765" s="68" t="inlineStr">
        <is>
          <t>外立面装修</t>
        </is>
      </c>
      <c r="I1765" s="69" t="inlineStr">
        <is>
          <t>1000021463</t>
        </is>
      </c>
      <c r="J1765" s="69" t="inlineStr">
        <is>
          <t>共荣水磨石踢脚</t>
        </is>
      </c>
      <c r="K1765" s="70" t="n"/>
      <c r="L1765" s="70" t="n"/>
      <c r="M1765" s="71" t="inlineStr">
        <is>
          <t>米</t>
        </is>
      </c>
      <c r="N1765" s="72" t="n">
        <v>37.84</v>
      </c>
      <c r="O1765" s="72">
        <f>ROUND(N1765*(1+$F$10),2)</f>
        <v/>
      </c>
      <c r="P1765" s="73">
        <f>ROUND(K1765*N1765,2)</f>
        <v/>
      </c>
      <c r="Q1765" s="74">
        <f>ROUND(L1765*N1765,2)</f>
        <v/>
      </c>
      <c r="R1765" s="75" t="n"/>
      <c r="S1765" s="76" t="n"/>
      <c r="T1765" s="77">
        <f>K1765-L1765</f>
        <v/>
      </c>
      <c r="U1765" s="77">
        <f>P1765-Q1765</f>
        <v/>
      </c>
      <c r="V1765" s="77">
        <f>ABS(U1765)</f>
        <v/>
      </c>
      <c r="W1765" s="78">
        <f>T1765/L1765</f>
        <v/>
      </c>
      <c r="X1765" s="79">
        <f>ABS(W1765)</f>
        <v/>
      </c>
    </row>
    <row r="1766" ht="11.4" customHeight="1">
      <c r="A1766" s="67" t="inlineStr">
        <is>
          <t>大甜59</t>
        </is>
      </c>
      <c r="B1766" s="67" t="inlineStr">
        <is>
          <t>1057</t>
        </is>
      </c>
      <c r="C1766" s="67" t="inlineStr">
        <is>
          <t>1611</t>
        </is>
      </c>
      <c r="D1766" s="68" t="inlineStr">
        <is>
          <t>03</t>
        </is>
      </c>
      <c r="E1766" s="68" t="inlineStr">
        <is>
          <t>6 物业施工费</t>
        </is>
      </c>
      <c r="F1766" s="68" t="inlineStr">
        <is>
          <t>6.1 总承包工程</t>
        </is>
      </c>
      <c r="G1766" s="68" t="inlineStr">
        <is>
          <t>6.1.1 内部装修工程</t>
        </is>
      </c>
      <c r="H1766" s="68" t="inlineStr">
        <is>
          <t>外立面装修</t>
        </is>
      </c>
      <c r="I1766" s="69" t="inlineStr">
        <is>
          <t>1000021797</t>
        </is>
      </c>
      <c r="J1766" s="69" t="inlineStr">
        <is>
          <t>不锈钢踢脚 H=200mm</t>
        </is>
      </c>
      <c r="K1766" s="70" t="n"/>
      <c r="L1766" s="70" t="n"/>
      <c r="M1766" s="71" t="inlineStr">
        <is>
          <t>米</t>
        </is>
      </c>
      <c r="N1766" s="72" t="n">
        <v>114.14</v>
      </c>
      <c r="O1766" s="72">
        <f>ROUND(N1766*(1+$F$10),2)</f>
        <v/>
      </c>
      <c r="P1766" s="73">
        <f>ROUND(K1766*N1766,2)</f>
        <v/>
      </c>
      <c r="Q1766" s="74">
        <f>ROUND(L1766*N1766,2)</f>
        <v/>
      </c>
      <c r="R1766" s="75" t="n"/>
      <c r="S1766" s="76" t="n"/>
      <c r="T1766" s="77">
        <f>K1766-L1766</f>
        <v/>
      </c>
      <c r="U1766" s="77">
        <f>P1766-Q1766</f>
        <v/>
      </c>
      <c r="V1766" s="77">
        <f>ABS(U1766)</f>
        <v/>
      </c>
      <c r="W1766" s="78">
        <f>T1766/L1766</f>
        <v/>
      </c>
      <c r="X1766" s="79">
        <f>ABS(W1766)</f>
        <v/>
      </c>
    </row>
    <row r="1767" ht="11.4" customHeight="1">
      <c r="A1767" s="67" t="inlineStr">
        <is>
          <t>大甜148</t>
        </is>
      </c>
      <c r="B1767" s="67" t="inlineStr">
        <is>
          <t>1154</t>
        </is>
      </c>
      <c r="C1767" s="67" t="inlineStr">
        <is>
          <t>8485</t>
        </is>
      </c>
      <c r="D1767" s="68" t="inlineStr">
        <is>
          <t>03</t>
        </is>
      </c>
      <c r="E1767" s="68" t="inlineStr">
        <is>
          <t>6 物业施工费</t>
        </is>
      </c>
      <c r="F1767" s="68" t="inlineStr">
        <is>
          <t>6.1 总承包工程</t>
        </is>
      </c>
      <c r="G1767" s="68" t="inlineStr">
        <is>
          <t>6.1.1 内部装修工程</t>
        </is>
      </c>
      <c r="H1767" s="68" t="inlineStr">
        <is>
          <t>外立面装修</t>
        </is>
      </c>
      <c r="I1767" s="69" t="inlineStr">
        <is>
          <t>1000021499</t>
        </is>
      </c>
      <c r="J1767" s="69" t="inlineStr">
        <is>
          <t>铝合金双开门连门框及全部配件（主材，佳诺浩德）</t>
        </is>
      </c>
      <c r="K1767" s="70" t="n"/>
      <c r="L1767" s="70" t="n"/>
      <c r="M1767" s="71" t="inlineStr">
        <is>
          <t>樘</t>
        </is>
      </c>
      <c r="N1767" s="72" t="n">
        <v>4665.2</v>
      </c>
      <c r="O1767" s="72">
        <f>ROUND(N1767*(1+$F$10),2)</f>
        <v/>
      </c>
      <c r="P1767" s="73">
        <f>ROUND(K1767*N1767,2)</f>
        <v/>
      </c>
      <c r="Q1767" s="74">
        <f>ROUND(L1767*N1767,2)</f>
        <v/>
      </c>
      <c r="R1767" s="75" t="n"/>
      <c r="S1767" s="76" t="n"/>
      <c r="T1767" s="77">
        <f>K1767-L1767</f>
        <v/>
      </c>
      <c r="U1767" s="77">
        <f>P1767-Q1767</f>
        <v/>
      </c>
      <c r="V1767" s="77">
        <f>ABS(U1767)</f>
        <v/>
      </c>
      <c r="W1767" s="78">
        <f>T1767/L1767</f>
        <v/>
      </c>
      <c r="X1767" s="79">
        <f>ABS(W1767)</f>
        <v/>
      </c>
    </row>
    <row r="1768" ht="11.4" customHeight="1">
      <c r="A1768" s="67" t="inlineStr">
        <is>
          <t>大甜148</t>
        </is>
      </c>
      <c r="B1768" s="67" t="inlineStr">
        <is>
          <t>1154</t>
        </is>
      </c>
      <c r="C1768" s="67" t="inlineStr">
        <is>
          <t>8485</t>
        </is>
      </c>
      <c r="D1768" s="68" t="inlineStr">
        <is>
          <t>03</t>
        </is>
      </c>
      <c r="E1768" s="68" t="inlineStr">
        <is>
          <t>6 物业施工费</t>
        </is>
      </c>
      <c r="F1768" s="68" t="inlineStr">
        <is>
          <t>6.1 总承包工程</t>
        </is>
      </c>
      <c r="G1768" s="68" t="inlineStr">
        <is>
          <t>6.1.1 内部装修工程</t>
        </is>
      </c>
      <c r="H1768" s="68" t="inlineStr">
        <is>
          <t>外立面装修</t>
        </is>
      </c>
      <c r="I1768" s="69" t="inlineStr">
        <is>
          <t>1000021500</t>
        </is>
      </c>
      <c r="J1768" s="69" t="inlineStr">
        <is>
          <t>铝合金单开门连门框及全部配件（主材，佳诺浩德）</t>
        </is>
      </c>
      <c r="K1768" s="70" t="n"/>
      <c r="L1768" s="70" t="n"/>
      <c r="M1768" s="71" t="inlineStr">
        <is>
          <t>樘</t>
        </is>
      </c>
      <c r="N1768" s="72" t="n">
        <v>2712.45</v>
      </c>
      <c r="O1768" s="72">
        <f>ROUND(N1768*(1+$F$10),2)</f>
        <v/>
      </c>
      <c r="P1768" s="73">
        <f>ROUND(K1768*N1768,2)</f>
        <v/>
      </c>
      <c r="Q1768" s="74">
        <f>ROUND(L1768*N1768,2)</f>
        <v/>
      </c>
      <c r="R1768" s="75" t="n"/>
      <c r="S1768" s="76" t="n"/>
      <c r="T1768" s="77">
        <f>K1768-L1768</f>
        <v/>
      </c>
      <c r="U1768" s="77">
        <f>P1768-Q1768</f>
        <v/>
      </c>
      <c r="V1768" s="77">
        <f>ABS(U1768)</f>
        <v/>
      </c>
      <c r="W1768" s="78">
        <f>T1768/L1768</f>
        <v/>
      </c>
      <c r="X1768" s="79">
        <f>ABS(W1768)</f>
        <v/>
      </c>
    </row>
    <row r="1769" ht="11.4" customHeight="1">
      <c r="A1769" s="67" t="inlineStr">
        <is>
          <t>大甜148</t>
        </is>
      </c>
      <c r="B1769" s="67" t="inlineStr">
        <is>
          <t>1154</t>
        </is>
      </c>
      <c r="C1769" s="67" t="inlineStr">
        <is>
          <t>8485</t>
        </is>
      </c>
      <c r="D1769" s="68" t="inlineStr">
        <is>
          <t>03</t>
        </is>
      </c>
      <c r="E1769" s="68" t="inlineStr">
        <is>
          <t>6 物业施工费</t>
        </is>
      </c>
      <c r="F1769" s="68" t="inlineStr">
        <is>
          <t>6.1 总承包工程</t>
        </is>
      </c>
      <c r="G1769" s="68" t="inlineStr">
        <is>
          <t>6.1.1 内部装修工程</t>
        </is>
      </c>
      <c r="H1769" s="68" t="inlineStr">
        <is>
          <t>外立面装修</t>
        </is>
      </c>
      <c r="I1769" s="69" t="inlineStr">
        <is>
          <t>1000053607</t>
        </is>
      </c>
      <c r="J1769" s="69" t="inlineStr">
        <is>
          <t>铝合金双开门连门框及全部配件（主材，天晟）</t>
        </is>
      </c>
      <c r="K1769" s="70" t="n"/>
      <c r="L1769" s="70" t="n"/>
      <c r="M1769" s="71" t="inlineStr">
        <is>
          <t>樘</t>
        </is>
      </c>
      <c r="N1769" s="72" t="n">
        <v>4703.72</v>
      </c>
      <c r="O1769" s="72">
        <f>ROUND(N1769*(1+$F$10),2)</f>
        <v/>
      </c>
      <c r="P1769" s="73">
        <f>ROUND(K1769*N1769,2)</f>
        <v/>
      </c>
      <c r="Q1769" s="74">
        <f>ROUND(L1769*N1769,2)</f>
        <v/>
      </c>
      <c r="R1769" s="75" t="n"/>
      <c r="S1769" s="76" t="n"/>
      <c r="T1769" s="77">
        <f>K1769-L1769</f>
        <v/>
      </c>
      <c r="U1769" s="77">
        <f>P1769-Q1769</f>
        <v/>
      </c>
      <c r="V1769" s="77">
        <f>ABS(U1769)</f>
        <v/>
      </c>
      <c r="W1769" s="78">
        <f>T1769/L1769</f>
        <v/>
      </c>
      <c r="X1769" s="79">
        <f>ABS(W1769)</f>
        <v/>
      </c>
    </row>
    <row r="1770" ht="11.4" customHeight="1">
      <c r="A1770" s="67" t="inlineStr">
        <is>
          <t>大甜148</t>
        </is>
      </c>
      <c r="B1770" s="67" t="inlineStr">
        <is>
          <t>1154</t>
        </is>
      </c>
      <c r="C1770" s="67" t="inlineStr">
        <is>
          <t>8485</t>
        </is>
      </c>
      <c r="D1770" s="68" t="inlineStr">
        <is>
          <t>03</t>
        </is>
      </c>
      <c r="E1770" s="68" t="inlineStr">
        <is>
          <t>6 物业施工费</t>
        </is>
      </c>
      <c r="F1770" s="68" t="inlineStr">
        <is>
          <t>6.1 总承包工程</t>
        </is>
      </c>
      <c r="G1770" s="68" t="inlineStr">
        <is>
          <t>6.1.1 内部装修工程</t>
        </is>
      </c>
      <c r="H1770" s="68" t="inlineStr">
        <is>
          <t>外立面装修</t>
        </is>
      </c>
      <c r="I1770" s="69" t="inlineStr">
        <is>
          <t>1000053606</t>
        </is>
      </c>
      <c r="J1770" s="69" t="inlineStr">
        <is>
          <t>铝合金单开门连门框及全部配件（主材，天晟）</t>
        </is>
      </c>
      <c r="K1770" s="70" t="n"/>
      <c r="L1770" s="70" t="n"/>
      <c r="M1770" s="71" t="inlineStr">
        <is>
          <t>樘</t>
        </is>
      </c>
      <c r="N1770" s="72" t="n">
        <v>2811.96</v>
      </c>
      <c r="O1770" s="72">
        <f>ROUND(N1770*(1+$F$10),2)</f>
        <v/>
      </c>
      <c r="P1770" s="73">
        <f>ROUND(K1770*N1770,2)</f>
        <v/>
      </c>
      <c r="Q1770" s="74">
        <f>ROUND(L1770*N1770,2)</f>
        <v/>
      </c>
      <c r="R1770" s="75" t="n"/>
      <c r="S1770" s="76" t="n"/>
      <c r="T1770" s="77">
        <f>K1770-L1770</f>
        <v/>
      </c>
      <c r="U1770" s="77">
        <f>P1770-Q1770</f>
        <v/>
      </c>
      <c r="V1770" s="77">
        <f>ABS(U1770)</f>
        <v/>
      </c>
      <c r="W1770" s="78">
        <f>T1770/L1770</f>
        <v/>
      </c>
      <c r="X1770" s="79">
        <f>ABS(W1770)</f>
        <v/>
      </c>
    </row>
    <row r="1771" ht="11.4" customHeight="1">
      <c r="A1771" s="67" t="inlineStr">
        <is>
          <t>大甜148</t>
        </is>
      </c>
      <c r="B1771" s="67" t="inlineStr">
        <is>
          <t>1154</t>
        </is>
      </c>
      <c r="C1771" s="67" t="inlineStr">
        <is>
          <t>8485</t>
        </is>
      </c>
      <c r="D1771" s="68" t="inlineStr">
        <is>
          <t>03</t>
        </is>
      </c>
      <c r="E1771" s="68" t="inlineStr">
        <is>
          <t>6 物业施工费</t>
        </is>
      </c>
      <c r="F1771" s="68" t="inlineStr">
        <is>
          <t>6.1 总承包工程</t>
        </is>
      </c>
      <c r="G1771" s="68" t="inlineStr">
        <is>
          <t>6.1.1 内部装修工程</t>
        </is>
      </c>
      <c r="H1771" s="68" t="inlineStr">
        <is>
          <t>外立面装修</t>
        </is>
      </c>
      <c r="I1771" s="69" t="inlineStr">
        <is>
          <t>1000053610</t>
        </is>
      </c>
      <c r="J1771" s="69" t="inlineStr">
        <is>
          <t>铝合金双开门连门框及全部配件（主材，航凯）</t>
        </is>
      </c>
      <c r="K1771" s="70" t="n"/>
      <c r="L1771" s="70" t="n"/>
      <c r="M1771" s="71" t="inlineStr">
        <is>
          <t>樘</t>
        </is>
      </c>
      <c r="N1771" s="72" t="n">
        <v>4636.31</v>
      </c>
      <c r="O1771" s="72">
        <f>ROUND(N1771*(1+$F$10),2)</f>
        <v/>
      </c>
      <c r="P1771" s="73">
        <f>ROUND(K1771*N1771,2)</f>
        <v/>
      </c>
      <c r="Q1771" s="74">
        <f>ROUND(L1771*N1771,2)</f>
        <v/>
      </c>
      <c r="R1771" s="75" t="n"/>
      <c r="S1771" s="76" t="n"/>
      <c r="T1771" s="77">
        <f>K1771-L1771</f>
        <v/>
      </c>
      <c r="U1771" s="77">
        <f>P1771-Q1771</f>
        <v/>
      </c>
      <c r="V1771" s="77">
        <f>ABS(U1771)</f>
        <v/>
      </c>
      <c r="W1771" s="78">
        <f>T1771/L1771</f>
        <v/>
      </c>
      <c r="X1771" s="79">
        <f>ABS(W1771)</f>
        <v/>
      </c>
    </row>
    <row r="1772" ht="11.4" customHeight="1">
      <c r="A1772" s="67" t="inlineStr">
        <is>
          <t>大甜148</t>
        </is>
      </c>
      <c r="B1772" s="67" t="inlineStr">
        <is>
          <t>1154</t>
        </is>
      </c>
      <c r="C1772" s="67" t="inlineStr">
        <is>
          <t>8485</t>
        </is>
      </c>
      <c r="D1772" s="68" t="inlineStr">
        <is>
          <t>03</t>
        </is>
      </c>
      <c r="E1772" s="68" t="inlineStr">
        <is>
          <t>6 物业施工费</t>
        </is>
      </c>
      <c r="F1772" s="68" t="inlineStr">
        <is>
          <t>6.1 总承包工程</t>
        </is>
      </c>
      <c r="G1772" s="68" t="inlineStr">
        <is>
          <t>6.1.1 内部装修工程</t>
        </is>
      </c>
      <c r="H1772" s="68" t="inlineStr">
        <is>
          <t>外立面装修</t>
        </is>
      </c>
      <c r="I1772" s="69" t="inlineStr">
        <is>
          <t>1000053609</t>
        </is>
      </c>
      <c r="J1772" s="69" t="inlineStr">
        <is>
          <t>铝合金单开门连门框及全部配件（主材，航凯）</t>
        </is>
      </c>
      <c r="K1772" s="70" t="n"/>
      <c r="L1772" s="70" t="n"/>
      <c r="M1772" s="71" t="inlineStr">
        <is>
          <t>樘</t>
        </is>
      </c>
      <c r="N1772" s="72" t="n">
        <v>2711.38</v>
      </c>
      <c r="O1772" s="72">
        <f>ROUND(N1772*(1+$F$10),2)</f>
        <v/>
      </c>
      <c r="P1772" s="73">
        <f>ROUND(K1772*N1772,2)</f>
        <v/>
      </c>
      <c r="Q1772" s="74">
        <f>ROUND(L1772*N1772,2)</f>
        <v/>
      </c>
      <c r="R1772" s="75" t="n"/>
      <c r="S1772" s="76" t="n"/>
      <c r="T1772" s="77">
        <f>K1772-L1772</f>
        <v/>
      </c>
      <c r="U1772" s="77">
        <f>P1772-Q1772</f>
        <v/>
      </c>
      <c r="V1772" s="77">
        <f>ABS(U1772)</f>
        <v/>
      </c>
      <c r="W1772" s="78">
        <f>T1772/L1772</f>
        <v/>
      </c>
      <c r="X1772" s="79">
        <f>ABS(W1772)</f>
        <v/>
      </c>
    </row>
    <row r="1773" ht="11.4" customHeight="1">
      <c r="A1773" s="67" t="inlineStr">
        <is>
          <t>大甜148</t>
        </is>
      </c>
      <c r="B1773" s="67" t="inlineStr">
        <is>
          <t>1154</t>
        </is>
      </c>
      <c r="C1773" s="67" t="inlineStr">
        <is>
          <t>8485</t>
        </is>
      </c>
      <c r="D1773" s="68" t="inlineStr">
        <is>
          <t>03</t>
        </is>
      </c>
      <c r="E1773" s="68" t="inlineStr">
        <is>
          <t>6 物业施工费</t>
        </is>
      </c>
      <c r="F1773" s="68" t="inlineStr">
        <is>
          <t>6.1 总承包工程</t>
        </is>
      </c>
      <c r="G1773" s="68" t="inlineStr">
        <is>
          <t>6.1.1 内部装修工程</t>
        </is>
      </c>
      <c r="H1773" s="68" t="inlineStr">
        <is>
          <t>外立面装修</t>
        </is>
      </c>
      <c r="I1773" s="69" t="inlineStr">
        <is>
          <t>1000081295</t>
        </is>
      </c>
      <c r="J1773" s="69" t="inlineStr">
        <is>
          <t>铝合金双开门连门框及全部配件（主材，力保）</t>
        </is>
      </c>
      <c r="K1773" s="70" t="n"/>
      <c r="L1773" s="70" t="n"/>
      <c r="M1773" s="71" t="inlineStr">
        <is>
          <t>樘</t>
        </is>
      </c>
      <c r="N1773" s="72" t="n">
        <v>5150.98</v>
      </c>
      <c r="O1773" s="72">
        <f>ROUND(N1773*(1+$F$10),2)</f>
        <v/>
      </c>
      <c r="P1773" s="73">
        <f>ROUND(K1773*N1773,2)</f>
        <v/>
      </c>
      <c r="Q1773" s="74">
        <f>ROUND(L1773*N1773,2)</f>
        <v/>
      </c>
      <c r="R1773" s="75" t="n"/>
      <c r="S1773" s="76" t="n"/>
      <c r="T1773" s="77">
        <f>K1773-L1773</f>
        <v/>
      </c>
      <c r="U1773" s="77">
        <f>P1773-Q1773</f>
        <v/>
      </c>
      <c r="V1773" s="77">
        <f>ABS(U1773)</f>
        <v/>
      </c>
      <c r="W1773" s="78">
        <f>T1773/L1773</f>
        <v/>
      </c>
      <c r="X1773" s="79">
        <f>ABS(W1773)</f>
        <v/>
      </c>
    </row>
    <row r="1774" ht="11.4" customHeight="1">
      <c r="A1774" s="67" t="inlineStr">
        <is>
          <t>大甜148</t>
        </is>
      </c>
      <c r="B1774" s="67" t="inlineStr">
        <is>
          <t>1154</t>
        </is>
      </c>
      <c r="C1774" s="67" t="inlineStr">
        <is>
          <t>8485</t>
        </is>
      </c>
      <c r="D1774" s="68" t="inlineStr">
        <is>
          <t>03</t>
        </is>
      </c>
      <c r="E1774" s="68" t="inlineStr">
        <is>
          <t>6 物业施工费</t>
        </is>
      </c>
      <c r="F1774" s="68" t="inlineStr">
        <is>
          <t>6.1 总承包工程</t>
        </is>
      </c>
      <c r="G1774" s="68" t="inlineStr">
        <is>
          <t>6.1.1 内部装修工程</t>
        </is>
      </c>
      <c r="H1774" s="68" t="inlineStr">
        <is>
          <t>外立面装修</t>
        </is>
      </c>
      <c r="I1774" s="69" t="inlineStr">
        <is>
          <t>1000081635</t>
        </is>
      </c>
      <c r="J1774" s="69" t="inlineStr">
        <is>
          <t>铝合金单开门连门框及全部配件（主材，力保）</t>
        </is>
      </c>
      <c r="K1774" s="70" t="n"/>
      <c r="L1774" s="70" t="n"/>
      <c r="M1774" s="71" t="inlineStr">
        <is>
          <t>樘</t>
        </is>
      </c>
      <c r="N1774" s="72" t="n">
        <v>2853.69</v>
      </c>
      <c r="O1774" s="72">
        <f>ROUND(N1774*(1+$F$10),2)</f>
        <v/>
      </c>
      <c r="P1774" s="73">
        <f>ROUND(K1774*N1774,2)</f>
        <v/>
      </c>
      <c r="Q1774" s="74">
        <f>ROUND(L1774*N1774,2)</f>
        <v/>
      </c>
      <c r="R1774" s="75" t="n"/>
      <c r="S1774" s="76" t="n"/>
      <c r="T1774" s="77">
        <f>K1774-L1774</f>
        <v/>
      </c>
      <c r="U1774" s="77">
        <f>P1774-Q1774</f>
        <v/>
      </c>
      <c r="V1774" s="77">
        <f>ABS(U1774)</f>
        <v/>
      </c>
      <c r="W1774" s="78">
        <f>T1774/L1774</f>
        <v/>
      </c>
      <c r="X1774" s="79">
        <f>ABS(W1774)</f>
        <v/>
      </c>
    </row>
    <row r="1775" ht="11.4" customHeight="1">
      <c r="A1775" s="67" t="inlineStr">
        <is>
          <t>大甜148</t>
        </is>
      </c>
      <c r="B1775" s="67" t="inlineStr">
        <is>
          <t>1154</t>
        </is>
      </c>
      <c r="C1775" s="67" t="inlineStr">
        <is>
          <t>8485</t>
        </is>
      </c>
      <c r="D1775" s="68" t="inlineStr">
        <is>
          <t>03</t>
        </is>
      </c>
      <c r="E1775" s="68" t="inlineStr">
        <is>
          <t>6 物业施工费</t>
        </is>
      </c>
      <c r="F1775" s="68" t="inlineStr">
        <is>
          <t>6.1 总承包工程</t>
        </is>
      </c>
      <c r="G1775" s="68" t="inlineStr">
        <is>
          <t>6.1.1 内部装修工程</t>
        </is>
      </c>
      <c r="H1775" s="68" t="inlineStr">
        <is>
          <t>外立面装修</t>
        </is>
      </c>
      <c r="I1775" s="69" t="inlineStr">
        <is>
          <t>1000081639</t>
        </is>
      </c>
      <c r="J1775" s="69" t="inlineStr">
        <is>
          <t>窄边不锈钢双开门连门框及全部配件（主材，天晟）</t>
        </is>
      </c>
      <c r="K1775" s="70" t="n"/>
      <c r="L1775" s="70" t="n"/>
      <c r="M1775" s="71" t="inlineStr">
        <is>
          <t>樘</t>
        </is>
      </c>
      <c r="N1775" s="72" t="n">
        <v>6665.03</v>
      </c>
      <c r="O1775" s="72">
        <f>ROUND(N1775*(1+$F$10),2)</f>
        <v/>
      </c>
      <c r="P1775" s="73">
        <f>ROUND(K1775*N1775,2)</f>
        <v/>
      </c>
      <c r="Q1775" s="74">
        <f>ROUND(L1775*N1775,2)</f>
        <v/>
      </c>
      <c r="R1775" s="75" t="n"/>
      <c r="S1775" s="76" t="n"/>
      <c r="T1775" s="77">
        <f>K1775-L1775</f>
        <v/>
      </c>
      <c r="U1775" s="77">
        <f>P1775-Q1775</f>
        <v/>
      </c>
      <c r="V1775" s="77">
        <f>ABS(U1775)</f>
        <v/>
      </c>
      <c r="W1775" s="78">
        <f>T1775/L1775</f>
        <v/>
      </c>
      <c r="X1775" s="79">
        <f>ABS(W1775)</f>
        <v/>
      </c>
    </row>
    <row r="1776" ht="11.4" customHeight="1">
      <c r="A1776" s="67" t="inlineStr">
        <is>
          <t>大甜148</t>
        </is>
      </c>
      <c r="B1776" s="67" t="inlineStr">
        <is>
          <t>1154</t>
        </is>
      </c>
      <c r="C1776" s="67" t="inlineStr">
        <is>
          <t>8485</t>
        </is>
      </c>
      <c r="D1776" s="68" t="inlineStr">
        <is>
          <t>03</t>
        </is>
      </c>
      <c r="E1776" s="68" t="inlineStr">
        <is>
          <t>6 物业施工费</t>
        </is>
      </c>
      <c r="F1776" s="68" t="inlineStr">
        <is>
          <t>6.1 总承包工程</t>
        </is>
      </c>
      <c r="G1776" s="68" t="inlineStr">
        <is>
          <t>6.1.1 内部装修工程</t>
        </is>
      </c>
      <c r="H1776" s="68" t="inlineStr">
        <is>
          <t>外立面装修</t>
        </is>
      </c>
      <c r="I1776" s="69" t="inlineStr">
        <is>
          <t>1000082233</t>
        </is>
      </c>
      <c r="J1776" s="69" t="inlineStr">
        <is>
          <t>窄边不锈钢单开门连门框及全部配件（主材，天晟）</t>
        </is>
      </c>
      <c r="K1776" s="70" t="n"/>
      <c r="L1776" s="70" t="n"/>
      <c r="M1776" s="71" t="inlineStr">
        <is>
          <t>樘</t>
        </is>
      </c>
      <c r="N1776" s="72" t="n">
        <v>3581.29</v>
      </c>
      <c r="O1776" s="72">
        <f>ROUND(N1776*(1+$F$10),2)</f>
        <v/>
      </c>
      <c r="P1776" s="73">
        <f>ROUND(K1776*N1776,2)</f>
        <v/>
      </c>
      <c r="Q1776" s="74">
        <f>ROUND(L1776*N1776,2)</f>
        <v/>
      </c>
      <c r="R1776" s="75" t="n"/>
      <c r="S1776" s="76" t="n"/>
      <c r="T1776" s="77">
        <f>K1776-L1776</f>
        <v/>
      </c>
      <c r="U1776" s="77">
        <f>P1776-Q1776</f>
        <v/>
      </c>
      <c r="V1776" s="77">
        <f>ABS(U1776)</f>
        <v/>
      </c>
      <c r="W1776" s="78">
        <f>T1776/L1776</f>
        <v/>
      </c>
      <c r="X1776" s="79">
        <f>ABS(W1776)</f>
        <v/>
      </c>
    </row>
    <row r="1777" ht="11.4" customHeight="1">
      <c r="A1777" s="67" t="inlineStr">
        <is>
          <t>大甜148</t>
        </is>
      </c>
      <c r="B1777" s="67" t="inlineStr">
        <is>
          <t>1154</t>
        </is>
      </c>
      <c r="C1777" s="67" t="inlineStr">
        <is>
          <t>8485</t>
        </is>
      </c>
      <c r="D1777" s="68" t="inlineStr">
        <is>
          <t>03</t>
        </is>
      </c>
      <c r="E1777" s="68" t="inlineStr">
        <is>
          <t>6 物业施工费</t>
        </is>
      </c>
      <c r="F1777" s="68" t="inlineStr">
        <is>
          <t>6.1 总承包工程</t>
        </is>
      </c>
      <c r="G1777" s="68" t="inlineStr">
        <is>
          <t>6.1.1 内部装修工程</t>
        </is>
      </c>
      <c r="H1777" s="68" t="inlineStr">
        <is>
          <t>外立面装修</t>
        </is>
      </c>
      <c r="I1777" s="69" t="inlineStr">
        <is>
          <t>1000082234</t>
        </is>
      </c>
      <c r="J1777" s="69" t="inlineStr">
        <is>
          <t>窄边不锈钢双开门连门框及全部配件（主材，航凯）</t>
        </is>
      </c>
      <c r="K1777" s="70" t="n"/>
      <c r="L1777" s="70" t="n"/>
      <c r="M1777" s="71" t="inlineStr">
        <is>
          <t>樘</t>
        </is>
      </c>
      <c r="N1777" s="72" t="n">
        <v>6335.47</v>
      </c>
      <c r="O1777" s="72">
        <f>ROUND(N1777*(1+$F$10),2)</f>
        <v/>
      </c>
      <c r="P1777" s="73">
        <f>ROUND(K1777*N1777,2)</f>
        <v/>
      </c>
      <c r="Q1777" s="74">
        <f>ROUND(L1777*N1777,2)</f>
        <v/>
      </c>
      <c r="R1777" s="75" t="n"/>
      <c r="S1777" s="76" t="n"/>
      <c r="T1777" s="77">
        <f>K1777-L1777</f>
        <v/>
      </c>
      <c r="U1777" s="77">
        <f>P1777-Q1777</f>
        <v/>
      </c>
      <c r="V1777" s="77">
        <f>ABS(U1777)</f>
        <v/>
      </c>
      <c r="W1777" s="78">
        <f>T1777/L1777</f>
        <v/>
      </c>
      <c r="X1777" s="79">
        <f>ABS(W1777)</f>
        <v/>
      </c>
    </row>
    <row r="1778" ht="11.4" customHeight="1">
      <c r="A1778" s="67" t="inlineStr">
        <is>
          <t>大甜148</t>
        </is>
      </c>
      <c r="B1778" s="67" t="inlineStr">
        <is>
          <t>1154</t>
        </is>
      </c>
      <c r="C1778" s="67" t="inlineStr">
        <is>
          <t>8485</t>
        </is>
      </c>
      <c r="D1778" s="68" t="inlineStr">
        <is>
          <t>03</t>
        </is>
      </c>
      <c r="E1778" s="68" t="inlineStr">
        <is>
          <t>6 物业施工费</t>
        </is>
      </c>
      <c r="F1778" s="68" t="inlineStr">
        <is>
          <t>6.1 总承包工程</t>
        </is>
      </c>
      <c r="G1778" s="68" t="inlineStr">
        <is>
          <t>6.1.1 内部装修工程</t>
        </is>
      </c>
      <c r="H1778" s="68" t="inlineStr">
        <is>
          <t>外立面装修</t>
        </is>
      </c>
      <c r="I1778" s="69" t="inlineStr">
        <is>
          <t>1000082402</t>
        </is>
      </c>
      <c r="J1778" s="69" t="inlineStr">
        <is>
          <t>窄边不锈钢单开门连门框及全部配件（主材，航凯）</t>
        </is>
      </c>
      <c r="K1778" s="70" t="n"/>
      <c r="L1778" s="70" t="n"/>
      <c r="M1778" s="71" t="inlineStr">
        <is>
          <t>樘</t>
        </is>
      </c>
      <c r="N1778" s="72" t="n">
        <v>3268.85</v>
      </c>
      <c r="O1778" s="72">
        <f>ROUND(N1778*(1+$F$10),2)</f>
        <v/>
      </c>
      <c r="P1778" s="73">
        <f>ROUND(K1778*N1778,2)</f>
        <v/>
      </c>
      <c r="Q1778" s="74">
        <f>ROUND(L1778*N1778,2)</f>
        <v/>
      </c>
      <c r="R1778" s="75" t="n"/>
      <c r="S1778" s="76" t="n"/>
      <c r="T1778" s="77">
        <f>K1778-L1778</f>
        <v/>
      </c>
      <c r="U1778" s="77">
        <f>P1778-Q1778</f>
        <v/>
      </c>
      <c r="V1778" s="77">
        <f>ABS(U1778)</f>
        <v/>
      </c>
      <c r="W1778" s="78">
        <f>T1778/L1778</f>
        <v/>
      </c>
      <c r="X1778" s="79">
        <f>ABS(W1778)</f>
        <v/>
      </c>
    </row>
    <row r="1779" ht="11.4" customHeight="1">
      <c r="A1779" s="67" t="inlineStr">
        <is>
          <t>大甜148</t>
        </is>
      </c>
      <c r="B1779" s="67" t="inlineStr">
        <is>
          <t>1154</t>
        </is>
      </c>
      <c r="C1779" s="67" t="inlineStr">
        <is>
          <t>8485</t>
        </is>
      </c>
      <c r="D1779" s="68" t="inlineStr">
        <is>
          <t>03</t>
        </is>
      </c>
      <c r="E1779" s="68" t="inlineStr">
        <is>
          <t>6 物业施工费</t>
        </is>
      </c>
      <c r="F1779" s="68" t="inlineStr">
        <is>
          <t>6.1 总承包工程</t>
        </is>
      </c>
      <c r="G1779" s="68" t="inlineStr">
        <is>
          <t>6.1.1 内部装修工程</t>
        </is>
      </c>
      <c r="H1779" s="68" t="inlineStr">
        <is>
          <t>外立面装修</t>
        </is>
      </c>
      <c r="I1779" s="69" t="inlineStr">
        <is>
          <t>1000081637</t>
        </is>
      </c>
      <c r="J1779" s="69" t="inlineStr">
        <is>
          <t>窄边不锈钢双开门连门框及全部配件（主材，力保）</t>
        </is>
      </c>
      <c r="K1779" s="70" t="n"/>
      <c r="L1779" s="70" t="n"/>
      <c r="M1779" s="71" t="inlineStr">
        <is>
          <t>樘</t>
        </is>
      </c>
      <c r="N1779" s="72" t="n">
        <v>6589.06</v>
      </c>
      <c r="O1779" s="72">
        <f>ROUND(N1779*(1+$F$10),2)</f>
        <v/>
      </c>
      <c r="P1779" s="73">
        <f>ROUND(K1779*N1779,2)</f>
        <v/>
      </c>
      <c r="Q1779" s="74">
        <f>ROUND(L1779*N1779,2)</f>
        <v/>
      </c>
      <c r="R1779" s="75" t="n"/>
      <c r="S1779" s="76" t="n"/>
      <c r="T1779" s="77">
        <f>K1779-L1779</f>
        <v/>
      </c>
      <c r="U1779" s="77">
        <f>P1779-Q1779</f>
        <v/>
      </c>
      <c r="V1779" s="77">
        <f>ABS(U1779)</f>
        <v/>
      </c>
      <c r="W1779" s="78">
        <f>T1779/L1779</f>
        <v/>
      </c>
      <c r="X1779" s="79">
        <f>ABS(W1779)</f>
        <v/>
      </c>
    </row>
    <row r="1780" ht="11.4" customHeight="1">
      <c r="A1780" s="67" t="inlineStr">
        <is>
          <t>大甜148</t>
        </is>
      </c>
      <c r="B1780" s="67" t="inlineStr">
        <is>
          <t>1154</t>
        </is>
      </c>
      <c r="C1780" s="67" t="inlineStr">
        <is>
          <t>8485</t>
        </is>
      </c>
      <c r="D1780" s="68" t="inlineStr">
        <is>
          <t>03</t>
        </is>
      </c>
      <c r="E1780" s="68" t="inlineStr">
        <is>
          <t>6 物业施工费</t>
        </is>
      </c>
      <c r="F1780" s="68" t="inlineStr">
        <is>
          <t>6.1 总承包工程</t>
        </is>
      </c>
      <c r="G1780" s="68" t="inlineStr">
        <is>
          <t>6.1.1 内部装修工程</t>
        </is>
      </c>
      <c r="H1780" s="68" t="inlineStr">
        <is>
          <t>外立面装修</t>
        </is>
      </c>
      <c r="I1780" s="69" t="inlineStr">
        <is>
          <t>1000081638</t>
        </is>
      </c>
      <c r="J1780" s="69" t="inlineStr">
        <is>
          <t>窄边不锈钢单开门连门框及全部配件（主材，力保）</t>
        </is>
      </c>
      <c r="K1780" s="70" t="n"/>
      <c r="L1780" s="70" t="n"/>
      <c r="M1780" s="71" t="inlineStr">
        <is>
          <t>樘</t>
        </is>
      </c>
      <c r="N1780" s="72" t="n">
        <v>3398.32</v>
      </c>
      <c r="O1780" s="72">
        <f>ROUND(N1780*(1+$F$10),2)</f>
        <v/>
      </c>
      <c r="P1780" s="73">
        <f>ROUND(K1780*N1780,2)</f>
        <v/>
      </c>
      <c r="Q1780" s="74">
        <f>ROUND(L1780*N1780,2)</f>
        <v/>
      </c>
      <c r="R1780" s="75" t="n"/>
      <c r="S1780" s="76" t="n"/>
      <c r="T1780" s="77">
        <f>K1780-L1780</f>
        <v/>
      </c>
      <c r="U1780" s="77">
        <f>P1780-Q1780</f>
        <v/>
      </c>
      <c r="V1780" s="77">
        <f>ABS(U1780)</f>
        <v/>
      </c>
      <c r="W1780" s="78">
        <f>T1780/L1780</f>
        <v/>
      </c>
      <c r="X1780" s="79">
        <f>ABS(W1780)</f>
        <v/>
      </c>
    </row>
    <row r="1781" ht="11.4" customHeight="1">
      <c r="A1781" s="67" t="inlineStr">
        <is>
          <t>大甜148</t>
        </is>
      </c>
      <c r="B1781" s="67" t="inlineStr">
        <is>
          <t>1154</t>
        </is>
      </c>
      <c r="C1781" s="67" t="inlineStr">
        <is>
          <t>8485</t>
        </is>
      </c>
      <c r="D1781" s="68" t="inlineStr">
        <is>
          <t>03</t>
        </is>
      </c>
      <c r="E1781" s="68" t="inlineStr">
        <is>
          <t>6 物业施工费</t>
        </is>
      </c>
      <c r="F1781" s="68" t="inlineStr">
        <is>
          <t>6.1 总承包工程</t>
        </is>
      </c>
      <c r="G1781" s="68" t="inlineStr">
        <is>
          <t>6.1.1 内部装修工程</t>
        </is>
      </c>
      <c r="H1781" s="68" t="inlineStr">
        <is>
          <t>外立面装修</t>
        </is>
      </c>
      <c r="I1781" s="69" t="inlineStr">
        <is>
          <t>1000021800</t>
        </is>
      </c>
      <c r="J1781" s="69" t="inlineStr">
        <is>
          <t>（主材）无框双开门连门框及全部配件</t>
        </is>
      </c>
      <c r="K1781" s="70" t="n"/>
      <c r="L1781" s="70" t="n"/>
      <c r="M1781" s="71" t="inlineStr">
        <is>
          <t>樘</t>
        </is>
      </c>
      <c r="N1781" s="72" t="n">
        <v>6224.4</v>
      </c>
      <c r="O1781" s="72">
        <f>ROUND(N1781*(1+$F$10),2)</f>
        <v/>
      </c>
      <c r="P1781" s="73">
        <f>ROUND(K1781*N1781,2)</f>
        <v/>
      </c>
      <c r="Q1781" s="74">
        <f>ROUND(L1781*N1781,2)</f>
        <v/>
      </c>
      <c r="R1781" s="75" t="n"/>
      <c r="S1781" s="76" t="n"/>
      <c r="T1781" s="77">
        <f>K1781-L1781</f>
        <v/>
      </c>
      <c r="U1781" s="77">
        <f>P1781-Q1781</f>
        <v/>
      </c>
      <c r="V1781" s="77">
        <f>ABS(U1781)</f>
        <v/>
      </c>
      <c r="W1781" s="78">
        <f>T1781/L1781</f>
        <v/>
      </c>
      <c r="X1781" s="79">
        <f>ABS(W1781)</f>
        <v/>
      </c>
    </row>
    <row r="1782" ht="11.4" customHeight="1">
      <c r="A1782" s="67" t="inlineStr">
        <is>
          <t>大甜148</t>
        </is>
      </c>
      <c r="B1782" s="67" t="inlineStr">
        <is>
          <t>1154</t>
        </is>
      </c>
      <c r="C1782" s="67" t="inlineStr">
        <is>
          <t>8485</t>
        </is>
      </c>
      <c r="D1782" s="68" t="inlineStr">
        <is>
          <t>03</t>
        </is>
      </c>
      <c r="E1782" s="68" t="inlineStr">
        <is>
          <t>6 物业施工费</t>
        </is>
      </c>
      <c r="F1782" s="68" t="inlineStr">
        <is>
          <t>6.1 总承包工程</t>
        </is>
      </c>
      <c r="G1782" s="68" t="inlineStr">
        <is>
          <t>6.1.1 内部装修工程</t>
        </is>
      </c>
      <c r="H1782" s="68" t="inlineStr">
        <is>
          <t>外立面装修</t>
        </is>
      </c>
      <c r="I1782" s="69" t="inlineStr">
        <is>
          <t>1000021663</t>
        </is>
      </c>
      <c r="J1782" s="69" t="inlineStr">
        <is>
          <t>（主材）无框单开门连门框及全部配件</t>
        </is>
      </c>
      <c r="K1782" s="70" t="n"/>
      <c r="L1782" s="70" t="n"/>
      <c r="M1782" s="71" t="inlineStr">
        <is>
          <t>樘</t>
        </is>
      </c>
      <c r="N1782" s="72" t="n">
        <v>3400.95</v>
      </c>
      <c r="O1782" s="72">
        <f>ROUND(N1782*(1+$F$10),2)</f>
        <v/>
      </c>
      <c r="P1782" s="73">
        <f>ROUND(K1782*N1782,2)</f>
        <v/>
      </c>
      <c r="Q1782" s="74">
        <f>ROUND(L1782*N1782,2)</f>
        <v/>
      </c>
      <c r="R1782" s="75" t="n"/>
      <c r="S1782" s="76" t="n"/>
      <c r="T1782" s="77">
        <f>K1782-L1782</f>
        <v/>
      </c>
      <c r="U1782" s="77">
        <f>P1782-Q1782</f>
        <v/>
      </c>
      <c r="V1782" s="77">
        <f>ABS(U1782)</f>
        <v/>
      </c>
      <c r="W1782" s="78">
        <f>T1782/L1782</f>
        <v/>
      </c>
      <c r="X1782" s="79">
        <f>ABS(W1782)</f>
        <v/>
      </c>
    </row>
    <row r="1783" ht="11.4" customHeight="1">
      <c r="A1783" s="67" t="inlineStr">
        <is>
          <t>大甜59</t>
        </is>
      </c>
      <c r="B1783" s="67" t="inlineStr">
        <is>
          <t>1057</t>
        </is>
      </c>
      <c r="C1783" s="67" t="inlineStr">
        <is>
          <t>1611</t>
        </is>
      </c>
      <c r="D1783" s="68" t="inlineStr">
        <is>
          <t>03</t>
        </is>
      </c>
      <c r="E1783" s="68" t="inlineStr">
        <is>
          <t>6 物业施工费</t>
        </is>
      </c>
      <c r="F1783" s="68" t="inlineStr">
        <is>
          <t>6.1 总承包工程</t>
        </is>
      </c>
      <c r="G1783" s="68" t="inlineStr">
        <is>
          <t>6.1.1 内部装修工程</t>
        </is>
      </c>
      <c r="H1783" s="68" t="inlineStr">
        <is>
          <t>外立面装修</t>
        </is>
      </c>
      <c r="I1783" s="69" t="inlineStr">
        <is>
          <t>1000021798</t>
        </is>
      </c>
      <c r="J1783" s="69" t="inlineStr">
        <is>
          <t>(安装)铝合金双开门连门框</t>
        </is>
      </c>
      <c r="K1783" s="70" t="n"/>
      <c r="L1783" s="70" t="n"/>
      <c r="M1783" s="71" t="inlineStr">
        <is>
          <t>樘</t>
        </is>
      </c>
      <c r="N1783" s="72" t="n">
        <v>539.86</v>
      </c>
      <c r="O1783" s="72">
        <f>ROUND(N1783*(1+$F$10),2)</f>
        <v/>
      </c>
      <c r="P1783" s="73">
        <f>ROUND(K1783*N1783,2)</f>
        <v/>
      </c>
      <c r="Q1783" s="74">
        <f>ROUND(L1783*N1783,2)</f>
        <v/>
      </c>
      <c r="R1783" s="75" t="n"/>
      <c r="S1783" s="76" t="n"/>
      <c r="T1783" s="77">
        <f>K1783-L1783</f>
        <v/>
      </c>
      <c r="U1783" s="77">
        <f>P1783-Q1783</f>
        <v/>
      </c>
      <c r="V1783" s="77">
        <f>ABS(U1783)</f>
        <v/>
      </c>
      <c r="W1783" s="78">
        <f>T1783/L1783</f>
        <v/>
      </c>
      <c r="X1783" s="79">
        <f>ABS(W1783)</f>
        <v/>
      </c>
    </row>
    <row r="1784" ht="11.4" customHeight="1">
      <c r="A1784" s="67" t="inlineStr">
        <is>
          <t>大甜59</t>
        </is>
      </c>
      <c r="B1784" s="67" t="inlineStr">
        <is>
          <t>1057</t>
        </is>
      </c>
      <c r="C1784" s="67" t="inlineStr">
        <is>
          <t>1611</t>
        </is>
      </c>
      <c r="D1784" s="68" t="inlineStr">
        <is>
          <t>03</t>
        </is>
      </c>
      <c r="E1784" s="68" t="inlineStr">
        <is>
          <t>6 物业施工费</t>
        </is>
      </c>
      <c r="F1784" s="68" t="inlineStr">
        <is>
          <t>6.1 总承包工程</t>
        </is>
      </c>
      <c r="G1784" s="68" t="inlineStr">
        <is>
          <t>6.1.1 内部装修工程</t>
        </is>
      </c>
      <c r="H1784" s="68" t="inlineStr">
        <is>
          <t>外立面装修</t>
        </is>
      </c>
      <c r="I1784" s="69" t="inlineStr">
        <is>
          <t>1000021799</t>
        </is>
      </c>
      <c r="J1784" s="69" t="inlineStr">
        <is>
          <t>(安装)铝合金单开门连门框</t>
        </is>
      </c>
      <c r="K1784" s="70" t="n"/>
      <c r="L1784" s="70" t="n"/>
      <c r="M1784" s="71" t="inlineStr">
        <is>
          <t>樘</t>
        </is>
      </c>
      <c r="N1784" s="72" t="n">
        <v>311.29</v>
      </c>
      <c r="O1784" s="72">
        <f>ROUND(N1784*(1+$F$10),2)</f>
        <v/>
      </c>
      <c r="P1784" s="73">
        <f>ROUND(K1784*N1784,2)</f>
        <v/>
      </c>
      <c r="Q1784" s="74">
        <f>ROUND(L1784*N1784,2)</f>
        <v/>
      </c>
      <c r="R1784" s="75" t="n"/>
      <c r="S1784" s="76" t="n"/>
      <c r="T1784" s="77">
        <f>K1784-L1784</f>
        <v/>
      </c>
      <c r="U1784" s="77">
        <f>P1784-Q1784</f>
        <v/>
      </c>
      <c r="V1784" s="77">
        <f>ABS(U1784)</f>
        <v/>
      </c>
      <c r="W1784" s="78">
        <f>T1784/L1784</f>
        <v/>
      </c>
      <c r="X1784" s="79">
        <f>ABS(W1784)</f>
        <v/>
      </c>
    </row>
    <row r="1785" ht="11.4" customHeight="1">
      <c r="A1785" s="67" t="inlineStr">
        <is>
          <t>大甜59</t>
        </is>
      </c>
      <c r="B1785" s="67" t="inlineStr">
        <is>
          <t>1057</t>
        </is>
      </c>
      <c r="C1785" s="67" t="inlineStr">
        <is>
          <t>1611</t>
        </is>
      </c>
      <c r="D1785" s="68" t="inlineStr">
        <is>
          <t>03</t>
        </is>
      </c>
      <c r="E1785" s="68" t="inlineStr">
        <is>
          <t>6 物业施工费</t>
        </is>
      </c>
      <c r="F1785" s="68" t="inlineStr">
        <is>
          <t>6.1 总承包工程</t>
        </is>
      </c>
      <c r="G1785" s="68" t="inlineStr">
        <is>
          <t>6.1.1 内部装修工程</t>
        </is>
      </c>
      <c r="H1785" s="68" t="inlineStr">
        <is>
          <t>外立面装修</t>
        </is>
      </c>
      <c r="I1785" s="69" t="inlineStr">
        <is>
          <t>1000021801</t>
        </is>
      </c>
      <c r="J1785" s="69" t="inlineStr">
        <is>
          <t>红色门头安装</t>
        </is>
      </c>
      <c r="K1785" s="70" t="n"/>
      <c r="L1785" s="70" t="n"/>
      <c r="M1785" s="71" t="inlineStr">
        <is>
          <t>米</t>
        </is>
      </c>
      <c r="N1785" s="72" t="n">
        <v>308.83</v>
      </c>
      <c r="O1785" s="72">
        <f>ROUND(N1785*(1+$F$10),2)</f>
        <v/>
      </c>
      <c r="P1785" s="73">
        <f>ROUND(K1785*N1785,2)</f>
        <v/>
      </c>
      <c r="Q1785" s="74">
        <f>ROUND(L1785*N1785,2)</f>
        <v/>
      </c>
      <c r="R1785" s="75" t="n"/>
      <c r="S1785" s="76" t="n"/>
      <c r="T1785" s="77">
        <f>K1785-L1785</f>
        <v/>
      </c>
      <c r="U1785" s="77">
        <f>P1785-Q1785</f>
        <v/>
      </c>
      <c r="V1785" s="77">
        <f>ABS(U1785)</f>
        <v/>
      </c>
      <c r="W1785" s="78">
        <f>T1785/L1785</f>
        <v/>
      </c>
      <c r="X1785" s="79">
        <f>ABS(W1785)</f>
        <v/>
      </c>
    </row>
    <row r="1786" ht="11.4" customHeight="1">
      <c r="A1786" s="67" t="inlineStr">
        <is>
          <t>大甜60</t>
        </is>
      </c>
      <c r="B1786" s="67" t="inlineStr">
        <is>
          <t>1058</t>
        </is>
      </c>
      <c r="C1786" s="67" t="inlineStr">
        <is>
          <t>1611</t>
        </is>
      </c>
      <c r="D1786" s="68" t="inlineStr">
        <is>
          <t>03</t>
        </is>
      </c>
      <c r="E1786" s="68" t="inlineStr">
        <is>
          <t>6 物业施工费</t>
        </is>
      </c>
      <c r="F1786" s="68" t="inlineStr">
        <is>
          <t>6.1 总承包工程</t>
        </is>
      </c>
      <c r="G1786" s="68" t="inlineStr">
        <is>
          <t>6.1.1 内部装修工程</t>
        </is>
      </c>
      <c r="H1786" s="68" t="inlineStr">
        <is>
          <t>柜台</t>
        </is>
      </c>
      <c r="I1786" s="69" t="inlineStr">
        <is>
          <t>1000021802</t>
        </is>
      </c>
      <c r="J1786" s="69" t="inlineStr">
        <is>
          <t>钢木结构柜台连面板及柜台立面(台面+立面人造石)</t>
        </is>
      </c>
      <c r="K1786" s="70" t="n"/>
      <c r="L1786" s="70" t="n"/>
      <c r="M1786" s="71" t="inlineStr">
        <is>
          <t>米</t>
        </is>
      </c>
      <c r="N1786" s="72" t="n">
        <v>4211.65</v>
      </c>
      <c r="O1786" s="72">
        <f>ROUND(N1786*(1+$F$10),2)</f>
        <v/>
      </c>
      <c r="P1786" s="73">
        <f>ROUND(K1786*N1786,2)</f>
        <v/>
      </c>
      <c r="Q1786" s="74">
        <f>ROUND(L1786*N1786,2)</f>
        <v/>
      </c>
      <c r="R1786" s="75" t="n"/>
      <c r="S1786" s="76" t="n"/>
      <c r="T1786" s="77">
        <f>K1786-L1786</f>
        <v/>
      </c>
      <c r="U1786" s="77">
        <f>P1786-Q1786</f>
        <v/>
      </c>
      <c r="V1786" s="77">
        <f>ABS(U1786)</f>
        <v/>
      </c>
      <c r="W1786" s="78">
        <f>T1786/L1786</f>
        <v/>
      </c>
      <c r="X1786" s="79">
        <f>ABS(W1786)</f>
        <v/>
      </c>
    </row>
    <row r="1787" ht="11.4" customHeight="1">
      <c r="A1787" s="67" t="inlineStr">
        <is>
          <t>大甜60</t>
        </is>
      </c>
      <c r="B1787" s="67" t="inlineStr">
        <is>
          <t>1058</t>
        </is>
      </c>
      <c r="C1787" s="67" t="inlineStr">
        <is>
          <t>1611</t>
        </is>
      </c>
      <c r="D1787" s="68" t="inlineStr">
        <is>
          <t>03</t>
        </is>
      </c>
      <c r="E1787" s="68" t="inlineStr">
        <is>
          <t>6 物业施工费</t>
        </is>
      </c>
      <c r="F1787" s="68" t="inlineStr">
        <is>
          <t>6.1 总承包工程</t>
        </is>
      </c>
      <c r="G1787" s="68" t="inlineStr">
        <is>
          <t>6.1.1 内部装修工程</t>
        </is>
      </c>
      <c r="H1787" s="68" t="inlineStr">
        <is>
          <t>柜台</t>
        </is>
      </c>
      <c r="I1787" s="69" t="inlineStr">
        <is>
          <t>1000022158</t>
        </is>
      </c>
      <c r="J1787" s="69" t="inlineStr">
        <is>
          <t>主店柜台安装（3+1成品柜台）</t>
        </is>
      </c>
      <c r="K1787" s="70" t="n"/>
      <c r="L1787" s="70" t="n"/>
      <c r="M1787" s="71" t="inlineStr">
        <is>
          <t>项</t>
        </is>
      </c>
      <c r="N1787" s="72" t="n">
        <v>1130</v>
      </c>
      <c r="O1787" s="72">
        <f>ROUND(N1787*(1+$F$10),2)</f>
        <v/>
      </c>
      <c r="P1787" s="73">
        <f>ROUND(K1787*N1787,2)</f>
        <v/>
      </c>
      <c r="Q1787" s="74">
        <f>ROUND(L1787*N1787,2)</f>
        <v/>
      </c>
      <c r="R1787" s="75" t="n"/>
      <c r="S1787" s="76" t="n"/>
      <c r="T1787" s="77">
        <f>K1787-L1787</f>
        <v/>
      </c>
      <c r="U1787" s="77">
        <f>P1787-Q1787</f>
        <v/>
      </c>
      <c r="V1787" s="77">
        <f>ABS(U1787)</f>
        <v/>
      </c>
      <c r="W1787" s="78">
        <f>T1787/L1787</f>
        <v/>
      </c>
      <c r="X1787" s="79">
        <f>ABS(W1787)</f>
        <v/>
      </c>
    </row>
    <row r="1788" ht="11.4" customHeight="1">
      <c r="A1788" s="67" t="inlineStr">
        <is>
          <t>大甜61</t>
        </is>
      </c>
      <c r="B1788" s="67" t="inlineStr">
        <is>
          <t>1059</t>
        </is>
      </c>
      <c r="C1788" s="67" t="inlineStr">
        <is>
          <t>1611</t>
        </is>
      </c>
      <c r="D1788" s="68" t="inlineStr">
        <is>
          <t>03</t>
        </is>
      </c>
      <c r="E1788" s="68" t="inlineStr">
        <is>
          <t>6 物业施工费</t>
        </is>
      </c>
      <c r="F1788" s="68" t="inlineStr">
        <is>
          <t>6.1 总承包工程</t>
        </is>
      </c>
      <c r="G1788" s="68" t="inlineStr">
        <is>
          <t>6.1.1 内部装修工程</t>
        </is>
      </c>
      <c r="H1788" s="68" t="inlineStr">
        <is>
          <t>卫生间地面</t>
        </is>
      </c>
      <c r="I1788" s="69" t="inlineStr">
        <is>
          <t>1000021456</t>
        </is>
      </c>
      <c r="J1788" s="69" t="inlineStr">
        <is>
          <t>国产同质砖（琛雄，含不超过50mm厚的找平层）</t>
        </is>
      </c>
      <c r="K1788" s="70" t="n"/>
      <c r="L1788" s="70" t="n"/>
      <c r="M1788" s="71" t="inlineStr">
        <is>
          <t>m2</t>
        </is>
      </c>
      <c r="N1788" s="72" t="n">
        <v>180.78</v>
      </c>
      <c r="O1788" s="72">
        <f>ROUND(N1788*(1+$F$10),2)</f>
        <v/>
      </c>
      <c r="P1788" s="73">
        <f>ROUND(K1788*N1788,2)</f>
        <v/>
      </c>
      <c r="Q1788" s="74">
        <f>ROUND(L1788*N1788,2)</f>
        <v/>
      </c>
      <c r="R1788" s="75" t="n"/>
      <c r="S1788" s="76" t="n"/>
      <c r="T1788" s="77">
        <f>K1788-L1788</f>
        <v/>
      </c>
      <c r="U1788" s="77">
        <f>P1788-Q1788</f>
        <v/>
      </c>
      <c r="V1788" s="77">
        <f>ABS(U1788)</f>
        <v/>
      </c>
      <c r="W1788" s="78">
        <f>T1788/L1788</f>
        <v/>
      </c>
      <c r="X1788" s="79">
        <f>ABS(W1788)</f>
        <v/>
      </c>
    </row>
    <row r="1789" ht="11.4" customHeight="1">
      <c r="A1789" s="67" t="inlineStr">
        <is>
          <t>大甜61</t>
        </is>
      </c>
      <c r="B1789" s="67" t="inlineStr">
        <is>
          <t>1059</t>
        </is>
      </c>
      <c r="C1789" s="67" t="inlineStr">
        <is>
          <t>1611</t>
        </is>
      </c>
      <c r="D1789" s="68" t="inlineStr">
        <is>
          <t>03</t>
        </is>
      </c>
      <c r="E1789" s="68" t="inlineStr">
        <is>
          <t>6 物业施工费</t>
        </is>
      </c>
      <c r="F1789" s="68" t="inlineStr">
        <is>
          <t>6.1 总承包工程</t>
        </is>
      </c>
      <c r="G1789" s="68" t="inlineStr">
        <is>
          <t>6.1.1 内部装修工程</t>
        </is>
      </c>
      <c r="H1789" s="68" t="inlineStr">
        <is>
          <t>卫生间地面</t>
        </is>
      </c>
      <c r="I1789" s="69" t="inlineStr">
        <is>
          <t>1000021457</t>
        </is>
      </c>
      <c r="J1789" s="69" t="inlineStr">
        <is>
          <t>国产同质砖踢脚（琛雄）</t>
        </is>
      </c>
      <c r="K1789" s="70" t="n"/>
      <c r="L1789" s="70" t="n"/>
      <c r="M1789" s="71" t="inlineStr">
        <is>
          <t>米</t>
        </is>
      </c>
      <c r="N1789" s="72" t="n">
        <v>41.36</v>
      </c>
      <c r="O1789" s="72">
        <f>ROUND(N1789*(1+$F$10),2)</f>
        <v/>
      </c>
      <c r="P1789" s="73">
        <f>ROUND(K1789*N1789,2)</f>
        <v/>
      </c>
      <c r="Q1789" s="74">
        <f>ROUND(L1789*N1789,2)</f>
        <v/>
      </c>
      <c r="R1789" s="75" t="n"/>
      <c r="S1789" s="76" t="n"/>
      <c r="T1789" s="77">
        <f>K1789-L1789</f>
        <v/>
      </c>
      <c r="U1789" s="77">
        <f>P1789-Q1789</f>
        <v/>
      </c>
      <c r="V1789" s="77">
        <f>ABS(U1789)</f>
        <v/>
      </c>
      <c r="W1789" s="78">
        <f>T1789/L1789</f>
        <v/>
      </c>
      <c r="X1789" s="79">
        <f>ABS(W1789)</f>
        <v/>
      </c>
    </row>
    <row r="1790" ht="11.4" customHeight="1">
      <c r="A1790" s="67" t="inlineStr">
        <is>
          <t>大甜61</t>
        </is>
      </c>
      <c r="B1790" s="67" t="inlineStr">
        <is>
          <t>1059</t>
        </is>
      </c>
      <c r="C1790" s="67" t="inlineStr">
        <is>
          <t>1611</t>
        </is>
      </c>
      <c r="D1790" s="68" t="inlineStr">
        <is>
          <t>03</t>
        </is>
      </c>
      <c r="E1790" s="68" t="inlineStr">
        <is>
          <t>6 物业施工费</t>
        </is>
      </c>
      <c r="F1790" s="68" t="inlineStr">
        <is>
          <t>6.1 总承包工程</t>
        </is>
      </c>
      <c r="G1790" s="68" t="inlineStr">
        <is>
          <t>6.1.1 内部装修工程</t>
        </is>
      </c>
      <c r="H1790" s="68" t="inlineStr">
        <is>
          <t>卫生间地面</t>
        </is>
      </c>
      <c r="I1790" s="69" t="inlineStr">
        <is>
          <t>1000021643</t>
        </is>
      </c>
      <c r="J1790" s="69" t="inlineStr">
        <is>
          <t>国产同质砖（共荣，含不超过50mm厚的找平层）</t>
        </is>
      </c>
      <c r="K1790" s="70" t="n"/>
      <c r="L1790" s="70" t="n"/>
      <c r="M1790" s="71" t="inlineStr">
        <is>
          <t>m2</t>
        </is>
      </c>
      <c r="N1790" s="72" t="n">
        <v>160.21</v>
      </c>
      <c r="O1790" s="72">
        <f>ROUND(N1790*(1+$F$10),2)</f>
        <v/>
      </c>
      <c r="P1790" s="73">
        <f>ROUND(K1790*N1790,2)</f>
        <v/>
      </c>
      <c r="Q1790" s="74">
        <f>ROUND(L1790*N1790,2)</f>
        <v/>
      </c>
      <c r="R1790" s="75" t="n"/>
      <c r="S1790" s="76" t="n"/>
      <c r="T1790" s="77">
        <f>K1790-L1790</f>
        <v/>
      </c>
      <c r="U1790" s="77">
        <f>P1790-Q1790</f>
        <v/>
      </c>
      <c r="V1790" s="77">
        <f>ABS(U1790)</f>
        <v/>
      </c>
      <c r="W1790" s="78">
        <f>T1790/L1790</f>
        <v/>
      </c>
      <c r="X1790" s="79">
        <f>ABS(W1790)</f>
        <v/>
      </c>
    </row>
    <row r="1791" ht="11.4" customHeight="1">
      <c r="A1791" s="67" t="inlineStr">
        <is>
          <t>大甜61</t>
        </is>
      </c>
      <c r="B1791" s="67" t="inlineStr">
        <is>
          <t>1059</t>
        </is>
      </c>
      <c r="C1791" s="67" t="inlineStr">
        <is>
          <t>1611</t>
        </is>
      </c>
      <c r="D1791" s="68" t="inlineStr">
        <is>
          <t>03</t>
        </is>
      </c>
      <c r="E1791" s="68" t="inlineStr">
        <is>
          <t>6 物业施工费</t>
        </is>
      </c>
      <c r="F1791" s="68" t="inlineStr">
        <is>
          <t>6.1 总承包工程</t>
        </is>
      </c>
      <c r="G1791" s="68" t="inlineStr">
        <is>
          <t>6.1.1 内部装修工程</t>
        </is>
      </c>
      <c r="H1791" s="68" t="inlineStr">
        <is>
          <t>卫生间地面</t>
        </is>
      </c>
      <c r="I1791" s="69" t="inlineStr">
        <is>
          <t>1000021644</t>
        </is>
      </c>
      <c r="J1791" s="69" t="inlineStr">
        <is>
          <t>国产同质砖踢脚（共荣）</t>
        </is>
      </c>
      <c r="K1791" s="70" t="n"/>
      <c r="L1791" s="70" t="n"/>
      <c r="M1791" s="71" t="inlineStr">
        <is>
          <t>米</t>
        </is>
      </c>
      <c r="N1791" s="72" t="n">
        <v>38.94</v>
      </c>
      <c r="O1791" s="72">
        <f>ROUND(N1791*(1+$F$10),2)</f>
        <v/>
      </c>
      <c r="P1791" s="73">
        <f>ROUND(K1791*N1791,2)</f>
        <v/>
      </c>
      <c r="Q1791" s="74">
        <f>ROUND(L1791*N1791,2)</f>
        <v/>
      </c>
      <c r="R1791" s="75" t="n"/>
      <c r="S1791" s="76" t="n"/>
      <c r="T1791" s="77">
        <f>K1791-L1791</f>
        <v/>
      </c>
      <c r="U1791" s="77">
        <f>P1791-Q1791</f>
        <v/>
      </c>
      <c r="V1791" s="77">
        <f>ABS(U1791)</f>
        <v/>
      </c>
      <c r="W1791" s="78">
        <f>T1791/L1791</f>
        <v/>
      </c>
      <c r="X1791" s="79">
        <f>ABS(W1791)</f>
        <v/>
      </c>
    </row>
    <row r="1792" ht="11.4" customHeight="1">
      <c r="A1792" s="67" t="inlineStr">
        <is>
          <t>大甜61</t>
        </is>
      </c>
      <c r="B1792" s="67" t="inlineStr">
        <is>
          <t>1059</t>
        </is>
      </c>
      <c r="C1792" s="67" t="inlineStr">
        <is>
          <t>1611</t>
        </is>
      </c>
      <c r="D1792" s="68" t="inlineStr">
        <is>
          <t>03</t>
        </is>
      </c>
      <c r="E1792" s="68" t="inlineStr">
        <is>
          <t>6 物业施工费</t>
        </is>
      </c>
      <c r="F1792" s="68" t="inlineStr">
        <is>
          <t>6.1 总承包工程</t>
        </is>
      </c>
      <c r="G1792" s="68" t="inlineStr">
        <is>
          <t>6.1.1 内部装修工程</t>
        </is>
      </c>
      <c r="H1792" s="68" t="inlineStr">
        <is>
          <t>卫生间地面</t>
        </is>
      </c>
      <c r="I1792" s="69" t="inlineStr">
        <is>
          <t>1000021622</t>
        </is>
      </c>
      <c r="J1792" s="69" t="inlineStr">
        <is>
          <t>国产同质砖（冠军，含不超过50mm厚的找平层）</t>
        </is>
      </c>
      <c r="K1792" s="70" t="n"/>
      <c r="L1792" s="70" t="n"/>
      <c r="M1792" s="71" t="inlineStr">
        <is>
          <t>m2</t>
        </is>
      </c>
      <c r="N1792" s="72" t="n">
        <v>181.99</v>
      </c>
      <c r="O1792" s="72">
        <f>ROUND(N1792*(1+$F$10),2)</f>
        <v/>
      </c>
      <c r="P1792" s="73">
        <f>ROUND(K1792*N1792,2)</f>
        <v/>
      </c>
      <c r="Q1792" s="74">
        <f>ROUND(L1792*N1792,2)</f>
        <v/>
      </c>
      <c r="R1792" s="75" t="n"/>
      <c r="S1792" s="76" t="n"/>
      <c r="T1792" s="77">
        <f>K1792-L1792</f>
        <v/>
      </c>
      <c r="U1792" s="77">
        <f>P1792-Q1792</f>
        <v/>
      </c>
      <c r="V1792" s="77">
        <f>ABS(U1792)</f>
        <v/>
      </c>
      <c r="W1792" s="78">
        <f>T1792/L1792</f>
        <v/>
      </c>
      <c r="X1792" s="79">
        <f>ABS(W1792)</f>
        <v/>
      </c>
    </row>
    <row r="1793" ht="11.4" customHeight="1">
      <c r="A1793" s="67" t="inlineStr">
        <is>
          <t>大甜61</t>
        </is>
      </c>
      <c r="B1793" s="67" t="inlineStr">
        <is>
          <t>1059</t>
        </is>
      </c>
      <c r="C1793" s="67" t="inlineStr">
        <is>
          <t>1611</t>
        </is>
      </c>
      <c r="D1793" s="68" t="inlineStr">
        <is>
          <t>03</t>
        </is>
      </c>
      <c r="E1793" s="68" t="inlineStr">
        <is>
          <t>6 物业施工费</t>
        </is>
      </c>
      <c r="F1793" s="68" t="inlineStr">
        <is>
          <t>6.1 总承包工程</t>
        </is>
      </c>
      <c r="G1793" s="68" t="inlineStr">
        <is>
          <t>6.1.1 内部装修工程</t>
        </is>
      </c>
      <c r="H1793" s="68" t="inlineStr">
        <is>
          <t>卫生间地面</t>
        </is>
      </c>
      <c r="I1793" s="69" t="inlineStr">
        <is>
          <t>1000021623</t>
        </is>
      </c>
      <c r="J1793" s="69" t="inlineStr">
        <is>
          <t>国产同质砖踢脚（冠军）</t>
        </is>
      </c>
      <c r="K1793" s="70" t="n"/>
      <c r="L1793" s="70" t="n"/>
      <c r="M1793" s="71" t="inlineStr">
        <is>
          <t>米</t>
        </is>
      </c>
      <c r="N1793" s="72" t="n">
        <v>42.57</v>
      </c>
      <c r="O1793" s="72">
        <f>ROUND(N1793*(1+$F$10),2)</f>
        <v/>
      </c>
      <c r="P1793" s="73">
        <f>ROUND(K1793*N1793,2)</f>
        <v/>
      </c>
      <c r="Q1793" s="74">
        <f>ROUND(L1793*N1793,2)</f>
        <v/>
      </c>
      <c r="R1793" s="75" t="n"/>
      <c r="S1793" s="76" t="n"/>
      <c r="T1793" s="77">
        <f>K1793-L1793</f>
        <v/>
      </c>
      <c r="U1793" s="77">
        <f>P1793-Q1793</f>
        <v/>
      </c>
      <c r="V1793" s="77">
        <f>ABS(U1793)</f>
        <v/>
      </c>
      <c r="W1793" s="78">
        <f>T1793/L1793</f>
        <v/>
      </c>
      <c r="X1793" s="79">
        <f>ABS(W1793)</f>
        <v/>
      </c>
    </row>
    <row r="1794" ht="11.4" customHeight="1">
      <c r="A1794" s="67" t="inlineStr">
        <is>
          <t>大甜61</t>
        </is>
      </c>
      <c r="B1794" s="67" t="inlineStr">
        <is>
          <t>1059</t>
        </is>
      </c>
      <c r="C1794" s="67" t="inlineStr">
        <is>
          <t>1611</t>
        </is>
      </c>
      <c r="D1794" s="68" t="inlineStr">
        <is>
          <t>03</t>
        </is>
      </c>
      <c r="E1794" s="68" t="inlineStr">
        <is>
          <t>6 物业施工费</t>
        </is>
      </c>
      <c r="F1794" s="68" t="inlineStr">
        <is>
          <t>6.1 总承包工程</t>
        </is>
      </c>
      <c r="G1794" s="68" t="inlineStr">
        <is>
          <t>6.1.1 内部装修工程</t>
        </is>
      </c>
      <c r="H1794" s="68" t="inlineStr">
        <is>
          <t>卫生间地面</t>
        </is>
      </c>
      <c r="I1794" s="69" t="inlineStr">
        <is>
          <t>1000051755</t>
        </is>
      </c>
      <c r="J1794" s="69" t="inlineStr">
        <is>
          <t>600*600mm灰色水泥地砖（琛雄，含不超过50mm厚的找平层）</t>
        </is>
      </c>
      <c r="K1794" s="70" t="n"/>
      <c r="L1794" s="70" t="n"/>
      <c r="M1794" s="71" t="inlineStr">
        <is>
          <t>m2</t>
        </is>
      </c>
      <c r="N1794" s="72" t="n">
        <v>187.98</v>
      </c>
      <c r="O1794" s="72">
        <f>ROUND(N1794*(1+$F$10),2)</f>
        <v/>
      </c>
      <c r="P1794" s="73">
        <f>ROUND(K1794*N1794,2)</f>
        <v/>
      </c>
      <c r="Q1794" s="74">
        <f>ROUND(L1794*N1794,2)</f>
        <v/>
      </c>
      <c r="R1794" s="75" t="n"/>
      <c r="S1794" s="76" t="n"/>
      <c r="T1794" s="77">
        <f>K1794-L1794</f>
        <v/>
      </c>
      <c r="U1794" s="77">
        <f>P1794-Q1794</f>
        <v/>
      </c>
      <c r="V1794" s="77">
        <f>ABS(U1794)</f>
        <v/>
      </c>
      <c r="W1794" s="78">
        <f>T1794/L1794</f>
        <v/>
      </c>
      <c r="X1794" s="79">
        <f>ABS(W1794)</f>
        <v/>
      </c>
    </row>
    <row r="1795" ht="11.4" customHeight="1">
      <c r="A1795" s="67" t="inlineStr">
        <is>
          <t>大甜61</t>
        </is>
      </c>
      <c r="B1795" s="67" t="inlineStr">
        <is>
          <t>1059</t>
        </is>
      </c>
      <c r="C1795" s="67" t="inlineStr">
        <is>
          <t>1611</t>
        </is>
      </c>
      <c r="D1795" s="68" t="inlineStr">
        <is>
          <t>03</t>
        </is>
      </c>
      <c r="E1795" s="68" t="inlineStr">
        <is>
          <t>6 物业施工费</t>
        </is>
      </c>
      <c r="F1795" s="68" t="inlineStr">
        <is>
          <t>6.1 总承包工程</t>
        </is>
      </c>
      <c r="G1795" s="68" t="inlineStr">
        <is>
          <t>6.1.1 内部装修工程</t>
        </is>
      </c>
      <c r="H1795" s="68" t="inlineStr">
        <is>
          <t>卫生间地面</t>
        </is>
      </c>
      <c r="I1795" s="69" t="inlineStr">
        <is>
          <t>1000051756</t>
        </is>
      </c>
      <c r="J1795" s="69" t="inlineStr">
        <is>
          <t>600*600mm灰色水泥地砖（共荣，含不超过50mm厚的找平层）</t>
        </is>
      </c>
      <c r="K1795" s="70" t="n"/>
      <c r="L1795" s="70" t="n"/>
      <c r="M1795" s="71" t="inlineStr">
        <is>
          <t>m2</t>
        </is>
      </c>
      <c r="N1795" s="72" t="n">
        <v>171.66</v>
      </c>
      <c r="O1795" s="72">
        <f>ROUND(N1795*(1+$F$10),2)</f>
        <v/>
      </c>
      <c r="P1795" s="73">
        <f>ROUND(K1795*N1795,2)</f>
        <v/>
      </c>
      <c r="Q1795" s="74">
        <f>ROUND(L1795*N1795,2)</f>
        <v/>
      </c>
      <c r="R1795" s="75" t="n"/>
      <c r="S1795" s="76" t="n"/>
      <c r="T1795" s="77">
        <f>K1795-L1795</f>
        <v/>
      </c>
      <c r="U1795" s="77">
        <f>P1795-Q1795</f>
        <v/>
      </c>
      <c r="V1795" s="77">
        <f>ABS(U1795)</f>
        <v/>
      </c>
      <c r="W1795" s="78">
        <f>T1795/L1795</f>
        <v/>
      </c>
      <c r="X1795" s="79">
        <f>ABS(W1795)</f>
        <v/>
      </c>
    </row>
    <row r="1796" ht="11.4" customHeight="1">
      <c r="A1796" s="67" t="inlineStr">
        <is>
          <t>大甜61</t>
        </is>
      </c>
      <c r="B1796" s="67" t="inlineStr">
        <is>
          <t>1059</t>
        </is>
      </c>
      <c r="C1796" s="67" t="inlineStr">
        <is>
          <t>1611</t>
        </is>
      </c>
      <c r="D1796" s="68" t="inlineStr">
        <is>
          <t>03</t>
        </is>
      </c>
      <c r="E1796" s="68" t="inlineStr">
        <is>
          <t>6 物业施工费</t>
        </is>
      </c>
      <c r="F1796" s="68" t="inlineStr">
        <is>
          <t>6.1 总承包工程</t>
        </is>
      </c>
      <c r="G1796" s="68" t="inlineStr">
        <is>
          <t>6.1.1 内部装修工程</t>
        </is>
      </c>
      <c r="H1796" s="68" t="inlineStr">
        <is>
          <t>卫生间地面</t>
        </is>
      </c>
      <c r="I1796" s="69" t="inlineStr">
        <is>
          <t>1000051757</t>
        </is>
      </c>
      <c r="J1796" s="69" t="inlineStr">
        <is>
          <t>600*600mm灰色水泥地砖（冠军，含不超过50mm厚的找平层）</t>
        </is>
      </c>
      <c r="K1796" s="70" t="n"/>
      <c r="L1796" s="70" t="n"/>
      <c r="M1796" s="71" t="inlineStr">
        <is>
          <t>m2</t>
        </is>
      </c>
      <c r="N1796" s="72" t="n">
        <v>189.15</v>
      </c>
      <c r="O1796" s="72">
        <f>ROUND(N1796*(1+$F$10),2)</f>
        <v/>
      </c>
      <c r="P1796" s="73">
        <f>ROUND(K1796*N1796,2)</f>
        <v/>
      </c>
      <c r="Q1796" s="74">
        <f>ROUND(L1796*N1796,2)</f>
        <v/>
      </c>
      <c r="R1796" s="75" t="n"/>
      <c r="S1796" s="76" t="n"/>
      <c r="T1796" s="77">
        <f>K1796-L1796</f>
        <v/>
      </c>
      <c r="U1796" s="77">
        <f>P1796-Q1796</f>
        <v/>
      </c>
      <c r="V1796" s="77">
        <f>ABS(U1796)</f>
        <v/>
      </c>
      <c r="W1796" s="78">
        <f>T1796/L1796</f>
        <v/>
      </c>
      <c r="X1796" s="79">
        <f>ABS(W1796)</f>
        <v/>
      </c>
    </row>
    <row r="1797" ht="11.4" customHeight="1">
      <c r="A1797" s="67" t="inlineStr">
        <is>
          <t>大甜61</t>
        </is>
      </c>
      <c r="B1797" s="67" t="inlineStr">
        <is>
          <t>1059</t>
        </is>
      </c>
      <c r="C1797" s="67" t="inlineStr">
        <is>
          <t>1611</t>
        </is>
      </c>
      <c r="D1797" s="68" t="inlineStr">
        <is>
          <t>03</t>
        </is>
      </c>
      <c r="E1797" s="68" t="inlineStr">
        <is>
          <t>6 物业施工费</t>
        </is>
      </c>
      <c r="F1797" s="68" t="inlineStr">
        <is>
          <t>6.1 总承包工程</t>
        </is>
      </c>
      <c r="G1797" s="68" t="inlineStr">
        <is>
          <t>6.1.1 内部装修工程</t>
        </is>
      </c>
      <c r="H1797" s="68" t="inlineStr">
        <is>
          <t>卫生间地面</t>
        </is>
      </c>
      <c r="I1797" s="69" t="inlineStr">
        <is>
          <t>1000053612</t>
        </is>
      </c>
      <c r="J1797" s="69" t="inlineStr">
        <is>
          <t>灰色水泥纹踢脚（琛雄）</t>
        </is>
      </c>
      <c r="K1797" s="70" t="n"/>
      <c r="L1797" s="70" t="n"/>
      <c r="M1797" s="71" t="inlineStr">
        <is>
          <t>米</t>
        </is>
      </c>
      <c r="N1797" s="72" t="n">
        <v>41.36</v>
      </c>
      <c r="O1797" s="72">
        <f>ROUND(N1797*(1+$F$10),2)</f>
        <v/>
      </c>
      <c r="P1797" s="73">
        <f>ROUND(K1797*N1797,2)</f>
        <v/>
      </c>
      <c r="Q1797" s="74">
        <f>ROUND(L1797*N1797,2)</f>
        <v/>
      </c>
      <c r="R1797" s="75" t="n"/>
      <c r="S1797" s="76" t="n"/>
      <c r="T1797" s="77">
        <f>K1797-L1797</f>
        <v/>
      </c>
      <c r="U1797" s="77">
        <f>P1797-Q1797</f>
        <v/>
      </c>
      <c r="V1797" s="77">
        <f>ABS(U1797)</f>
        <v/>
      </c>
      <c r="W1797" s="78">
        <f>T1797/L1797</f>
        <v/>
      </c>
      <c r="X1797" s="79">
        <f>ABS(W1797)</f>
        <v/>
      </c>
    </row>
    <row r="1798" ht="11.4" customHeight="1">
      <c r="A1798" s="67" t="inlineStr">
        <is>
          <t>大甜61</t>
        </is>
      </c>
      <c r="B1798" s="67" t="inlineStr">
        <is>
          <t>1059</t>
        </is>
      </c>
      <c r="C1798" s="67" t="inlineStr">
        <is>
          <t>1611</t>
        </is>
      </c>
      <c r="D1798" s="68" t="inlineStr">
        <is>
          <t>03</t>
        </is>
      </c>
      <c r="E1798" s="68" t="inlineStr">
        <is>
          <t>6 物业施工费</t>
        </is>
      </c>
      <c r="F1798" s="68" t="inlineStr">
        <is>
          <t>6.1 总承包工程</t>
        </is>
      </c>
      <c r="G1798" s="68" t="inlineStr">
        <is>
          <t>6.1.1 内部装修工程</t>
        </is>
      </c>
      <c r="H1798" s="68" t="inlineStr">
        <is>
          <t>卫生间地面</t>
        </is>
      </c>
      <c r="I1798" s="69" t="inlineStr">
        <is>
          <t>1000053613</t>
        </is>
      </c>
      <c r="J1798" s="69" t="inlineStr">
        <is>
          <t>灰色水泥纹踢脚（共荣）</t>
        </is>
      </c>
      <c r="K1798" s="70" t="n"/>
      <c r="L1798" s="70" t="n"/>
      <c r="M1798" s="71" t="inlineStr">
        <is>
          <t>米</t>
        </is>
      </c>
      <c r="N1798" s="72" t="n">
        <v>38.94</v>
      </c>
      <c r="O1798" s="72">
        <f>ROUND(N1798*(1+$F$10),2)</f>
        <v/>
      </c>
      <c r="P1798" s="73">
        <f>ROUND(K1798*N1798,2)</f>
        <v/>
      </c>
      <c r="Q1798" s="74">
        <f>ROUND(L1798*N1798,2)</f>
        <v/>
      </c>
      <c r="R1798" s="75" t="n"/>
      <c r="S1798" s="76" t="n"/>
      <c r="T1798" s="77">
        <f>K1798-L1798</f>
        <v/>
      </c>
      <c r="U1798" s="77">
        <f>P1798-Q1798</f>
        <v/>
      </c>
      <c r="V1798" s="77">
        <f>ABS(U1798)</f>
        <v/>
      </c>
      <c r="W1798" s="78">
        <f>T1798/L1798</f>
        <v/>
      </c>
      <c r="X1798" s="79">
        <f>ABS(W1798)</f>
        <v/>
      </c>
    </row>
    <row r="1799" ht="11.4" customHeight="1">
      <c r="A1799" s="67" t="inlineStr">
        <is>
          <t>大甜61</t>
        </is>
      </c>
      <c r="B1799" s="67" t="inlineStr">
        <is>
          <t>1059</t>
        </is>
      </c>
      <c r="C1799" s="67" t="inlineStr">
        <is>
          <t>1611</t>
        </is>
      </c>
      <c r="D1799" s="68" t="inlineStr">
        <is>
          <t>03</t>
        </is>
      </c>
      <c r="E1799" s="68" t="inlineStr">
        <is>
          <t>6 物业施工费</t>
        </is>
      </c>
      <c r="F1799" s="68" t="inlineStr">
        <is>
          <t>6.1 总承包工程</t>
        </is>
      </c>
      <c r="G1799" s="68" t="inlineStr">
        <is>
          <t>6.1.1 内部装修工程</t>
        </is>
      </c>
      <c r="H1799" s="68" t="inlineStr">
        <is>
          <t>卫生间地面</t>
        </is>
      </c>
      <c r="I1799" s="69" t="inlineStr">
        <is>
          <t>1000053614</t>
        </is>
      </c>
      <c r="J1799" s="69" t="inlineStr">
        <is>
          <t>灰色水泥纹踢脚（冠军）</t>
        </is>
      </c>
      <c r="K1799" s="70" t="n"/>
      <c r="L1799" s="70" t="n"/>
      <c r="M1799" s="71" t="inlineStr">
        <is>
          <t>米</t>
        </is>
      </c>
      <c r="N1799" s="72" t="n">
        <v>40.15</v>
      </c>
      <c r="O1799" s="72">
        <f>ROUND(N1799*(1+$F$10),2)</f>
        <v/>
      </c>
      <c r="P1799" s="73">
        <f>ROUND(K1799*N1799,2)</f>
        <v/>
      </c>
      <c r="Q1799" s="74">
        <f>ROUND(L1799*N1799,2)</f>
        <v/>
      </c>
      <c r="R1799" s="75" t="n"/>
      <c r="S1799" s="76" t="n"/>
      <c r="T1799" s="77">
        <f>K1799-L1799</f>
        <v/>
      </c>
      <c r="U1799" s="77">
        <f>P1799-Q1799</f>
        <v/>
      </c>
      <c r="V1799" s="77">
        <f>ABS(U1799)</f>
        <v/>
      </c>
      <c r="W1799" s="78">
        <f>T1799/L1799</f>
        <v/>
      </c>
      <c r="X1799" s="79">
        <f>ABS(W1799)</f>
        <v/>
      </c>
    </row>
    <row r="1800" ht="11.4" customHeight="1">
      <c r="A1800" s="67" t="inlineStr">
        <is>
          <t>大甜61</t>
        </is>
      </c>
      <c r="B1800" s="67" t="inlineStr">
        <is>
          <t>1059</t>
        </is>
      </c>
      <c r="C1800" s="67" t="inlineStr">
        <is>
          <t>1611</t>
        </is>
      </c>
      <c r="D1800" s="68" t="inlineStr">
        <is>
          <t>03</t>
        </is>
      </c>
      <c r="E1800" s="68" t="inlineStr">
        <is>
          <t>6 物业施工费</t>
        </is>
      </c>
      <c r="F1800" s="68" t="inlineStr">
        <is>
          <t>6.1 总承包工程</t>
        </is>
      </c>
      <c r="G1800" s="68" t="inlineStr">
        <is>
          <t>6.1.1 内部装修工程</t>
        </is>
      </c>
      <c r="H1800" s="68" t="inlineStr">
        <is>
          <t>卫生间地面</t>
        </is>
      </c>
      <c r="I1800" s="69" t="inlineStr">
        <is>
          <t>1000021666</t>
        </is>
      </c>
      <c r="J1800" s="69" t="inlineStr">
        <is>
          <t>600*600mm水磨石地砖（琛雄，含不超过50mm厚的找平层）</t>
        </is>
      </c>
      <c r="K1800" s="70" t="n"/>
      <c r="L1800" s="70" t="n"/>
      <c r="M1800" s="71" t="inlineStr">
        <is>
          <t>m2</t>
        </is>
      </c>
      <c r="N1800" s="72" t="n">
        <v>196.14</v>
      </c>
      <c r="O1800" s="72">
        <f>ROUND(N1800*(1+$F$10),2)</f>
        <v/>
      </c>
      <c r="P1800" s="73">
        <f>ROUND(K1800*N1800,2)</f>
        <v/>
      </c>
      <c r="Q1800" s="74">
        <f>ROUND(L1800*N1800,2)</f>
        <v/>
      </c>
      <c r="R1800" s="75" t="n"/>
      <c r="S1800" s="76" t="n"/>
      <c r="T1800" s="77">
        <f>K1800-L1800</f>
        <v/>
      </c>
      <c r="U1800" s="77">
        <f>P1800-Q1800</f>
        <v/>
      </c>
      <c r="V1800" s="77">
        <f>ABS(U1800)</f>
        <v/>
      </c>
      <c r="W1800" s="78">
        <f>T1800/L1800</f>
        <v/>
      </c>
      <c r="X1800" s="79">
        <f>ABS(W1800)</f>
        <v/>
      </c>
    </row>
    <row r="1801" ht="11.4" customHeight="1">
      <c r="A1801" s="67" t="inlineStr">
        <is>
          <t>大甜61</t>
        </is>
      </c>
      <c r="B1801" s="67" t="inlineStr">
        <is>
          <t>1059</t>
        </is>
      </c>
      <c r="C1801" s="67" t="inlineStr">
        <is>
          <t>1611</t>
        </is>
      </c>
      <c r="D1801" s="68" t="inlineStr">
        <is>
          <t>03</t>
        </is>
      </c>
      <c r="E1801" s="68" t="inlineStr">
        <is>
          <t>6 物业施工费</t>
        </is>
      </c>
      <c r="F1801" s="68" t="inlineStr">
        <is>
          <t>6.1 总承包工程</t>
        </is>
      </c>
      <c r="G1801" s="68" t="inlineStr">
        <is>
          <t>6.1.1 内部装修工程</t>
        </is>
      </c>
      <c r="H1801" s="68" t="inlineStr">
        <is>
          <t>卫生间地面</t>
        </is>
      </c>
      <c r="I1801" s="69" t="inlineStr">
        <is>
          <t>1000021667</t>
        </is>
      </c>
      <c r="J1801" s="69" t="inlineStr">
        <is>
          <t>琛雄水磨石踢脚</t>
        </is>
      </c>
      <c r="K1801" s="70" t="n"/>
      <c r="L1801" s="70" t="n"/>
      <c r="M1801" s="71" t="inlineStr">
        <is>
          <t>米</t>
        </is>
      </c>
      <c r="N1801" s="72" t="n">
        <v>41.47</v>
      </c>
      <c r="O1801" s="72">
        <f>ROUND(N1801*(1+$F$10),2)</f>
        <v/>
      </c>
      <c r="P1801" s="73">
        <f>ROUND(K1801*N1801,2)</f>
        <v/>
      </c>
      <c r="Q1801" s="74">
        <f>ROUND(L1801*N1801,2)</f>
        <v/>
      </c>
      <c r="R1801" s="75" t="n"/>
      <c r="S1801" s="76" t="n"/>
      <c r="T1801" s="77">
        <f>K1801-L1801</f>
        <v/>
      </c>
      <c r="U1801" s="77">
        <f>P1801-Q1801</f>
        <v/>
      </c>
      <c r="V1801" s="77">
        <f>ABS(U1801)</f>
        <v/>
      </c>
      <c r="W1801" s="78">
        <f>T1801/L1801</f>
        <v/>
      </c>
      <c r="X1801" s="79">
        <f>ABS(W1801)</f>
        <v/>
      </c>
    </row>
    <row r="1802" ht="11.4" customHeight="1">
      <c r="A1802" s="67" t="inlineStr">
        <is>
          <t>大甜61</t>
        </is>
      </c>
      <c r="B1802" s="67" t="inlineStr">
        <is>
          <t>1059</t>
        </is>
      </c>
      <c r="C1802" s="67" t="inlineStr">
        <is>
          <t>1611</t>
        </is>
      </c>
      <c r="D1802" s="68" t="inlineStr">
        <is>
          <t>03</t>
        </is>
      </c>
      <c r="E1802" s="68" t="inlineStr">
        <is>
          <t>6 物业施工费</t>
        </is>
      </c>
      <c r="F1802" s="68" t="inlineStr">
        <is>
          <t>6.1 总承包工程</t>
        </is>
      </c>
      <c r="G1802" s="68" t="inlineStr">
        <is>
          <t>6.1.1 内部装修工程</t>
        </is>
      </c>
      <c r="H1802" s="68" t="inlineStr">
        <is>
          <t>卫生间地面</t>
        </is>
      </c>
      <c r="I1802" s="69" t="inlineStr">
        <is>
          <t>1000021462</t>
        </is>
      </c>
      <c r="J1802" s="69" t="inlineStr">
        <is>
          <t>600*600mm水磨石地砖（共荣，含不超过50mm厚的找平层）</t>
        </is>
      </c>
      <c r="K1802" s="70" t="n"/>
      <c r="L1802" s="70" t="n"/>
      <c r="M1802" s="71" t="inlineStr">
        <is>
          <t>m2</t>
        </is>
      </c>
      <c r="N1802" s="72" t="n">
        <v>179.82</v>
      </c>
      <c r="O1802" s="72">
        <f>ROUND(N1802*(1+$F$10),2)</f>
        <v/>
      </c>
      <c r="P1802" s="73">
        <f>ROUND(K1802*N1802,2)</f>
        <v/>
      </c>
      <c r="Q1802" s="74">
        <f>ROUND(L1802*N1802,2)</f>
        <v/>
      </c>
      <c r="R1802" s="75" t="n"/>
      <c r="S1802" s="76" t="n"/>
      <c r="T1802" s="77">
        <f>K1802-L1802</f>
        <v/>
      </c>
      <c r="U1802" s="77">
        <f>P1802-Q1802</f>
        <v/>
      </c>
      <c r="V1802" s="77">
        <f>ABS(U1802)</f>
        <v/>
      </c>
      <c r="W1802" s="78">
        <f>T1802/L1802</f>
        <v/>
      </c>
      <c r="X1802" s="79">
        <f>ABS(W1802)</f>
        <v/>
      </c>
    </row>
    <row r="1803" ht="11.4" customHeight="1">
      <c r="A1803" s="67" t="inlineStr">
        <is>
          <t>大甜61</t>
        </is>
      </c>
      <c r="B1803" s="67" t="inlineStr">
        <is>
          <t>1059</t>
        </is>
      </c>
      <c r="C1803" s="67" t="inlineStr">
        <is>
          <t>1611</t>
        </is>
      </c>
      <c r="D1803" s="68" t="inlineStr">
        <is>
          <t>03</t>
        </is>
      </c>
      <c r="E1803" s="68" t="inlineStr">
        <is>
          <t>6 物业施工费</t>
        </is>
      </c>
      <c r="F1803" s="68" t="inlineStr">
        <is>
          <t>6.1 总承包工程</t>
        </is>
      </c>
      <c r="G1803" s="68" t="inlineStr">
        <is>
          <t>6.1.1 内部装修工程</t>
        </is>
      </c>
      <c r="H1803" s="68" t="inlineStr">
        <is>
          <t>卫生间地面</t>
        </is>
      </c>
      <c r="I1803" s="69" t="inlineStr">
        <is>
          <t>1000021463</t>
        </is>
      </c>
      <c r="J1803" s="69" t="inlineStr">
        <is>
          <t>共荣水磨石踢脚</t>
        </is>
      </c>
      <c r="K1803" s="70" t="n"/>
      <c r="L1803" s="70" t="n"/>
      <c r="M1803" s="71" t="inlineStr">
        <is>
          <t>米</t>
        </is>
      </c>
      <c r="N1803" s="72" t="n">
        <v>37.84</v>
      </c>
      <c r="O1803" s="72">
        <f>ROUND(N1803*(1+$F$10),2)</f>
        <v/>
      </c>
      <c r="P1803" s="73">
        <f>ROUND(K1803*N1803,2)</f>
        <v/>
      </c>
      <c r="Q1803" s="74">
        <f>ROUND(L1803*N1803,2)</f>
        <v/>
      </c>
      <c r="R1803" s="75" t="n"/>
      <c r="S1803" s="76" t="n"/>
      <c r="T1803" s="77">
        <f>K1803-L1803</f>
        <v/>
      </c>
      <c r="U1803" s="77">
        <f>P1803-Q1803</f>
        <v/>
      </c>
      <c r="V1803" s="77">
        <f>ABS(U1803)</f>
        <v/>
      </c>
      <c r="W1803" s="78">
        <f>T1803/L1803</f>
        <v/>
      </c>
      <c r="X1803" s="79">
        <f>ABS(W1803)</f>
        <v/>
      </c>
    </row>
    <row r="1804" ht="11.4" customHeight="1">
      <c r="A1804" s="67" t="inlineStr">
        <is>
          <t>大甜61</t>
        </is>
      </c>
      <c r="B1804" s="67" t="inlineStr">
        <is>
          <t>1059</t>
        </is>
      </c>
      <c r="C1804" s="67" t="inlineStr">
        <is>
          <t>1611</t>
        </is>
      </c>
      <c r="D1804" s="68" t="inlineStr">
        <is>
          <t>03</t>
        </is>
      </c>
      <c r="E1804" s="68" t="inlineStr">
        <is>
          <t>6 物业施工费</t>
        </is>
      </c>
      <c r="F1804" s="68" t="inlineStr">
        <is>
          <t>6.1 总承包工程</t>
        </is>
      </c>
      <c r="G1804" s="68" t="inlineStr">
        <is>
          <t>6.1.1 内部装修工程</t>
        </is>
      </c>
      <c r="H1804" s="68" t="inlineStr">
        <is>
          <t>卫生间地面</t>
        </is>
      </c>
      <c r="I1804" s="69" t="inlineStr">
        <is>
          <t>1000021668</t>
        </is>
      </c>
      <c r="J1804" s="69" t="inlineStr">
        <is>
          <t>600*600mm水磨石地砖（冠军，含不超过50mm厚的找平层）</t>
        </is>
      </c>
      <c r="K1804" s="70" t="n"/>
      <c r="L1804" s="70" t="n"/>
      <c r="M1804" s="71" t="inlineStr">
        <is>
          <t>m2</t>
        </is>
      </c>
      <c r="N1804" s="72" t="n">
        <v>193.81</v>
      </c>
      <c r="O1804" s="72">
        <f>ROUND(N1804*(1+$F$10),2)</f>
        <v/>
      </c>
      <c r="P1804" s="73">
        <f>ROUND(K1804*N1804,2)</f>
        <v/>
      </c>
      <c r="Q1804" s="74">
        <f>ROUND(L1804*N1804,2)</f>
        <v/>
      </c>
      <c r="R1804" s="75" t="n"/>
      <c r="S1804" s="76" t="n"/>
      <c r="T1804" s="77">
        <f>K1804-L1804</f>
        <v/>
      </c>
      <c r="U1804" s="77">
        <f>P1804-Q1804</f>
        <v/>
      </c>
      <c r="V1804" s="77">
        <f>ABS(U1804)</f>
        <v/>
      </c>
      <c r="W1804" s="78">
        <f>T1804/L1804</f>
        <v/>
      </c>
      <c r="X1804" s="79">
        <f>ABS(W1804)</f>
        <v/>
      </c>
    </row>
    <row r="1805" ht="11.4" customHeight="1">
      <c r="A1805" s="67" t="inlineStr">
        <is>
          <t>大甜61</t>
        </is>
      </c>
      <c r="B1805" s="67" t="inlineStr">
        <is>
          <t>1059</t>
        </is>
      </c>
      <c r="C1805" s="67" t="inlineStr">
        <is>
          <t>1611</t>
        </is>
      </c>
      <c r="D1805" s="68" t="inlineStr">
        <is>
          <t>03</t>
        </is>
      </c>
      <c r="E1805" s="68" t="inlineStr">
        <is>
          <t>6 物业施工费</t>
        </is>
      </c>
      <c r="F1805" s="68" t="inlineStr">
        <is>
          <t>6.1 总承包工程</t>
        </is>
      </c>
      <c r="G1805" s="68" t="inlineStr">
        <is>
          <t>6.1.1 内部装修工程</t>
        </is>
      </c>
      <c r="H1805" s="68" t="inlineStr">
        <is>
          <t>卫生间地面</t>
        </is>
      </c>
      <c r="I1805" s="69" t="inlineStr">
        <is>
          <t>1000021669</t>
        </is>
      </c>
      <c r="J1805" s="69" t="inlineStr">
        <is>
          <t>冠军水磨石踢脚</t>
        </is>
      </c>
      <c r="K1805" s="70" t="n"/>
      <c r="L1805" s="70" t="n"/>
      <c r="M1805" s="71" t="inlineStr">
        <is>
          <t>米</t>
        </is>
      </c>
      <c r="N1805" s="72" t="n">
        <v>39.05</v>
      </c>
      <c r="O1805" s="72">
        <f>ROUND(N1805*(1+$F$10),2)</f>
        <v/>
      </c>
      <c r="P1805" s="73">
        <f>ROUND(K1805*N1805,2)</f>
        <v/>
      </c>
      <c r="Q1805" s="74">
        <f>ROUND(L1805*N1805,2)</f>
        <v/>
      </c>
      <c r="R1805" s="75" t="n"/>
      <c r="S1805" s="76" t="n"/>
      <c r="T1805" s="77">
        <f>K1805-L1805</f>
        <v/>
      </c>
      <c r="U1805" s="77">
        <f>P1805-Q1805</f>
        <v/>
      </c>
      <c r="V1805" s="77">
        <f>ABS(U1805)</f>
        <v/>
      </c>
      <c r="W1805" s="78">
        <f>T1805/L1805</f>
        <v/>
      </c>
      <c r="X1805" s="79">
        <f>ABS(W1805)</f>
        <v/>
      </c>
    </row>
    <row r="1806" ht="11.4" customHeight="1">
      <c r="A1806" s="67" t="inlineStr">
        <is>
          <t>大甜61</t>
        </is>
      </c>
      <c r="B1806" s="67" t="inlineStr">
        <is>
          <t>1059</t>
        </is>
      </c>
      <c r="C1806" s="67" t="inlineStr">
        <is>
          <t>1611</t>
        </is>
      </c>
      <c r="D1806" s="68" t="inlineStr">
        <is>
          <t>03</t>
        </is>
      </c>
      <c r="E1806" s="68" t="inlineStr">
        <is>
          <t>6 物业施工费</t>
        </is>
      </c>
      <c r="F1806" s="68" t="inlineStr">
        <is>
          <t>6.1 总承包工程</t>
        </is>
      </c>
      <c r="G1806" s="68" t="inlineStr">
        <is>
          <t>6.1.1 内部装修工程</t>
        </is>
      </c>
      <c r="H1806" s="68" t="inlineStr">
        <is>
          <t>卫生间墙面</t>
        </is>
      </c>
      <c r="I1806" s="69" t="inlineStr">
        <is>
          <t>1000021633</t>
        </is>
      </c>
      <c r="J1806" s="69" t="inlineStr">
        <is>
          <t>卫生间墙面砖（琛雄）</t>
        </is>
      </c>
      <c r="K1806" s="70" t="n"/>
      <c r="L1806" s="70" t="n"/>
      <c r="M1806" s="71" t="inlineStr">
        <is>
          <t>m2</t>
        </is>
      </c>
      <c r="N1806" s="72" t="n">
        <v>167.98</v>
      </c>
      <c r="O1806" s="72">
        <f>ROUND(N1806*(1+$F$10),2)</f>
        <v/>
      </c>
      <c r="P1806" s="73">
        <f>ROUND(K1806*N1806,2)</f>
        <v/>
      </c>
      <c r="Q1806" s="74">
        <f>ROUND(L1806*N1806,2)</f>
        <v/>
      </c>
      <c r="R1806" s="75" t="n"/>
      <c r="S1806" s="76" t="n"/>
      <c r="T1806" s="77">
        <f>K1806-L1806</f>
        <v/>
      </c>
      <c r="U1806" s="77">
        <f>P1806-Q1806</f>
        <v/>
      </c>
      <c r="V1806" s="77">
        <f>ABS(U1806)</f>
        <v/>
      </c>
      <c r="W1806" s="78">
        <f>T1806/L1806</f>
        <v/>
      </c>
      <c r="X1806" s="79">
        <f>ABS(W1806)</f>
        <v/>
      </c>
    </row>
    <row r="1807" ht="11.4" customHeight="1">
      <c r="A1807" s="67" t="inlineStr">
        <is>
          <t>大甜61</t>
        </is>
      </c>
      <c r="B1807" s="67" t="inlineStr">
        <is>
          <t>1059</t>
        </is>
      </c>
      <c r="C1807" s="67" t="inlineStr">
        <is>
          <t>1611</t>
        </is>
      </c>
      <c r="D1807" s="68" t="inlineStr">
        <is>
          <t>03</t>
        </is>
      </c>
      <c r="E1807" s="68" t="inlineStr">
        <is>
          <t>6 物业施工费</t>
        </is>
      </c>
      <c r="F1807" s="68" t="inlineStr">
        <is>
          <t>6.1 总承包工程</t>
        </is>
      </c>
      <c r="G1807" s="68" t="inlineStr">
        <is>
          <t>6.1.1 内部装修工程</t>
        </is>
      </c>
      <c r="H1807" s="68" t="inlineStr">
        <is>
          <t>卫生间墙面</t>
        </is>
      </c>
      <c r="I1807" s="69" t="inlineStr">
        <is>
          <t>1000021649</t>
        </is>
      </c>
      <c r="J1807" s="69" t="inlineStr">
        <is>
          <t>卫生间墙面砖（共荣）</t>
        </is>
      </c>
      <c r="K1807" s="70" t="n"/>
      <c r="L1807" s="70" t="n"/>
      <c r="M1807" s="71" t="inlineStr">
        <is>
          <t>m2</t>
        </is>
      </c>
      <c r="N1807" s="72" t="n">
        <v>147.41</v>
      </c>
      <c r="O1807" s="72">
        <f>ROUND(N1807*(1+$F$10),2)</f>
        <v/>
      </c>
      <c r="P1807" s="73">
        <f>ROUND(K1807*N1807,2)</f>
        <v/>
      </c>
      <c r="Q1807" s="74">
        <f>ROUND(L1807*N1807,2)</f>
        <v/>
      </c>
      <c r="R1807" s="75" t="n"/>
      <c r="S1807" s="76" t="n"/>
      <c r="T1807" s="77">
        <f>K1807-L1807</f>
        <v/>
      </c>
      <c r="U1807" s="77">
        <f>P1807-Q1807</f>
        <v/>
      </c>
      <c r="V1807" s="77">
        <f>ABS(U1807)</f>
        <v/>
      </c>
      <c r="W1807" s="78">
        <f>T1807/L1807</f>
        <v/>
      </c>
      <c r="X1807" s="79">
        <f>ABS(W1807)</f>
        <v/>
      </c>
    </row>
    <row r="1808" ht="11.4" customHeight="1">
      <c r="A1808" s="67" t="inlineStr">
        <is>
          <t>大甜61</t>
        </is>
      </c>
      <c r="B1808" s="67" t="inlineStr">
        <is>
          <t>1059</t>
        </is>
      </c>
      <c r="C1808" s="67" t="inlineStr">
        <is>
          <t>1611</t>
        </is>
      </c>
      <c r="D1808" s="68" t="inlineStr">
        <is>
          <t>03</t>
        </is>
      </c>
      <c r="E1808" s="68" t="inlineStr">
        <is>
          <t>6 物业施工费</t>
        </is>
      </c>
      <c r="F1808" s="68" t="inlineStr">
        <is>
          <t>6.1 总承包工程</t>
        </is>
      </c>
      <c r="G1808" s="68" t="inlineStr">
        <is>
          <t>6.1.1 内部装修工程</t>
        </is>
      </c>
      <c r="H1808" s="68" t="inlineStr">
        <is>
          <t>卫生间墙面</t>
        </is>
      </c>
      <c r="I1808" s="69" t="inlineStr">
        <is>
          <t>1000021634</t>
        </is>
      </c>
      <c r="J1808" s="69" t="inlineStr">
        <is>
          <t>卫生间墙面砖（冠军）</t>
        </is>
      </c>
      <c r="K1808" s="70" t="n"/>
      <c r="L1808" s="70" t="n"/>
      <c r="M1808" s="71" t="inlineStr">
        <is>
          <t>m2</t>
        </is>
      </c>
      <c r="N1808" s="72" t="n">
        <v>169.19</v>
      </c>
      <c r="O1808" s="72">
        <f>ROUND(N1808*(1+$F$10),2)</f>
        <v/>
      </c>
      <c r="P1808" s="73">
        <f>ROUND(K1808*N1808,2)</f>
        <v/>
      </c>
      <c r="Q1808" s="74">
        <f>ROUND(L1808*N1808,2)</f>
        <v/>
      </c>
      <c r="R1808" s="75" t="n"/>
      <c r="S1808" s="76" t="n"/>
      <c r="T1808" s="77">
        <f>K1808-L1808</f>
        <v/>
      </c>
      <c r="U1808" s="77">
        <f>P1808-Q1808</f>
        <v/>
      </c>
      <c r="V1808" s="77">
        <f>ABS(U1808)</f>
        <v/>
      </c>
      <c r="W1808" s="78">
        <f>T1808/L1808</f>
        <v/>
      </c>
      <c r="X1808" s="79">
        <f>ABS(W1808)</f>
        <v/>
      </c>
    </row>
    <row r="1809" ht="11.4" customHeight="1">
      <c r="A1809" s="67" t="inlineStr">
        <is>
          <t>大甜61</t>
        </is>
      </c>
      <c r="B1809" s="67" t="inlineStr">
        <is>
          <t>1059</t>
        </is>
      </c>
      <c r="C1809" s="67" t="inlineStr">
        <is>
          <t>1611</t>
        </is>
      </c>
      <c r="D1809" s="68" t="inlineStr">
        <is>
          <t>03</t>
        </is>
      </c>
      <c r="E1809" s="68" t="inlineStr">
        <is>
          <t>6 物业施工费</t>
        </is>
      </c>
      <c r="F1809" s="68" t="inlineStr">
        <is>
          <t>6.1 总承包工程</t>
        </is>
      </c>
      <c r="G1809" s="68" t="inlineStr">
        <is>
          <t>6.1.1 内部装修工程</t>
        </is>
      </c>
      <c r="H1809" s="68" t="inlineStr">
        <is>
          <t>卫生间墙面</t>
        </is>
      </c>
      <c r="I1809" s="69" t="inlineStr">
        <is>
          <t>1000021709</t>
        </is>
      </c>
      <c r="J1809" s="69" t="inlineStr">
        <is>
          <t>100*300mm白色哑光面砖（琛雄，Ray)</t>
        </is>
      </c>
      <c r="K1809" s="70" t="n"/>
      <c r="L1809" s="70" t="n"/>
      <c r="M1809" s="71" t="inlineStr">
        <is>
          <t>m2</t>
        </is>
      </c>
      <c r="N1809" s="72" t="n">
        <v>175.9</v>
      </c>
      <c r="O1809" s="72">
        <f>ROUND(N1809*(1+$F$10),2)</f>
        <v/>
      </c>
      <c r="P1809" s="73">
        <f>ROUND(K1809*N1809,2)</f>
        <v/>
      </c>
      <c r="Q1809" s="74">
        <f>ROUND(L1809*N1809,2)</f>
        <v/>
      </c>
      <c r="R1809" s="75" t="n"/>
      <c r="S1809" s="76" t="n"/>
      <c r="T1809" s="77">
        <f>K1809-L1809</f>
        <v/>
      </c>
      <c r="U1809" s="77">
        <f>P1809-Q1809</f>
        <v/>
      </c>
      <c r="V1809" s="77">
        <f>ABS(U1809)</f>
        <v/>
      </c>
      <c r="W1809" s="78">
        <f>T1809/L1809</f>
        <v/>
      </c>
      <c r="X1809" s="79">
        <f>ABS(W1809)</f>
        <v/>
      </c>
    </row>
    <row r="1810" ht="11.4" customHeight="1">
      <c r="A1810" s="67" t="inlineStr">
        <is>
          <t>大甜61</t>
        </is>
      </c>
      <c r="B1810" s="67" t="inlineStr">
        <is>
          <t>1059</t>
        </is>
      </c>
      <c r="C1810" s="67" t="inlineStr">
        <is>
          <t>1611</t>
        </is>
      </c>
      <c r="D1810" s="68" t="inlineStr">
        <is>
          <t>03</t>
        </is>
      </c>
      <c r="E1810" s="68" t="inlineStr">
        <is>
          <t>6 物业施工费</t>
        </is>
      </c>
      <c r="F1810" s="68" t="inlineStr">
        <is>
          <t>6.1 总承包工程</t>
        </is>
      </c>
      <c r="G1810" s="68" t="inlineStr">
        <is>
          <t>6.1.1 内部装修工程</t>
        </is>
      </c>
      <c r="H1810" s="68" t="inlineStr">
        <is>
          <t>卫生间墙面</t>
        </is>
      </c>
      <c r="I1810" s="69" t="inlineStr">
        <is>
          <t>1000021710</t>
        </is>
      </c>
      <c r="J1810" s="69" t="inlineStr">
        <is>
          <t>100*300mm白色哑光面砖（冠军，Ray)</t>
        </is>
      </c>
      <c r="K1810" s="70" t="n"/>
      <c r="L1810" s="70" t="n"/>
      <c r="M1810" s="71" t="inlineStr">
        <is>
          <t>m2</t>
        </is>
      </c>
      <c r="N1810" s="72" t="n">
        <v>175.9</v>
      </c>
      <c r="O1810" s="72">
        <f>ROUND(N1810*(1+$F$10),2)</f>
        <v/>
      </c>
      <c r="P1810" s="73">
        <f>ROUND(K1810*N1810,2)</f>
        <v/>
      </c>
      <c r="Q1810" s="74">
        <f>ROUND(L1810*N1810,2)</f>
        <v/>
      </c>
      <c r="R1810" s="75" t="n"/>
      <c r="S1810" s="76" t="n"/>
      <c r="T1810" s="77">
        <f>K1810-L1810</f>
        <v/>
      </c>
      <c r="U1810" s="77">
        <f>P1810-Q1810</f>
        <v/>
      </c>
      <c r="V1810" s="77">
        <f>ABS(U1810)</f>
        <v/>
      </c>
      <c r="W1810" s="78">
        <f>T1810/L1810</f>
        <v/>
      </c>
      <c r="X1810" s="79">
        <f>ABS(W1810)</f>
        <v/>
      </c>
    </row>
    <row r="1811" ht="11.4" customHeight="1">
      <c r="A1811" s="67" t="inlineStr">
        <is>
          <t>大甜61</t>
        </is>
      </c>
      <c r="B1811" s="67" t="inlineStr">
        <is>
          <t>1059</t>
        </is>
      </c>
      <c r="C1811" s="67" t="inlineStr">
        <is>
          <t>1611</t>
        </is>
      </c>
      <c r="D1811" s="68" t="inlineStr">
        <is>
          <t>03</t>
        </is>
      </c>
      <c r="E1811" s="68" t="inlineStr">
        <is>
          <t>6 物业施工费</t>
        </is>
      </c>
      <c r="F1811" s="68" t="inlineStr">
        <is>
          <t>6.1 总承包工程</t>
        </is>
      </c>
      <c r="G1811" s="68" t="inlineStr">
        <is>
          <t>6.1.1 内部装修工程</t>
        </is>
      </c>
      <c r="H1811" s="68" t="inlineStr">
        <is>
          <t>卫生间墙面</t>
        </is>
      </c>
      <c r="I1811" s="69" t="inlineStr">
        <is>
          <t>1000021711</t>
        </is>
      </c>
      <c r="J1811" s="69" t="inlineStr">
        <is>
          <t>100*300mm白色哑光面砖（共荣，Ray)</t>
        </is>
      </c>
      <c r="K1811" s="70" t="n"/>
      <c r="L1811" s="70" t="n"/>
      <c r="M1811" s="71" t="inlineStr">
        <is>
          <t>m2</t>
        </is>
      </c>
      <c r="N1811" s="72" t="n">
        <v>166.22</v>
      </c>
      <c r="O1811" s="72">
        <f>ROUND(N1811*(1+$F$10),2)</f>
        <v/>
      </c>
      <c r="P1811" s="73">
        <f>ROUND(K1811*N1811,2)</f>
        <v/>
      </c>
      <c r="Q1811" s="74">
        <f>ROUND(L1811*N1811,2)</f>
        <v/>
      </c>
      <c r="R1811" s="75" t="n"/>
      <c r="S1811" s="76" t="n"/>
      <c r="T1811" s="77">
        <f>K1811-L1811</f>
        <v/>
      </c>
      <c r="U1811" s="77">
        <f>P1811-Q1811</f>
        <v/>
      </c>
      <c r="V1811" s="77">
        <f>ABS(U1811)</f>
        <v/>
      </c>
      <c r="W1811" s="78">
        <f>T1811/L1811</f>
        <v/>
      </c>
      <c r="X1811" s="79">
        <f>ABS(W1811)</f>
        <v/>
      </c>
    </row>
    <row r="1812" ht="11.4" customHeight="1">
      <c r="A1812" s="67" t="inlineStr">
        <is>
          <t>大甜61</t>
        </is>
      </c>
      <c r="B1812" s="67" t="inlineStr">
        <is>
          <t>1059</t>
        </is>
      </c>
      <c r="C1812" s="67" t="inlineStr">
        <is>
          <t>1611</t>
        </is>
      </c>
      <c r="D1812" s="68" t="inlineStr">
        <is>
          <t>03</t>
        </is>
      </c>
      <c r="E1812" s="68" t="inlineStr">
        <is>
          <t>6 物业施工费</t>
        </is>
      </c>
      <c r="F1812" s="68" t="inlineStr">
        <is>
          <t>6.1 总承包工程</t>
        </is>
      </c>
      <c r="G1812" s="68" t="inlineStr">
        <is>
          <t>6.1.1 内部装修工程</t>
        </is>
      </c>
      <c r="H1812" s="68" t="inlineStr">
        <is>
          <t>卫生间墙面</t>
        </is>
      </c>
      <c r="I1812" s="69" t="inlineStr">
        <is>
          <t>1000021517</t>
        </is>
      </c>
      <c r="J1812" s="69" t="inlineStr">
        <is>
          <t>室内浅色乳胶漆（含批搪，遮盖）</t>
        </is>
      </c>
      <c r="K1812" s="70" t="n"/>
      <c r="L1812" s="70" t="n"/>
      <c r="M1812" s="71" t="inlineStr">
        <is>
          <t>m2</t>
        </is>
      </c>
      <c r="N1812" s="72" t="n">
        <v>58.39</v>
      </c>
      <c r="O1812" s="72">
        <f>ROUND(N1812*(1+$F$10),2)</f>
        <v/>
      </c>
      <c r="P1812" s="73">
        <f>ROUND(K1812*N1812,2)</f>
        <v/>
      </c>
      <c r="Q1812" s="74">
        <f>ROUND(L1812*N1812,2)</f>
        <v/>
      </c>
      <c r="R1812" s="75" t="n"/>
      <c r="S1812" s="76" t="n"/>
      <c r="T1812" s="77">
        <f>K1812-L1812</f>
        <v/>
      </c>
      <c r="U1812" s="77">
        <f>P1812-Q1812</f>
        <v/>
      </c>
      <c r="V1812" s="77">
        <f>ABS(U1812)</f>
        <v/>
      </c>
      <c r="W1812" s="78">
        <f>T1812/L1812</f>
        <v/>
      </c>
      <c r="X1812" s="79">
        <f>ABS(W1812)</f>
        <v/>
      </c>
    </row>
    <row r="1813" ht="11.4" customHeight="1">
      <c r="A1813" s="67" t="inlineStr">
        <is>
          <t>大甜61</t>
        </is>
      </c>
      <c r="B1813" s="67" t="inlineStr">
        <is>
          <t>1059</t>
        </is>
      </c>
      <c r="C1813" s="67" t="inlineStr">
        <is>
          <t>1611</t>
        </is>
      </c>
      <c r="D1813" s="68" t="inlineStr">
        <is>
          <t>03</t>
        </is>
      </c>
      <c r="E1813" s="68" t="inlineStr">
        <is>
          <t>6 物业施工费</t>
        </is>
      </c>
      <c r="F1813" s="68" t="inlineStr">
        <is>
          <t>6.1 总承包工程</t>
        </is>
      </c>
      <c r="G1813" s="68" t="inlineStr">
        <is>
          <t>6.1.1 内部装修工程</t>
        </is>
      </c>
      <c r="H1813" s="68" t="inlineStr">
        <is>
          <t>卫生间吊顶</t>
        </is>
      </c>
      <c r="I1813" s="69" t="inlineStr">
        <is>
          <t>1000021483</t>
        </is>
      </c>
      <c r="J1813" s="69" t="inlineStr">
        <is>
          <t>室内深色乳胶漆（含批搪，可擦洗）</t>
        </is>
      </c>
      <c r="K1813" s="70" t="n"/>
      <c r="L1813" s="70" t="n"/>
      <c r="M1813" s="71" t="inlineStr">
        <is>
          <t>m2</t>
        </is>
      </c>
      <c r="N1813" s="72" t="n">
        <v>62.19</v>
      </c>
      <c r="O1813" s="72">
        <f>ROUND(N1813*(1+$F$10),2)</f>
        <v/>
      </c>
      <c r="P1813" s="73">
        <f>ROUND(K1813*N1813,2)</f>
        <v/>
      </c>
      <c r="Q1813" s="74">
        <f>ROUND(L1813*N1813,2)</f>
        <v/>
      </c>
      <c r="R1813" s="75" t="n"/>
      <c r="S1813" s="76" t="n"/>
      <c r="T1813" s="77">
        <f>K1813-L1813</f>
        <v/>
      </c>
      <c r="U1813" s="77">
        <f>P1813-Q1813</f>
        <v/>
      </c>
      <c r="V1813" s="77">
        <f>ABS(U1813)</f>
        <v/>
      </c>
      <c r="W1813" s="78">
        <f>T1813/L1813</f>
        <v/>
      </c>
      <c r="X1813" s="79">
        <f>ABS(W1813)</f>
        <v/>
      </c>
    </row>
    <row r="1814" ht="11.4" customHeight="1">
      <c r="A1814" s="67" t="inlineStr">
        <is>
          <t>大甜61</t>
        </is>
      </c>
      <c r="B1814" s="67" t="inlineStr">
        <is>
          <t>1059</t>
        </is>
      </c>
      <c r="C1814" s="67" t="inlineStr">
        <is>
          <t>1611</t>
        </is>
      </c>
      <c r="D1814" s="68" t="inlineStr">
        <is>
          <t>03</t>
        </is>
      </c>
      <c r="E1814" s="68" t="inlineStr">
        <is>
          <t>6 物业施工费</t>
        </is>
      </c>
      <c r="F1814" s="68" t="inlineStr">
        <is>
          <t>6.1 总承包工程</t>
        </is>
      </c>
      <c r="G1814" s="68" t="inlineStr">
        <is>
          <t>6.1.1 内部装修工程</t>
        </is>
      </c>
      <c r="H1814" s="68" t="inlineStr">
        <is>
          <t>卫生间吊顶</t>
        </is>
      </c>
      <c r="I1814" s="69" t="inlineStr">
        <is>
          <t>1000022179</t>
        </is>
      </c>
      <c r="J1814" s="69" t="inlineStr">
        <is>
          <t>卫生间轻钢龙骨石膏板天花</t>
        </is>
      </c>
      <c r="K1814" s="70" t="n"/>
      <c r="L1814" s="70" t="n"/>
      <c r="M1814" s="71" t="inlineStr">
        <is>
          <t>m2</t>
        </is>
      </c>
      <c r="N1814" s="72" t="n">
        <v>139.73</v>
      </c>
      <c r="O1814" s="72">
        <f>ROUND(N1814*(1+$F$10),2)</f>
        <v/>
      </c>
      <c r="P1814" s="73">
        <f>ROUND(K1814*N1814,2)</f>
        <v/>
      </c>
      <c r="Q1814" s="74">
        <f>ROUND(L1814*N1814,2)</f>
        <v/>
      </c>
      <c r="R1814" s="75" t="n"/>
      <c r="S1814" s="76" t="n"/>
      <c r="T1814" s="77">
        <f>K1814-L1814</f>
        <v/>
      </c>
      <c r="U1814" s="77">
        <f>P1814-Q1814</f>
        <v/>
      </c>
      <c r="V1814" s="77">
        <f>ABS(U1814)</f>
        <v/>
      </c>
      <c r="W1814" s="78">
        <f>T1814/L1814</f>
        <v/>
      </c>
      <c r="X1814" s="79">
        <f>ABS(W1814)</f>
        <v/>
      </c>
    </row>
    <row r="1815" ht="11.4" customHeight="1">
      <c r="A1815" s="67" t="inlineStr">
        <is>
          <t>大甜61</t>
        </is>
      </c>
      <c r="B1815" s="67" t="inlineStr">
        <is>
          <t>1059</t>
        </is>
      </c>
      <c r="C1815" s="67" t="inlineStr">
        <is>
          <t>1611</t>
        </is>
      </c>
      <c r="D1815" s="68" t="inlineStr">
        <is>
          <t>03</t>
        </is>
      </c>
      <c r="E1815" s="68" t="inlineStr">
        <is>
          <t>6 物业施工费</t>
        </is>
      </c>
      <c r="F1815" s="68" t="inlineStr">
        <is>
          <t>6.1 总承包工程</t>
        </is>
      </c>
      <c r="G1815" s="68" t="inlineStr">
        <is>
          <t>6.1.1 内部装修工程</t>
        </is>
      </c>
      <c r="H1815" s="68" t="inlineStr">
        <is>
          <t>卫生间吊顶</t>
        </is>
      </c>
      <c r="I1815" s="69" t="inlineStr">
        <is>
          <t>1000021803</t>
        </is>
      </c>
      <c r="J1815" s="69" t="inlineStr">
        <is>
          <t>叠级天花与墙体收口凹槽</t>
        </is>
      </c>
      <c r="K1815" s="70" t="n"/>
      <c r="L1815" s="70" t="n"/>
      <c r="M1815" s="71" t="inlineStr">
        <is>
          <t>米</t>
        </is>
      </c>
      <c r="N1815" s="72" t="n">
        <v>93.70999999999999</v>
      </c>
      <c r="O1815" s="72">
        <f>ROUND(N1815*(1+$F$10),2)</f>
        <v/>
      </c>
      <c r="P1815" s="73">
        <f>ROUND(K1815*N1815,2)</f>
        <v/>
      </c>
      <c r="Q1815" s="74">
        <f>ROUND(L1815*N1815,2)</f>
        <v/>
      </c>
      <c r="R1815" s="75" t="n"/>
      <c r="S1815" s="76" t="n"/>
      <c r="T1815" s="77">
        <f>K1815-L1815</f>
        <v/>
      </c>
      <c r="U1815" s="77">
        <f>P1815-Q1815</f>
        <v/>
      </c>
      <c r="V1815" s="77">
        <f>ABS(U1815)</f>
        <v/>
      </c>
      <c r="W1815" s="78">
        <f>T1815/L1815</f>
        <v/>
      </c>
      <c r="X1815" s="79">
        <f>ABS(W1815)</f>
        <v/>
      </c>
    </row>
    <row r="1816" ht="11.4" customHeight="1">
      <c r="A1816" s="67" t="inlineStr">
        <is>
          <t>大甜61</t>
        </is>
      </c>
      <c r="B1816" s="67" t="inlineStr">
        <is>
          <t>1059</t>
        </is>
      </c>
      <c r="C1816" s="67" t="inlineStr">
        <is>
          <t>1611</t>
        </is>
      </c>
      <c r="D1816" s="68" t="inlineStr">
        <is>
          <t>03</t>
        </is>
      </c>
      <c r="E1816" s="68" t="inlineStr">
        <is>
          <t>6 物业施工费</t>
        </is>
      </c>
      <c r="F1816" s="68" t="inlineStr">
        <is>
          <t>6.1 总承包工程</t>
        </is>
      </c>
      <c r="G1816" s="68" t="inlineStr">
        <is>
          <t>6.1.1 内部装修工程</t>
        </is>
      </c>
      <c r="H1816" s="68" t="inlineStr">
        <is>
          <t>卫生间洗手台</t>
        </is>
      </c>
      <c r="I1816" s="69" t="inlineStr">
        <is>
          <t>1000021804</t>
        </is>
      </c>
      <c r="J1816" s="69" t="inlineStr">
        <is>
          <t>卫生间钢木洗手台架连人造石（高低隔）</t>
        </is>
      </c>
      <c r="K1816" s="70" t="n"/>
      <c r="L1816" s="70" t="n"/>
      <c r="M1816" s="71" t="inlineStr">
        <is>
          <t>米</t>
        </is>
      </c>
      <c r="N1816" s="72" t="n">
        <v>2589.58</v>
      </c>
      <c r="O1816" s="72">
        <f>ROUND(N1816*(1+$F$10),2)</f>
        <v/>
      </c>
      <c r="P1816" s="73">
        <f>ROUND(K1816*N1816,2)</f>
        <v/>
      </c>
      <c r="Q1816" s="74">
        <f>ROUND(L1816*N1816,2)</f>
        <v/>
      </c>
      <c r="R1816" s="75" t="n"/>
      <c r="S1816" s="76" t="n"/>
      <c r="T1816" s="77">
        <f>K1816-L1816</f>
        <v/>
      </c>
      <c r="U1816" s="77">
        <f>P1816-Q1816</f>
        <v/>
      </c>
      <c r="V1816" s="77">
        <f>ABS(U1816)</f>
        <v/>
      </c>
      <c r="W1816" s="78">
        <f>T1816/L1816</f>
        <v/>
      </c>
      <c r="X1816" s="79">
        <f>ABS(W1816)</f>
        <v/>
      </c>
    </row>
    <row r="1817" ht="11.4" customHeight="1">
      <c r="A1817" s="67" t="inlineStr">
        <is>
          <t>大甜61</t>
        </is>
      </c>
      <c r="B1817" s="67" t="inlineStr">
        <is>
          <t>1059</t>
        </is>
      </c>
      <c r="C1817" s="67" t="inlineStr">
        <is>
          <t>1611</t>
        </is>
      </c>
      <c r="D1817" s="68" t="inlineStr">
        <is>
          <t>03</t>
        </is>
      </c>
      <c r="E1817" s="68" t="inlineStr">
        <is>
          <t>6 物业施工费</t>
        </is>
      </c>
      <c r="F1817" s="68" t="inlineStr">
        <is>
          <t>6.1 总承包工程</t>
        </is>
      </c>
      <c r="G1817" s="68" t="inlineStr">
        <is>
          <t>6.1.1 内部装修工程</t>
        </is>
      </c>
      <c r="H1817" s="68" t="inlineStr">
        <is>
          <t>卫生间洗手台</t>
        </is>
      </c>
      <c r="I1817" s="69" t="inlineStr">
        <is>
          <t>1000021805</t>
        </is>
      </c>
      <c r="J1817" s="69" t="inlineStr">
        <is>
          <t>卫生间钢木洗手台架连人造石（直条型）</t>
        </is>
      </c>
      <c r="K1817" s="70" t="n"/>
      <c r="L1817" s="70" t="n"/>
      <c r="M1817" s="71" t="inlineStr">
        <is>
          <t>米</t>
        </is>
      </c>
      <c r="N1817" s="72" t="n">
        <v>1470.3</v>
      </c>
      <c r="O1817" s="72">
        <f>ROUND(N1817*(1+$F$10),2)</f>
        <v/>
      </c>
      <c r="P1817" s="73">
        <f>ROUND(K1817*N1817,2)</f>
        <v/>
      </c>
      <c r="Q1817" s="74">
        <f>ROUND(L1817*N1817,2)</f>
        <v/>
      </c>
      <c r="R1817" s="75" t="n"/>
      <c r="S1817" s="76" t="n"/>
      <c r="T1817" s="77">
        <f>K1817-L1817</f>
        <v/>
      </c>
      <c r="U1817" s="77">
        <f>P1817-Q1817</f>
        <v/>
      </c>
      <c r="V1817" s="77">
        <f>ABS(U1817)</f>
        <v/>
      </c>
      <c r="W1817" s="78">
        <f>T1817/L1817</f>
        <v/>
      </c>
      <c r="X1817" s="79">
        <f>ABS(W1817)</f>
        <v/>
      </c>
    </row>
    <row r="1818" ht="11.4" customHeight="1">
      <c r="A1818" s="67" t="inlineStr">
        <is>
          <t>大甜61</t>
        </is>
      </c>
      <c r="B1818" s="67" t="inlineStr">
        <is>
          <t>1059</t>
        </is>
      </c>
      <c r="C1818" s="67" t="inlineStr">
        <is>
          <t>1611</t>
        </is>
      </c>
      <c r="D1818" s="68" t="inlineStr">
        <is>
          <t>03</t>
        </is>
      </c>
      <c r="E1818" s="68" t="inlineStr">
        <is>
          <t>6 物业施工费</t>
        </is>
      </c>
      <c r="F1818" s="68" t="inlineStr">
        <is>
          <t>6.1 总承包工程</t>
        </is>
      </c>
      <c r="G1818" s="68" t="inlineStr">
        <is>
          <t>6.1.1 内部装修工程</t>
        </is>
      </c>
      <c r="H1818" s="68" t="inlineStr">
        <is>
          <t>卫生间洗手台</t>
        </is>
      </c>
      <c r="I1818" s="69" t="inlineStr">
        <is>
          <t>1000021501</t>
        </is>
      </c>
      <c r="J1818" s="69" t="inlineStr">
        <is>
          <t>卫生间钢木洗手台架连仿水磨石台面（成品定制）</t>
        </is>
      </c>
      <c r="K1818" s="70" t="n"/>
      <c r="L1818" s="70" t="n"/>
      <c r="M1818" s="71" t="inlineStr">
        <is>
          <t>套</t>
        </is>
      </c>
      <c r="N1818" s="72" t="n">
        <v>2108.28</v>
      </c>
      <c r="O1818" s="72">
        <f>ROUND(N1818*(1+$F$10),2)</f>
        <v/>
      </c>
      <c r="P1818" s="73">
        <f>ROUND(K1818*N1818,2)</f>
        <v/>
      </c>
      <c r="Q1818" s="74">
        <f>ROUND(L1818*N1818,2)</f>
        <v/>
      </c>
      <c r="R1818" s="75" t="n"/>
      <c r="S1818" s="76" t="n"/>
      <c r="T1818" s="77">
        <f>K1818-L1818</f>
        <v/>
      </c>
      <c r="U1818" s="77">
        <f>P1818-Q1818</f>
        <v/>
      </c>
      <c r="V1818" s="77">
        <f>ABS(U1818)</f>
        <v/>
      </c>
      <c r="W1818" s="78">
        <f>T1818/L1818</f>
        <v/>
      </c>
      <c r="X1818" s="79">
        <f>ABS(W1818)</f>
        <v/>
      </c>
    </row>
    <row r="1819" ht="11.4" customHeight="1">
      <c r="A1819" s="67" t="inlineStr">
        <is>
          <t>大甜61</t>
        </is>
      </c>
      <c r="B1819" s="67" t="inlineStr">
        <is>
          <t>1059</t>
        </is>
      </c>
      <c r="C1819" s="67" t="inlineStr">
        <is>
          <t>1611</t>
        </is>
      </c>
      <c r="D1819" s="68" t="inlineStr">
        <is>
          <t>03</t>
        </is>
      </c>
      <c r="E1819" s="68" t="inlineStr">
        <is>
          <t>6 物业施工费</t>
        </is>
      </c>
      <c r="F1819" s="68" t="inlineStr">
        <is>
          <t>6.1 总承包工程</t>
        </is>
      </c>
      <c r="G1819" s="68" t="inlineStr">
        <is>
          <t>6.1.1 内部装修工程</t>
        </is>
      </c>
      <c r="H1819" s="68" t="inlineStr">
        <is>
          <t>卫生间洗手台</t>
        </is>
      </c>
      <c r="I1819" s="69" t="inlineStr">
        <is>
          <t>1000021502</t>
        </is>
      </c>
      <c r="J1819" s="69" t="inlineStr">
        <is>
          <t>卫生间钢木洗手台架连仿水磨石台面（直条型）</t>
        </is>
      </c>
      <c r="K1819" s="70" t="n"/>
      <c r="L1819" s="70" t="n"/>
      <c r="M1819" s="71" t="inlineStr">
        <is>
          <t>米</t>
        </is>
      </c>
      <c r="N1819" s="72" t="n">
        <v>2215.04</v>
      </c>
      <c r="O1819" s="72">
        <f>ROUND(N1819*(1+$F$10),2)</f>
        <v/>
      </c>
      <c r="P1819" s="73">
        <f>ROUND(K1819*N1819,2)</f>
        <v/>
      </c>
      <c r="Q1819" s="74">
        <f>ROUND(L1819*N1819,2)</f>
        <v/>
      </c>
      <c r="R1819" s="75" t="n"/>
      <c r="S1819" s="76" t="n"/>
      <c r="T1819" s="77">
        <f>K1819-L1819</f>
        <v/>
      </c>
      <c r="U1819" s="77">
        <f>P1819-Q1819</f>
        <v/>
      </c>
      <c r="V1819" s="77">
        <f>ABS(U1819)</f>
        <v/>
      </c>
      <c r="W1819" s="78">
        <f>T1819/L1819</f>
        <v/>
      </c>
      <c r="X1819" s="79">
        <f>ABS(W1819)</f>
        <v/>
      </c>
    </row>
    <row r="1820" ht="11.4" customHeight="1">
      <c r="A1820" s="67" t="inlineStr">
        <is>
          <t>大甜61</t>
        </is>
      </c>
      <c r="B1820" s="67" t="inlineStr">
        <is>
          <t>1059</t>
        </is>
      </c>
      <c r="C1820" s="67" t="inlineStr">
        <is>
          <t>1611</t>
        </is>
      </c>
      <c r="D1820" s="68" t="inlineStr">
        <is>
          <t>03</t>
        </is>
      </c>
      <c r="E1820" s="68" t="inlineStr">
        <is>
          <t>6 物业施工费</t>
        </is>
      </c>
      <c r="F1820" s="68" t="inlineStr">
        <is>
          <t>6.1 总承包工程</t>
        </is>
      </c>
      <c r="G1820" s="68" t="inlineStr">
        <is>
          <t>6.1.1 内部装修工程</t>
        </is>
      </c>
      <c r="H1820" s="68" t="inlineStr">
        <is>
          <t>卫生间洗手台</t>
        </is>
      </c>
      <c r="I1820" s="69" t="inlineStr">
        <is>
          <t>1000021503</t>
        </is>
      </c>
      <c r="J1820" s="69" t="inlineStr">
        <is>
          <t>卫生间钢木洗手台架连仿水磨石台面（高低隔）</t>
        </is>
      </c>
      <c r="K1820" s="70" t="n"/>
      <c r="L1820" s="70" t="n"/>
      <c r="M1820" s="71" t="inlineStr">
        <is>
          <t>米</t>
        </is>
      </c>
      <c r="N1820" s="72" t="n">
        <v>3467.2</v>
      </c>
      <c r="O1820" s="72">
        <f>ROUND(N1820*(1+$F$10),2)</f>
        <v/>
      </c>
      <c r="P1820" s="73">
        <f>ROUND(K1820*N1820,2)</f>
        <v/>
      </c>
      <c r="Q1820" s="74">
        <f>ROUND(L1820*N1820,2)</f>
        <v/>
      </c>
      <c r="R1820" s="75" t="n"/>
      <c r="S1820" s="76" t="n"/>
      <c r="T1820" s="77">
        <f>K1820-L1820</f>
        <v/>
      </c>
      <c r="U1820" s="77">
        <f>P1820-Q1820</f>
        <v/>
      </c>
      <c r="V1820" s="77">
        <f>ABS(U1820)</f>
        <v/>
      </c>
      <c r="W1820" s="78">
        <f>T1820/L1820</f>
        <v/>
      </c>
      <c r="X1820" s="79">
        <f>ABS(W1820)</f>
        <v/>
      </c>
    </row>
    <row r="1821" ht="11.4" customHeight="1">
      <c r="A1821" s="67" t="inlineStr">
        <is>
          <t>大甜61</t>
        </is>
      </c>
      <c r="B1821" s="67" t="inlineStr">
        <is>
          <t>1059</t>
        </is>
      </c>
      <c r="C1821" s="67" t="inlineStr">
        <is>
          <t>1611</t>
        </is>
      </c>
      <c r="D1821" s="68" t="inlineStr">
        <is>
          <t>03</t>
        </is>
      </c>
      <c r="E1821" s="68" t="inlineStr">
        <is>
          <t>6 物业施工费</t>
        </is>
      </c>
      <c r="F1821" s="68" t="inlineStr">
        <is>
          <t>6.1 总承包工程</t>
        </is>
      </c>
      <c r="G1821" s="68" t="inlineStr">
        <is>
          <t>6.1.1 内部装修工程</t>
        </is>
      </c>
      <c r="H1821" s="68" t="inlineStr">
        <is>
          <t>卫生间洗手台</t>
        </is>
      </c>
      <c r="I1821" s="69" t="inlineStr">
        <is>
          <t>1000021806</t>
        </is>
      </c>
      <c r="J1821" s="69" t="inlineStr">
        <is>
          <t>不锈钢包边镜面</t>
        </is>
      </c>
      <c r="K1821" s="70" t="n"/>
      <c r="L1821" s="70" t="n"/>
      <c r="M1821" s="71" t="inlineStr">
        <is>
          <t>块</t>
        </is>
      </c>
      <c r="N1821" s="72" t="n">
        <v>667.8099999999999</v>
      </c>
      <c r="O1821" s="72">
        <f>ROUND(N1821*(1+$F$10),2)</f>
        <v/>
      </c>
      <c r="P1821" s="73">
        <f>ROUND(K1821*N1821,2)</f>
        <v/>
      </c>
      <c r="Q1821" s="74">
        <f>ROUND(L1821*N1821,2)</f>
        <v/>
      </c>
      <c r="R1821" s="75" t="n"/>
      <c r="S1821" s="76" t="n"/>
      <c r="T1821" s="77">
        <f>K1821-L1821</f>
        <v/>
      </c>
      <c r="U1821" s="77">
        <f>P1821-Q1821</f>
        <v/>
      </c>
      <c r="V1821" s="77">
        <f>ABS(U1821)</f>
        <v/>
      </c>
      <c r="W1821" s="78">
        <f>T1821/L1821</f>
        <v/>
      </c>
      <c r="X1821" s="79">
        <f>ABS(W1821)</f>
        <v/>
      </c>
    </row>
    <row r="1822" ht="11.4" customHeight="1">
      <c r="A1822" s="67" t="inlineStr">
        <is>
          <t>大甜61</t>
        </is>
      </c>
      <c r="B1822" s="67" t="inlineStr">
        <is>
          <t>1059</t>
        </is>
      </c>
      <c r="C1822" s="67" t="inlineStr">
        <is>
          <t>1611</t>
        </is>
      </c>
      <c r="D1822" s="68" t="inlineStr">
        <is>
          <t>03</t>
        </is>
      </c>
      <c r="E1822" s="68" t="inlineStr">
        <is>
          <t>6 物业施工费</t>
        </is>
      </c>
      <c r="F1822" s="68" t="inlineStr">
        <is>
          <t>6.1 总承包工程</t>
        </is>
      </c>
      <c r="G1822" s="68" t="inlineStr">
        <is>
          <t>6.1.1 内部装修工程</t>
        </is>
      </c>
      <c r="H1822" s="68" t="inlineStr">
        <is>
          <t>卫生间洗手台</t>
        </is>
      </c>
      <c r="I1822" s="69" t="inlineStr">
        <is>
          <t>1000022162</t>
        </is>
      </c>
      <c r="J1822" s="69" t="inlineStr">
        <is>
          <t>不包边镜子</t>
        </is>
      </c>
      <c r="K1822" s="70" t="n"/>
      <c r="L1822" s="70" t="n"/>
      <c r="M1822" s="71" t="inlineStr">
        <is>
          <t>个</t>
        </is>
      </c>
      <c r="N1822" s="72" t="n">
        <v>202</v>
      </c>
      <c r="O1822" s="72">
        <f>ROUND(N1822*(1+$F$10),2)</f>
        <v/>
      </c>
      <c r="P1822" s="73">
        <f>ROUND(K1822*N1822,2)</f>
        <v/>
      </c>
      <c r="Q1822" s="74">
        <f>ROUND(L1822*N1822,2)</f>
        <v/>
      </c>
      <c r="R1822" s="75" t="n"/>
      <c r="S1822" s="76" t="n"/>
      <c r="T1822" s="77">
        <f>K1822-L1822</f>
        <v/>
      </c>
      <c r="U1822" s="77">
        <f>P1822-Q1822</f>
        <v/>
      </c>
      <c r="V1822" s="77">
        <f>ABS(U1822)</f>
        <v/>
      </c>
      <c r="W1822" s="78">
        <f>T1822/L1822</f>
        <v/>
      </c>
      <c r="X1822" s="79">
        <f>ABS(W1822)</f>
        <v/>
      </c>
    </row>
    <row r="1823" ht="11.4" customHeight="1">
      <c r="A1823" s="67" t="inlineStr">
        <is>
          <t>大甜61</t>
        </is>
      </c>
      <c r="B1823" s="67" t="inlineStr">
        <is>
          <t>1059</t>
        </is>
      </c>
      <c r="C1823" s="67" t="inlineStr">
        <is>
          <t>1611</t>
        </is>
      </c>
      <c r="D1823" s="68" t="inlineStr">
        <is>
          <t>03</t>
        </is>
      </c>
      <c r="E1823" s="68" t="inlineStr">
        <is>
          <t>6 物业施工费</t>
        </is>
      </c>
      <c r="F1823" s="68" t="inlineStr">
        <is>
          <t>6.1 总承包工程</t>
        </is>
      </c>
      <c r="G1823" s="68" t="inlineStr">
        <is>
          <t>6.1.1 内部装修工程</t>
        </is>
      </c>
      <c r="H1823" s="68" t="inlineStr">
        <is>
          <t>卫生间洗手台</t>
        </is>
      </c>
      <c r="I1823" s="69" t="inlineStr">
        <is>
          <t>1000051725</t>
        </is>
      </c>
      <c r="J1823" s="69" t="inlineStr">
        <is>
          <t>洗手台下方不锈钢挡板</t>
        </is>
      </c>
      <c r="K1823" s="70" t="n"/>
      <c r="L1823" s="70" t="n"/>
      <c r="M1823" s="71" t="inlineStr">
        <is>
          <t>项</t>
        </is>
      </c>
      <c r="N1823" s="72" t="n">
        <v>350</v>
      </c>
      <c r="O1823" s="72">
        <f>ROUND(N1823*(1+$F$10),2)</f>
        <v/>
      </c>
      <c r="P1823" s="73">
        <f>ROUND(K1823*N1823,2)</f>
        <v/>
      </c>
      <c r="Q1823" s="74">
        <f>ROUND(L1823*N1823,2)</f>
        <v/>
      </c>
      <c r="R1823" s="75" t="n"/>
      <c r="S1823" s="76" t="n"/>
      <c r="T1823" s="77">
        <f>K1823-L1823</f>
        <v/>
      </c>
      <c r="U1823" s="77">
        <f>P1823-Q1823</f>
        <v/>
      </c>
      <c r="V1823" s="77">
        <f>ABS(U1823)</f>
        <v/>
      </c>
      <c r="W1823" s="78">
        <f>T1823/L1823</f>
        <v/>
      </c>
      <c r="X1823" s="79">
        <f>ABS(W1823)</f>
        <v/>
      </c>
    </row>
    <row r="1824" ht="11.4" customHeight="1">
      <c r="A1824" s="67" t="inlineStr">
        <is>
          <t>大甜61</t>
        </is>
      </c>
      <c r="B1824" s="67" t="inlineStr">
        <is>
          <t>1059</t>
        </is>
      </c>
      <c r="C1824" s="67" t="inlineStr">
        <is>
          <t>1611</t>
        </is>
      </c>
      <c r="D1824" s="68" t="inlineStr">
        <is>
          <t>03</t>
        </is>
      </c>
      <c r="E1824" s="68" t="inlineStr">
        <is>
          <t>6 物业施工费</t>
        </is>
      </c>
      <c r="F1824" s="68" t="inlineStr">
        <is>
          <t>6.1 总承包工程</t>
        </is>
      </c>
      <c r="G1824" s="68" t="inlineStr">
        <is>
          <t>6.1.1 内部装修工程</t>
        </is>
      </c>
      <c r="H1824" s="68" t="inlineStr">
        <is>
          <t>卫生间</t>
        </is>
      </c>
      <c r="I1824" s="69" t="inlineStr">
        <is>
          <t>1000021807</t>
        </is>
      </c>
      <c r="J1824" s="69" t="inlineStr">
        <is>
          <t>卫生间不锈钢拉手</t>
        </is>
      </c>
      <c r="K1824" s="70" t="n"/>
      <c r="L1824" s="70" t="n"/>
      <c r="M1824" s="71" t="inlineStr">
        <is>
          <t>套</t>
        </is>
      </c>
      <c r="N1824" s="72" t="n">
        <v>168.19</v>
      </c>
      <c r="O1824" s="72">
        <f>ROUND(N1824*(1+$F$10),2)</f>
        <v/>
      </c>
      <c r="P1824" s="73">
        <f>ROUND(K1824*N1824,2)</f>
        <v/>
      </c>
      <c r="Q1824" s="74">
        <f>ROUND(L1824*N1824,2)</f>
        <v/>
      </c>
      <c r="R1824" s="75" t="n"/>
      <c r="S1824" s="76" t="n"/>
      <c r="T1824" s="77">
        <f>K1824-L1824</f>
        <v/>
      </c>
      <c r="U1824" s="77">
        <f>P1824-Q1824</f>
        <v/>
      </c>
      <c r="V1824" s="77">
        <f>ABS(U1824)</f>
        <v/>
      </c>
      <c r="W1824" s="78">
        <f>T1824/L1824</f>
        <v/>
      </c>
      <c r="X1824" s="79">
        <f>ABS(W1824)</f>
        <v/>
      </c>
    </row>
    <row r="1825" ht="11.4" customHeight="1">
      <c r="A1825" s="67" t="inlineStr">
        <is>
          <t>大甜61</t>
        </is>
      </c>
      <c r="B1825" s="67" t="inlineStr">
        <is>
          <t>1059</t>
        </is>
      </c>
      <c r="C1825" s="67" t="inlineStr">
        <is>
          <t>1611</t>
        </is>
      </c>
      <c r="D1825" s="68" t="inlineStr">
        <is>
          <t>03</t>
        </is>
      </c>
      <c r="E1825" s="68" t="inlineStr">
        <is>
          <t>6 物业施工费</t>
        </is>
      </c>
      <c r="F1825" s="68" t="inlineStr">
        <is>
          <t>6.1 总承包工程</t>
        </is>
      </c>
      <c r="G1825" s="68" t="inlineStr">
        <is>
          <t>6.1.1 内部装修工程</t>
        </is>
      </c>
      <c r="H1825" s="68" t="inlineStr">
        <is>
          <t>卫生间</t>
        </is>
      </c>
      <c r="I1825" s="69" t="inlineStr">
        <is>
          <t>1000021808</t>
        </is>
      </c>
      <c r="J1825" s="69" t="inlineStr">
        <is>
          <t>不锈钢分隔条</t>
        </is>
      </c>
      <c r="K1825" s="70" t="n"/>
      <c r="L1825" s="70" t="n"/>
      <c r="M1825" s="71" t="inlineStr">
        <is>
          <t>米</t>
        </is>
      </c>
      <c r="N1825" s="72" t="n">
        <v>40.03</v>
      </c>
      <c r="O1825" s="72">
        <f>ROUND(N1825*(1+$F$10),2)</f>
        <v/>
      </c>
      <c r="P1825" s="73">
        <f>ROUND(K1825*N1825,2)</f>
        <v/>
      </c>
      <c r="Q1825" s="74">
        <f>ROUND(L1825*N1825,2)</f>
        <v/>
      </c>
      <c r="R1825" s="75" t="n"/>
      <c r="S1825" s="76" t="n"/>
      <c r="T1825" s="77">
        <f>K1825-L1825</f>
        <v/>
      </c>
      <c r="U1825" s="77">
        <f>P1825-Q1825</f>
        <v/>
      </c>
      <c r="V1825" s="77">
        <f>ABS(U1825)</f>
        <v/>
      </c>
      <c r="W1825" s="78">
        <f>T1825/L1825</f>
        <v/>
      </c>
      <c r="X1825" s="79">
        <f>ABS(W1825)</f>
        <v/>
      </c>
    </row>
    <row r="1826" ht="11.4" customHeight="1">
      <c r="A1826" s="67" t="inlineStr">
        <is>
          <t>大甜61</t>
        </is>
      </c>
      <c r="B1826" s="67" t="inlineStr">
        <is>
          <t>1059</t>
        </is>
      </c>
      <c r="C1826" s="67" t="inlineStr">
        <is>
          <t>1611</t>
        </is>
      </c>
      <c r="D1826" s="68" t="inlineStr">
        <is>
          <t>03</t>
        </is>
      </c>
      <c r="E1826" s="68" t="inlineStr">
        <is>
          <t>6 物业施工费</t>
        </is>
      </c>
      <c r="F1826" s="68" t="inlineStr">
        <is>
          <t>6.1 总承包工程</t>
        </is>
      </c>
      <c r="G1826" s="68" t="inlineStr">
        <is>
          <t>6.1.1 内部装修工程</t>
        </is>
      </c>
      <c r="H1826" s="68" t="inlineStr">
        <is>
          <t>卫生间</t>
        </is>
      </c>
      <c r="I1826" s="69" t="inlineStr">
        <is>
          <t>1000021504</t>
        </is>
      </c>
      <c r="J1826" s="69" t="inlineStr">
        <is>
          <t>手机承载平台</t>
        </is>
      </c>
      <c r="K1826" s="70" t="n"/>
      <c r="L1826" s="70" t="n"/>
      <c r="M1826" s="71" t="inlineStr">
        <is>
          <t>个</t>
        </is>
      </c>
      <c r="N1826" s="72" t="n">
        <v>60.02</v>
      </c>
      <c r="O1826" s="72">
        <f>ROUND(N1826*(1+$F$10),2)</f>
        <v/>
      </c>
      <c r="P1826" s="73">
        <f>ROUND(K1826*N1826,2)</f>
        <v/>
      </c>
      <c r="Q1826" s="74">
        <f>ROUND(L1826*N1826,2)</f>
        <v/>
      </c>
      <c r="R1826" s="75" t="n"/>
      <c r="S1826" s="76" t="n"/>
      <c r="T1826" s="77">
        <f>K1826-L1826</f>
        <v/>
      </c>
      <c r="U1826" s="77">
        <f>P1826-Q1826</f>
        <v/>
      </c>
      <c r="V1826" s="77">
        <f>ABS(U1826)</f>
        <v/>
      </c>
      <c r="W1826" s="78">
        <f>T1826/L1826</f>
        <v/>
      </c>
      <c r="X1826" s="79">
        <f>ABS(W1826)</f>
        <v/>
      </c>
    </row>
    <row r="1827" ht="11.4" customHeight="1">
      <c r="A1827" s="67" t="inlineStr">
        <is>
          <t>大甜61</t>
        </is>
      </c>
      <c r="B1827" s="67" t="inlineStr">
        <is>
          <t>1059</t>
        </is>
      </c>
      <c r="C1827" s="67" t="inlineStr">
        <is>
          <t>1611</t>
        </is>
      </c>
      <c r="D1827" s="68" t="inlineStr">
        <is>
          <t>03</t>
        </is>
      </c>
      <c r="E1827" s="68" t="inlineStr">
        <is>
          <t>6 物业施工费</t>
        </is>
      </c>
      <c r="F1827" s="68" t="inlineStr">
        <is>
          <t>6.1 总承包工程</t>
        </is>
      </c>
      <c r="G1827" s="68" t="inlineStr">
        <is>
          <t>6.1.1 内部装修工程</t>
        </is>
      </c>
      <c r="H1827" s="68" t="inlineStr">
        <is>
          <t>卫生间隔断</t>
        </is>
      </c>
      <c r="I1827" s="69" t="inlineStr">
        <is>
          <t>1000021505</t>
        </is>
      </c>
      <c r="J1827" s="69" t="inlineStr">
        <is>
          <t>卫生间   防潮隔断板连门</t>
        </is>
      </c>
      <c r="K1827" s="70" t="n"/>
      <c r="L1827" s="70" t="n"/>
      <c r="M1827" s="71" t="inlineStr">
        <is>
          <t>m2</t>
        </is>
      </c>
      <c r="N1827" s="72" t="n">
        <v>618.3</v>
      </c>
      <c r="O1827" s="72">
        <f>ROUND(N1827*(1+$F$10),2)</f>
        <v/>
      </c>
      <c r="P1827" s="73">
        <f>ROUND(K1827*N1827,2)</f>
        <v/>
      </c>
      <c r="Q1827" s="74">
        <f>ROUND(L1827*N1827,2)</f>
        <v/>
      </c>
      <c r="R1827" s="75" t="n"/>
      <c r="S1827" s="76" t="n"/>
      <c r="T1827" s="77">
        <f>K1827-L1827</f>
        <v/>
      </c>
      <c r="U1827" s="77">
        <f>P1827-Q1827</f>
        <v/>
      </c>
      <c r="V1827" s="77">
        <f>ABS(U1827)</f>
        <v/>
      </c>
      <c r="W1827" s="78">
        <f>T1827/L1827</f>
        <v/>
      </c>
      <c r="X1827" s="79">
        <f>ABS(W1827)</f>
        <v/>
      </c>
    </row>
    <row r="1828" ht="11.4" customHeight="1">
      <c r="A1828" s="67" t="inlineStr">
        <is>
          <t>大甜61</t>
        </is>
      </c>
      <c r="B1828" s="67" t="inlineStr">
        <is>
          <t>1059</t>
        </is>
      </c>
      <c r="C1828" s="67" t="inlineStr">
        <is>
          <t>1611</t>
        </is>
      </c>
      <c r="D1828" s="68" t="inlineStr">
        <is>
          <t>03</t>
        </is>
      </c>
      <c r="E1828" s="68" t="inlineStr">
        <is>
          <t>6 物业施工费</t>
        </is>
      </c>
      <c r="F1828" s="68" t="inlineStr">
        <is>
          <t>6.1 总承包工程</t>
        </is>
      </c>
      <c r="G1828" s="68" t="inlineStr">
        <is>
          <t>6.1.1 内部装修工程</t>
        </is>
      </c>
      <c r="H1828" s="68" t="inlineStr">
        <is>
          <t>卫生间隔断</t>
        </is>
      </c>
      <c r="I1828" s="69" t="inlineStr">
        <is>
          <t>1000021506</t>
        </is>
      </c>
      <c r="J1828" s="69" t="inlineStr">
        <is>
          <t>卫生间   防潮隔断五金件</t>
        </is>
      </c>
      <c r="K1828" s="70" t="n"/>
      <c r="L1828" s="70" t="n"/>
      <c r="M1828" s="71" t="inlineStr">
        <is>
          <t>套</t>
        </is>
      </c>
      <c r="N1828" s="72" t="n">
        <v>432.3</v>
      </c>
      <c r="O1828" s="72">
        <f>ROUND(N1828*(1+$F$10),2)</f>
        <v/>
      </c>
      <c r="P1828" s="73">
        <f>ROUND(K1828*N1828,2)</f>
        <v/>
      </c>
      <c r="Q1828" s="74">
        <f>ROUND(L1828*N1828,2)</f>
        <v/>
      </c>
      <c r="R1828" s="75" t="n"/>
      <c r="S1828" s="76" t="n"/>
      <c r="T1828" s="77">
        <f>K1828-L1828</f>
        <v/>
      </c>
      <c r="U1828" s="77">
        <f>P1828-Q1828</f>
        <v/>
      </c>
      <c r="V1828" s="77">
        <f>ABS(U1828)</f>
        <v/>
      </c>
      <c r="W1828" s="78">
        <f>T1828/L1828</f>
        <v/>
      </c>
      <c r="X1828" s="79">
        <f>ABS(W1828)</f>
        <v/>
      </c>
    </row>
    <row r="1829" ht="11.4" customHeight="1">
      <c r="A1829" s="67" t="inlineStr">
        <is>
          <t>大甜61</t>
        </is>
      </c>
      <c r="B1829" s="67" t="inlineStr">
        <is>
          <t>1059</t>
        </is>
      </c>
      <c r="C1829" s="67" t="inlineStr">
        <is>
          <t>1611</t>
        </is>
      </c>
      <c r="D1829" s="68" t="inlineStr">
        <is>
          <t>03</t>
        </is>
      </c>
      <c r="E1829" s="68" t="inlineStr">
        <is>
          <t>6 物业施工费</t>
        </is>
      </c>
      <c r="F1829" s="68" t="inlineStr">
        <is>
          <t>6.1 总承包工程</t>
        </is>
      </c>
      <c r="G1829" s="68" t="inlineStr">
        <is>
          <t>6.1.1 内部装修工程</t>
        </is>
      </c>
      <c r="H1829" s="68" t="inlineStr">
        <is>
          <t>卫生间隔断</t>
        </is>
      </c>
      <c r="I1829" s="69" t="inlineStr">
        <is>
          <t>1000021650</t>
        </is>
      </c>
      <c r="J1829" s="69" t="inlineStr">
        <is>
          <t>卫生间防潮隔断板连门（远达供应）</t>
        </is>
      </c>
      <c r="K1829" s="70" t="n"/>
      <c r="L1829" s="70" t="n"/>
      <c r="M1829" s="71" t="inlineStr">
        <is>
          <t>m2</t>
        </is>
      </c>
      <c r="N1829" s="72" t="n">
        <v>618.3</v>
      </c>
      <c r="O1829" s="72">
        <f>ROUND(N1829*(1+$F$10),2)</f>
        <v/>
      </c>
      <c r="P1829" s="73">
        <f>ROUND(K1829*N1829,2)</f>
        <v/>
      </c>
      <c r="Q1829" s="74">
        <f>ROUND(L1829*N1829,2)</f>
        <v/>
      </c>
      <c r="R1829" s="75" t="n"/>
      <c r="S1829" s="76" t="n"/>
      <c r="T1829" s="77">
        <f>K1829-L1829</f>
        <v/>
      </c>
      <c r="U1829" s="77">
        <f>P1829-Q1829</f>
        <v/>
      </c>
      <c r="V1829" s="77">
        <f>ABS(U1829)</f>
        <v/>
      </c>
      <c r="W1829" s="78">
        <f>T1829/L1829</f>
        <v/>
      </c>
      <c r="X1829" s="79">
        <f>ABS(W1829)</f>
        <v/>
      </c>
    </row>
    <row r="1830" ht="11.4" customHeight="1">
      <c r="A1830" s="67" t="inlineStr">
        <is>
          <t>大甜61</t>
        </is>
      </c>
      <c r="B1830" s="67" t="inlineStr">
        <is>
          <t>1059</t>
        </is>
      </c>
      <c r="C1830" s="67" t="inlineStr">
        <is>
          <t>1611</t>
        </is>
      </c>
      <c r="D1830" s="68" t="inlineStr">
        <is>
          <t>03</t>
        </is>
      </c>
      <c r="E1830" s="68" t="inlineStr">
        <is>
          <t>6 物业施工费</t>
        </is>
      </c>
      <c r="F1830" s="68" t="inlineStr">
        <is>
          <t>6.1 总承包工程</t>
        </is>
      </c>
      <c r="G1830" s="68" t="inlineStr">
        <is>
          <t>6.1.1 内部装修工程</t>
        </is>
      </c>
      <c r="H1830" s="68" t="inlineStr">
        <is>
          <t>卫生间隔断</t>
        </is>
      </c>
      <c r="I1830" s="69" t="inlineStr">
        <is>
          <t>1000021651</t>
        </is>
      </c>
      <c r="J1830" s="69" t="inlineStr">
        <is>
          <t>卫生间防潮隔断五金件（远达供应）</t>
        </is>
      </c>
      <c r="K1830" s="70" t="n"/>
      <c r="L1830" s="70" t="n"/>
      <c r="M1830" s="71" t="inlineStr">
        <is>
          <t>套</t>
        </is>
      </c>
      <c r="N1830" s="72" t="n">
        <v>432.3</v>
      </c>
      <c r="O1830" s="72">
        <f>ROUND(N1830*(1+$F$10),2)</f>
        <v/>
      </c>
      <c r="P1830" s="73">
        <f>ROUND(K1830*N1830,2)</f>
        <v/>
      </c>
      <c r="Q1830" s="74">
        <f>ROUND(L1830*N1830,2)</f>
        <v/>
      </c>
      <c r="R1830" s="75" t="n"/>
      <c r="S1830" s="76" t="n"/>
      <c r="T1830" s="77">
        <f>K1830-L1830</f>
        <v/>
      </c>
      <c r="U1830" s="77">
        <f>P1830-Q1830</f>
        <v/>
      </c>
      <c r="V1830" s="77">
        <f>ABS(U1830)</f>
        <v/>
      </c>
      <c r="W1830" s="78">
        <f>T1830/L1830</f>
        <v/>
      </c>
      <c r="X1830" s="79">
        <f>ABS(W1830)</f>
        <v/>
      </c>
    </row>
    <row r="1831" ht="11.4" customHeight="1">
      <c r="A1831" s="67" t="inlineStr">
        <is>
          <t>大甜61</t>
        </is>
      </c>
      <c r="B1831" s="67" t="inlineStr">
        <is>
          <t>1059</t>
        </is>
      </c>
      <c r="C1831" s="67" t="inlineStr">
        <is>
          <t>1611</t>
        </is>
      </c>
      <c r="D1831" s="68" t="inlineStr">
        <is>
          <t>03</t>
        </is>
      </c>
      <c r="E1831" s="68" t="inlineStr">
        <is>
          <t>6 物业施工费</t>
        </is>
      </c>
      <c r="F1831" s="68" t="inlineStr">
        <is>
          <t>6.1 总承包工程</t>
        </is>
      </c>
      <c r="G1831" s="68" t="inlineStr">
        <is>
          <t>6.1.1 内部装修工程</t>
        </is>
      </c>
      <c r="H1831" s="68" t="inlineStr">
        <is>
          <t>卫生间隔断</t>
        </is>
      </c>
      <c r="I1831" s="69" t="inlineStr">
        <is>
          <t>1000053615</t>
        </is>
      </c>
      <c r="J1831" s="69" t="inlineStr">
        <is>
          <t>卫生间防潮隔断板连门（航凯供应）</t>
        </is>
      </c>
      <c r="K1831" s="70" t="n"/>
      <c r="L1831" s="70" t="n"/>
      <c r="M1831" s="71" t="inlineStr">
        <is>
          <t>m2</t>
        </is>
      </c>
      <c r="N1831" s="72" t="n">
        <v>661.33</v>
      </c>
      <c r="O1831" s="72">
        <f>ROUND(N1831*(1+$F$10),2)</f>
        <v/>
      </c>
      <c r="P1831" s="73">
        <f>ROUND(K1831*N1831,2)</f>
        <v/>
      </c>
      <c r="Q1831" s="74">
        <f>ROUND(L1831*N1831,2)</f>
        <v/>
      </c>
      <c r="R1831" s="75" t="n"/>
      <c r="S1831" s="76" t="n"/>
      <c r="T1831" s="77">
        <f>K1831-L1831</f>
        <v/>
      </c>
      <c r="U1831" s="77">
        <f>P1831-Q1831</f>
        <v/>
      </c>
      <c r="V1831" s="77">
        <f>ABS(U1831)</f>
        <v/>
      </c>
      <c r="W1831" s="78">
        <f>T1831/L1831</f>
        <v/>
      </c>
      <c r="X1831" s="79">
        <f>ABS(W1831)</f>
        <v/>
      </c>
    </row>
    <row r="1832" ht="11.4" customHeight="1">
      <c r="A1832" s="67" t="inlineStr">
        <is>
          <t>大甜61</t>
        </is>
      </c>
      <c r="B1832" s="67" t="inlineStr">
        <is>
          <t>1059</t>
        </is>
      </c>
      <c r="C1832" s="67" t="inlineStr">
        <is>
          <t>1611</t>
        </is>
      </c>
      <c r="D1832" s="68" t="inlineStr">
        <is>
          <t>03</t>
        </is>
      </c>
      <c r="E1832" s="68" t="inlineStr">
        <is>
          <t>6 物业施工费</t>
        </is>
      </c>
      <c r="F1832" s="68" t="inlineStr">
        <is>
          <t>6.1 总承包工程</t>
        </is>
      </c>
      <c r="G1832" s="68" t="inlineStr">
        <is>
          <t>6.1.1 内部装修工程</t>
        </is>
      </c>
      <c r="H1832" s="68" t="inlineStr">
        <is>
          <t>卫生间隔断</t>
        </is>
      </c>
      <c r="I1832" s="69" t="inlineStr">
        <is>
          <t>1000053616</t>
        </is>
      </c>
      <c r="J1832" s="69" t="inlineStr">
        <is>
          <t>卫生间防潮隔断五金件（航凯供应）</t>
        </is>
      </c>
      <c r="K1832" s="70" t="n"/>
      <c r="L1832" s="70" t="n"/>
      <c r="M1832" s="71" t="inlineStr">
        <is>
          <t>套</t>
        </is>
      </c>
      <c r="N1832" s="72" t="n">
        <v>466.75</v>
      </c>
      <c r="O1832" s="72">
        <f>ROUND(N1832*(1+$F$10),2)</f>
        <v/>
      </c>
      <c r="P1832" s="73">
        <f>ROUND(K1832*N1832,2)</f>
        <v/>
      </c>
      <c r="Q1832" s="74">
        <f>ROUND(L1832*N1832,2)</f>
        <v/>
      </c>
      <c r="R1832" s="75" t="n"/>
      <c r="S1832" s="76" t="n"/>
      <c r="T1832" s="77">
        <f>K1832-L1832</f>
        <v/>
      </c>
      <c r="U1832" s="77">
        <f>P1832-Q1832</f>
        <v/>
      </c>
      <c r="V1832" s="77">
        <f>ABS(U1832)</f>
        <v/>
      </c>
      <c r="W1832" s="78">
        <f>T1832/L1832</f>
        <v/>
      </c>
      <c r="X1832" s="79">
        <f>ABS(W1832)</f>
        <v/>
      </c>
    </row>
    <row r="1833" ht="11.4" customHeight="1">
      <c r="A1833" s="67" t="inlineStr">
        <is>
          <t>大甜67</t>
        </is>
      </c>
      <c r="B1833" s="67" t="inlineStr">
        <is>
          <t>1065</t>
        </is>
      </c>
      <c r="C1833" s="67" t="inlineStr">
        <is>
          <t>1645</t>
        </is>
      </c>
      <c r="D1833" s="68" t="inlineStr">
        <is>
          <t>03</t>
        </is>
      </c>
      <c r="E1833" s="68" t="inlineStr">
        <is>
          <t>6 物业施工费</t>
        </is>
      </c>
      <c r="F1833" s="68" t="inlineStr">
        <is>
          <t>6.1 总承包工程</t>
        </is>
      </c>
      <c r="G1833" s="68" t="inlineStr">
        <is>
          <t>6.1.1 内部装修工程</t>
        </is>
      </c>
      <c r="H1833" s="68" t="inlineStr">
        <is>
          <t>卫生间洁具</t>
        </is>
      </c>
      <c r="I1833" s="69" t="inlineStr">
        <is>
          <t>1000021809</t>
        </is>
      </c>
      <c r="J1833" s="69" t="inlineStr">
        <is>
          <t>台下盆连感应龙头</t>
        </is>
      </c>
      <c r="K1833" s="70" t="n"/>
      <c r="L1833" s="70" t="n"/>
      <c r="M1833" s="71" t="inlineStr">
        <is>
          <t>套</t>
        </is>
      </c>
      <c r="N1833" s="72" t="n">
        <v>1581.68</v>
      </c>
      <c r="O1833" s="72">
        <f>ROUND(N1833*(1+$F$10),2)</f>
        <v/>
      </c>
      <c r="P1833" s="73">
        <f>ROUND(K1833*N1833,2)</f>
        <v/>
      </c>
      <c r="Q1833" s="74">
        <f>ROUND(L1833*N1833,2)</f>
        <v/>
      </c>
      <c r="R1833" s="75" t="n"/>
      <c r="S1833" s="76" t="n"/>
      <c r="T1833" s="77">
        <f>K1833-L1833</f>
        <v/>
      </c>
      <c r="U1833" s="77">
        <f>P1833-Q1833</f>
        <v/>
      </c>
      <c r="V1833" s="77">
        <f>ABS(U1833)</f>
        <v/>
      </c>
      <c r="W1833" s="78">
        <f>T1833/L1833</f>
        <v/>
      </c>
      <c r="X1833" s="79">
        <f>ABS(W1833)</f>
        <v/>
      </c>
    </row>
    <row r="1834" ht="11.4" customHeight="1">
      <c r="A1834" s="67" t="inlineStr">
        <is>
          <t>大甜67</t>
        </is>
      </c>
      <c r="B1834" s="67" t="inlineStr">
        <is>
          <t>1065</t>
        </is>
      </c>
      <c r="C1834" s="67" t="inlineStr">
        <is>
          <t>1645</t>
        </is>
      </c>
      <c r="D1834" s="68" t="inlineStr">
        <is>
          <t>03</t>
        </is>
      </c>
      <c r="E1834" s="68" t="inlineStr">
        <is>
          <t>6 物业施工费</t>
        </is>
      </c>
      <c r="F1834" s="68" t="inlineStr">
        <is>
          <t>6.1 总承包工程</t>
        </is>
      </c>
      <c r="G1834" s="68" t="inlineStr">
        <is>
          <t>6.1.1 内部装修工程</t>
        </is>
      </c>
      <c r="H1834" s="68" t="inlineStr">
        <is>
          <t>卫生间洁具</t>
        </is>
      </c>
      <c r="I1834" s="69" t="inlineStr">
        <is>
          <t>1000021810</t>
        </is>
      </c>
      <c r="J1834" s="69" t="inlineStr">
        <is>
          <t>坐便器</t>
        </is>
      </c>
      <c r="K1834" s="70" t="n"/>
      <c r="L1834" s="70" t="n"/>
      <c r="M1834" s="71" t="inlineStr">
        <is>
          <t>套</t>
        </is>
      </c>
      <c r="N1834" s="72" t="n">
        <v>1331.19</v>
      </c>
      <c r="O1834" s="72">
        <f>ROUND(N1834*(1+$F$10),2)</f>
        <v/>
      </c>
      <c r="P1834" s="73">
        <f>ROUND(K1834*N1834,2)</f>
        <v/>
      </c>
      <c r="Q1834" s="74">
        <f>ROUND(L1834*N1834,2)</f>
        <v/>
      </c>
      <c r="R1834" s="75" t="n"/>
      <c r="S1834" s="76" t="n"/>
      <c r="T1834" s="77">
        <f>K1834-L1834</f>
        <v/>
      </c>
      <c r="U1834" s="77">
        <f>P1834-Q1834</f>
        <v/>
      </c>
      <c r="V1834" s="77">
        <f>ABS(U1834)</f>
        <v/>
      </c>
      <c r="W1834" s="78">
        <f>T1834/L1834</f>
        <v/>
      </c>
      <c r="X1834" s="79">
        <f>ABS(W1834)</f>
        <v/>
      </c>
    </row>
    <row r="1835" ht="11.4" customHeight="1">
      <c r="A1835" s="67" t="inlineStr">
        <is>
          <t>大甜67</t>
        </is>
      </c>
      <c r="B1835" s="67" t="inlineStr">
        <is>
          <t>1065</t>
        </is>
      </c>
      <c r="C1835" s="67" t="inlineStr">
        <is>
          <t>1645</t>
        </is>
      </c>
      <c r="D1835" s="68" t="inlineStr">
        <is>
          <t>03</t>
        </is>
      </c>
      <c r="E1835" s="68" t="inlineStr">
        <is>
          <t>6 物业施工费</t>
        </is>
      </c>
      <c r="F1835" s="68" t="inlineStr">
        <is>
          <t>6.1 总承包工程</t>
        </is>
      </c>
      <c r="G1835" s="68" t="inlineStr">
        <is>
          <t>6.1.1 内部装修工程</t>
        </is>
      </c>
      <c r="H1835" s="68" t="inlineStr">
        <is>
          <t>卫生间洁具</t>
        </is>
      </c>
      <c r="I1835" s="69" t="inlineStr">
        <is>
          <t>1000021811</t>
        </is>
      </c>
      <c r="J1835" s="69" t="inlineStr">
        <is>
          <t>蹲便器连冲洗阀</t>
        </is>
      </c>
      <c r="K1835" s="70" t="n"/>
      <c r="L1835" s="70" t="n"/>
      <c r="M1835" s="71" t="inlineStr">
        <is>
          <t>套</t>
        </is>
      </c>
      <c r="N1835" s="72" t="n">
        <v>789.14</v>
      </c>
      <c r="O1835" s="72">
        <f>ROUND(N1835*(1+$F$10),2)</f>
        <v/>
      </c>
      <c r="P1835" s="73">
        <f>ROUND(K1835*N1835,2)</f>
        <v/>
      </c>
      <c r="Q1835" s="74">
        <f>ROUND(L1835*N1835,2)</f>
        <v/>
      </c>
      <c r="R1835" s="75" t="n"/>
      <c r="S1835" s="76" t="n"/>
      <c r="T1835" s="77">
        <f>K1835-L1835</f>
        <v/>
      </c>
      <c r="U1835" s="77">
        <f>P1835-Q1835</f>
        <v/>
      </c>
      <c r="V1835" s="77">
        <f>ABS(U1835)</f>
        <v/>
      </c>
      <c r="W1835" s="78">
        <f>T1835/L1835</f>
        <v/>
      </c>
      <c r="X1835" s="79">
        <f>ABS(W1835)</f>
        <v/>
      </c>
    </row>
    <row r="1836" ht="11.4" customHeight="1">
      <c r="A1836" s="67" t="inlineStr">
        <is>
          <t>大甜67</t>
        </is>
      </c>
      <c r="B1836" s="67" t="inlineStr">
        <is>
          <t>1065</t>
        </is>
      </c>
      <c r="C1836" s="67" t="inlineStr">
        <is>
          <t>1645</t>
        </is>
      </c>
      <c r="D1836" s="68" t="inlineStr">
        <is>
          <t>03</t>
        </is>
      </c>
      <c r="E1836" s="68" t="inlineStr">
        <is>
          <t>6 物业施工费</t>
        </is>
      </c>
      <c r="F1836" s="68" t="inlineStr">
        <is>
          <t>6.1 总承包工程</t>
        </is>
      </c>
      <c r="G1836" s="68" t="inlineStr">
        <is>
          <t>6.1.1 内部装修工程</t>
        </is>
      </c>
      <c r="H1836" s="68" t="inlineStr">
        <is>
          <t>卫生间洁具</t>
        </is>
      </c>
      <c r="I1836" s="69" t="inlineStr">
        <is>
          <t>1000021812</t>
        </is>
      </c>
      <c r="J1836" s="69" t="inlineStr">
        <is>
          <t>小便器连感应器</t>
        </is>
      </c>
      <c r="K1836" s="70" t="n"/>
      <c r="L1836" s="70" t="n"/>
      <c r="M1836" s="71" t="inlineStr">
        <is>
          <t>套</t>
        </is>
      </c>
      <c r="N1836" s="72" t="n">
        <v>1271.27</v>
      </c>
      <c r="O1836" s="72">
        <f>ROUND(N1836*(1+$F$10),2)</f>
        <v/>
      </c>
      <c r="P1836" s="73">
        <f>ROUND(K1836*N1836,2)</f>
        <v/>
      </c>
      <c r="Q1836" s="74">
        <f>ROUND(L1836*N1836,2)</f>
        <v/>
      </c>
      <c r="R1836" s="75" t="n"/>
      <c r="S1836" s="76" t="n"/>
      <c r="T1836" s="77">
        <f>K1836-L1836</f>
        <v/>
      </c>
      <c r="U1836" s="77">
        <f>P1836-Q1836</f>
        <v/>
      </c>
      <c r="V1836" s="77">
        <f>ABS(U1836)</f>
        <v/>
      </c>
      <c r="W1836" s="78">
        <f>T1836/L1836</f>
        <v/>
      </c>
      <c r="X1836" s="79">
        <f>ABS(W1836)</f>
        <v/>
      </c>
    </row>
    <row r="1837" ht="11.4" customHeight="1">
      <c r="A1837" s="67" t="inlineStr">
        <is>
          <t>大甜67</t>
        </is>
      </c>
      <c r="B1837" s="67" t="inlineStr">
        <is>
          <t>1065</t>
        </is>
      </c>
      <c r="C1837" s="67" t="inlineStr">
        <is>
          <t>1645</t>
        </is>
      </c>
      <c r="D1837" s="68" t="inlineStr">
        <is>
          <t>03</t>
        </is>
      </c>
      <c r="E1837" s="68" t="inlineStr">
        <is>
          <t>6 物业施工费</t>
        </is>
      </c>
      <c r="F1837" s="68" t="inlineStr">
        <is>
          <t>6.1 总承包工程</t>
        </is>
      </c>
      <c r="G1837" s="68" t="inlineStr">
        <is>
          <t>6.1.1 内部装修工程</t>
        </is>
      </c>
      <c r="H1837" s="68" t="inlineStr">
        <is>
          <t>卫生间洁具</t>
        </is>
      </c>
      <c r="I1837" s="69" t="inlineStr">
        <is>
          <t>1000021507</t>
        </is>
      </c>
      <c r="J1837" s="69" t="inlineStr">
        <is>
          <t>台下盆连感应龙头-LEED认证</t>
        </is>
      </c>
      <c r="K1837" s="70" t="n"/>
      <c r="L1837" s="70" t="n"/>
      <c r="M1837" s="71" t="inlineStr">
        <is>
          <t>套</t>
        </is>
      </c>
      <c r="N1837" s="72" t="n">
        <v>2120.68</v>
      </c>
      <c r="O1837" s="72">
        <f>ROUND(N1837*(1+$F$10),2)</f>
        <v/>
      </c>
      <c r="P1837" s="73">
        <f>ROUND(K1837*N1837,2)</f>
        <v/>
      </c>
      <c r="Q1837" s="74">
        <f>ROUND(L1837*N1837,2)</f>
        <v/>
      </c>
      <c r="R1837" s="75" t="n"/>
      <c r="S1837" s="76" t="n"/>
      <c r="T1837" s="77">
        <f>K1837-L1837</f>
        <v/>
      </c>
      <c r="U1837" s="77">
        <f>P1837-Q1837</f>
        <v/>
      </c>
      <c r="V1837" s="77">
        <f>ABS(U1837)</f>
        <v/>
      </c>
      <c r="W1837" s="78">
        <f>T1837/L1837</f>
        <v/>
      </c>
      <c r="X1837" s="79">
        <f>ABS(W1837)</f>
        <v/>
      </c>
    </row>
    <row r="1838" ht="11.4" customHeight="1">
      <c r="A1838" s="67" t="inlineStr">
        <is>
          <t>大甜67</t>
        </is>
      </c>
      <c r="B1838" s="67" t="inlineStr">
        <is>
          <t>1065</t>
        </is>
      </c>
      <c r="C1838" s="67" t="inlineStr">
        <is>
          <t>1645</t>
        </is>
      </c>
      <c r="D1838" s="68" t="inlineStr">
        <is>
          <t>03</t>
        </is>
      </c>
      <c r="E1838" s="68" t="inlineStr">
        <is>
          <t>6 物业施工费</t>
        </is>
      </c>
      <c r="F1838" s="68" t="inlineStr">
        <is>
          <t>6.1 总承包工程</t>
        </is>
      </c>
      <c r="G1838" s="68" t="inlineStr">
        <is>
          <t>6.1.1 内部装修工程</t>
        </is>
      </c>
      <c r="H1838" s="68" t="inlineStr">
        <is>
          <t>卫生间洁具</t>
        </is>
      </c>
      <c r="I1838" s="69" t="inlineStr">
        <is>
          <t>1000021508</t>
        </is>
      </c>
      <c r="J1838" s="69" t="inlineStr">
        <is>
          <t>坐便器-LEED认证</t>
        </is>
      </c>
      <c r="K1838" s="70" t="n"/>
      <c r="L1838" s="70" t="n"/>
      <c r="M1838" s="71" t="inlineStr">
        <is>
          <t>套</t>
        </is>
      </c>
      <c r="N1838" s="72" t="n">
        <v>1842.69</v>
      </c>
      <c r="O1838" s="72">
        <f>ROUND(N1838*(1+$F$10),2)</f>
        <v/>
      </c>
      <c r="P1838" s="73">
        <f>ROUND(K1838*N1838,2)</f>
        <v/>
      </c>
      <c r="Q1838" s="74">
        <f>ROUND(L1838*N1838,2)</f>
        <v/>
      </c>
      <c r="R1838" s="75" t="n"/>
      <c r="S1838" s="76" t="n"/>
      <c r="T1838" s="77">
        <f>K1838-L1838</f>
        <v/>
      </c>
      <c r="U1838" s="77">
        <f>P1838-Q1838</f>
        <v/>
      </c>
      <c r="V1838" s="77">
        <f>ABS(U1838)</f>
        <v/>
      </c>
      <c r="W1838" s="78">
        <f>T1838/L1838</f>
        <v/>
      </c>
      <c r="X1838" s="79">
        <f>ABS(W1838)</f>
        <v/>
      </c>
    </row>
    <row r="1839" ht="11.4" customHeight="1">
      <c r="A1839" s="67" t="inlineStr">
        <is>
          <t>大甜67</t>
        </is>
      </c>
      <c r="B1839" s="67" t="inlineStr">
        <is>
          <t>1065</t>
        </is>
      </c>
      <c r="C1839" s="67" t="inlineStr">
        <is>
          <t>1645</t>
        </is>
      </c>
      <c r="D1839" s="68" t="inlineStr">
        <is>
          <t>03</t>
        </is>
      </c>
      <c r="E1839" s="68" t="inlineStr">
        <is>
          <t>6 物业施工费</t>
        </is>
      </c>
      <c r="F1839" s="68" t="inlineStr">
        <is>
          <t>6.1 总承包工程</t>
        </is>
      </c>
      <c r="G1839" s="68" t="inlineStr">
        <is>
          <t>6.1.1 内部装修工程</t>
        </is>
      </c>
      <c r="H1839" s="68" t="inlineStr">
        <is>
          <t>卫生间洁具</t>
        </is>
      </c>
      <c r="I1839" s="69" t="inlineStr">
        <is>
          <t>1000040120</t>
        </is>
      </c>
      <c r="J1839" s="69" t="inlineStr">
        <is>
          <t>蹲便器配隐藏式水箱-LEED认证</t>
        </is>
      </c>
      <c r="K1839" s="70" t="n"/>
      <c r="L1839" s="70" t="n"/>
      <c r="M1839" s="71" t="inlineStr">
        <is>
          <t>套</t>
        </is>
      </c>
      <c r="N1839" s="72" t="n">
        <v>2194.94</v>
      </c>
      <c r="O1839" s="72">
        <f>ROUND(N1839*(1+$F$10),2)</f>
        <v/>
      </c>
      <c r="P1839" s="73">
        <f>ROUND(K1839*N1839,2)</f>
        <v/>
      </c>
      <c r="Q1839" s="74">
        <f>ROUND(L1839*N1839,2)</f>
        <v/>
      </c>
      <c r="R1839" s="75" t="n"/>
      <c r="S1839" s="76" t="n"/>
      <c r="T1839" s="77">
        <f>K1839-L1839</f>
        <v/>
      </c>
      <c r="U1839" s="77">
        <f>P1839-Q1839</f>
        <v/>
      </c>
      <c r="V1839" s="77">
        <f>ABS(U1839)</f>
        <v/>
      </c>
      <c r="W1839" s="78">
        <f>T1839/L1839</f>
        <v/>
      </c>
      <c r="X1839" s="79">
        <f>ABS(W1839)</f>
        <v/>
      </c>
    </row>
    <row r="1840" ht="11.4" customHeight="1">
      <c r="A1840" s="67" t="inlineStr">
        <is>
          <t>大甜67</t>
        </is>
      </c>
      <c r="B1840" s="67" t="inlineStr">
        <is>
          <t>1065</t>
        </is>
      </c>
      <c r="C1840" s="67" t="inlineStr">
        <is>
          <t>1645</t>
        </is>
      </c>
      <c r="D1840" s="68" t="inlineStr">
        <is>
          <t>03</t>
        </is>
      </c>
      <c r="E1840" s="68" t="inlineStr">
        <is>
          <t>6 物业施工费</t>
        </is>
      </c>
      <c r="F1840" s="68" t="inlineStr">
        <is>
          <t>6.1 总承包工程</t>
        </is>
      </c>
      <c r="G1840" s="68" t="inlineStr">
        <is>
          <t>6.1.1 内部装修工程</t>
        </is>
      </c>
      <c r="H1840" s="68" t="inlineStr">
        <is>
          <t>卫生间洁具</t>
        </is>
      </c>
      <c r="I1840" s="69" t="inlineStr">
        <is>
          <t>1000021510</t>
        </is>
      </c>
      <c r="J1840" s="69" t="inlineStr">
        <is>
          <t>小便器连感应器-LEED认证</t>
        </is>
      </c>
      <c r="K1840" s="70" t="n"/>
      <c r="L1840" s="70" t="n"/>
      <c r="M1840" s="71" t="inlineStr">
        <is>
          <t>套</t>
        </is>
      </c>
      <c r="N1840" s="72" t="n">
        <v>2552.77</v>
      </c>
      <c r="O1840" s="72">
        <f>ROUND(N1840*(1+$F$10),2)</f>
        <v/>
      </c>
      <c r="P1840" s="73">
        <f>ROUND(K1840*N1840,2)</f>
        <v/>
      </c>
      <c r="Q1840" s="74">
        <f>ROUND(L1840*N1840,2)</f>
        <v/>
      </c>
      <c r="R1840" s="75" t="n"/>
      <c r="S1840" s="76" t="n"/>
      <c r="T1840" s="77">
        <f>K1840-L1840</f>
        <v/>
      </c>
      <c r="U1840" s="77">
        <f>P1840-Q1840</f>
        <v/>
      </c>
      <c r="V1840" s="77">
        <f>ABS(U1840)</f>
        <v/>
      </c>
      <c r="W1840" s="78">
        <f>T1840/L1840</f>
        <v/>
      </c>
      <c r="X1840" s="79">
        <f>ABS(W1840)</f>
        <v/>
      </c>
    </row>
    <row r="1841" ht="11.4" customHeight="1">
      <c r="A1841" s="67" t="inlineStr">
        <is>
          <t>大甜62</t>
        </is>
      </c>
      <c r="B1841" s="67" t="inlineStr">
        <is>
          <t>1060</t>
        </is>
      </c>
      <c r="C1841" s="67" t="inlineStr">
        <is>
          <t>1611</t>
        </is>
      </c>
      <c r="D1841" s="68" t="inlineStr">
        <is>
          <t>03</t>
        </is>
      </c>
      <c r="E1841" s="68" t="inlineStr">
        <is>
          <t>6 物业施工费</t>
        </is>
      </c>
      <c r="F1841" s="68" t="inlineStr">
        <is>
          <t>6.1 总承包工程</t>
        </is>
      </c>
      <c r="G1841" s="68" t="inlineStr">
        <is>
          <t>6.1.1 内部装修工程</t>
        </is>
      </c>
      <c r="H1841" s="68" t="inlineStr">
        <is>
          <t>楼梯装修</t>
        </is>
      </c>
      <c r="I1841" s="69" t="inlineStr">
        <is>
          <t>1000021511</t>
        </is>
      </c>
      <c r="J1841" s="69" t="inlineStr">
        <is>
          <t>国产同质砖（琛雄，含不超过50mm厚的找平层，楼梯）</t>
        </is>
      </c>
      <c r="K1841" s="70" t="n"/>
      <c r="L1841" s="70" t="n"/>
      <c r="M1841" s="71" t="inlineStr">
        <is>
          <t>m2</t>
        </is>
      </c>
      <c r="N1841" s="72" t="n">
        <v>272.28</v>
      </c>
      <c r="O1841" s="72">
        <f>ROUND(N1841*(1+$F$10),2)</f>
        <v/>
      </c>
      <c r="P1841" s="73">
        <f>ROUND(K1841*N1841,2)</f>
        <v/>
      </c>
      <c r="Q1841" s="74">
        <f>ROUND(L1841*N1841,2)</f>
        <v/>
      </c>
      <c r="R1841" s="75" t="n"/>
      <c r="S1841" s="76" t="n"/>
      <c r="T1841" s="77">
        <f>K1841-L1841</f>
        <v/>
      </c>
      <c r="U1841" s="77">
        <f>P1841-Q1841</f>
        <v/>
      </c>
      <c r="V1841" s="77">
        <f>ABS(U1841)</f>
        <v/>
      </c>
      <c r="W1841" s="78">
        <f>T1841/L1841</f>
        <v/>
      </c>
      <c r="X1841" s="79">
        <f>ABS(W1841)</f>
        <v/>
      </c>
    </row>
    <row r="1842" ht="11.4" customHeight="1">
      <c r="A1842" s="67" t="inlineStr">
        <is>
          <t>大甜62</t>
        </is>
      </c>
      <c r="B1842" s="67" t="inlineStr">
        <is>
          <t>1060</t>
        </is>
      </c>
      <c r="C1842" s="67" t="inlineStr">
        <is>
          <t>1611</t>
        </is>
      </c>
      <c r="D1842" s="68" t="inlineStr">
        <is>
          <t>03</t>
        </is>
      </c>
      <c r="E1842" s="68" t="inlineStr">
        <is>
          <t>6 物业施工费</t>
        </is>
      </c>
      <c r="F1842" s="68" t="inlineStr">
        <is>
          <t>6.1 总承包工程</t>
        </is>
      </c>
      <c r="G1842" s="68" t="inlineStr">
        <is>
          <t>6.1.1 内部装修工程</t>
        </is>
      </c>
      <c r="H1842" s="68" t="inlineStr">
        <is>
          <t>楼梯装修</t>
        </is>
      </c>
      <c r="I1842" s="69" t="inlineStr">
        <is>
          <t>1000021673</t>
        </is>
      </c>
      <c r="J1842" s="69" t="inlineStr">
        <is>
          <t>国产同质砖踢脚（琛雄，楼梯）</t>
        </is>
      </c>
      <c r="K1842" s="70" t="n"/>
      <c r="L1842" s="70" t="n"/>
      <c r="M1842" s="71" t="inlineStr">
        <is>
          <t>米</t>
        </is>
      </c>
      <c r="N1842" s="72" t="n">
        <v>51.4</v>
      </c>
      <c r="O1842" s="72">
        <f>ROUND(N1842*(1+$F$10),2)</f>
        <v/>
      </c>
      <c r="P1842" s="73">
        <f>ROUND(K1842*N1842,2)</f>
        <v/>
      </c>
      <c r="Q1842" s="74">
        <f>ROUND(L1842*N1842,2)</f>
        <v/>
      </c>
      <c r="R1842" s="75" t="n"/>
      <c r="S1842" s="76" t="n"/>
      <c r="T1842" s="77">
        <f>K1842-L1842</f>
        <v/>
      </c>
      <c r="U1842" s="77">
        <f>P1842-Q1842</f>
        <v/>
      </c>
      <c r="V1842" s="77">
        <f>ABS(U1842)</f>
        <v/>
      </c>
      <c r="W1842" s="78">
        <f>T1842/L1842</f>
        <v/>
      </c>
      <c r="X1842" s="79">
        <f>ABS(W1842)</f>
        <v/>
      </c>
    </row>
    <row r="1843" ht="11.4" customHeight="1">
      <c r="A1843" s="67" t="inlineStr">
        <is>
          <t>大甜62</t>
        </is>
      </c>
      <c r="B1843" s="67" t="inlineStr">
        <is>
          <t>1060</t>
        </is>
      </c>
      <c r="C1843" s="67" t="inlineStr">
        <is>
          <t>1611</t>
        </is>
      </c>
      <c r="D1843" s="68" t="inlineStr">
        <is>
          <t>03</t>
        </is>
      </c>
      <c r="E1843" s="68" t="inlineStr">
        <is>
          <t>6 物业施工费</t>
        </is>
      </c>
      <c r="F1843" s="68" t="inlineStr">
        <is>
          <t>6.1 总承包工程</t>
        </is>
      </c>
      <c r="G1843" s="68" t="inlineStr">
        <is>
          <t>6.1.1 内部装修工程</t>
        </is>
      </c>
      <c r="H1843" s="68" t="inlineStr">
        <is>
          <t>楼梯装修</t>
        </is>
      </c>
      <c r="I1843" s="69" t="inlineStr">
        <is>
          <t>1000021652</t>
        </is>
      </c>
      <c r="J1843" s="69" t="inlineStr">
        <is>
          <t>国产同质砖（共荣，含不超过50mm厚的找平层，楼梯）</t>
        </is>
      </c>
      <c r="K1843" s="70" t="n"/>
      <c r="L1843" s="70" t="n"/>
      <c r="M1843" s="71" t="inlineStr">
        <is>
          <t>m2</t>
        </is>
      </c>
      <c r="N1843" s="72" t="n">
        <v>247.97</v>
      </c>
      <c r="O1843" s="72">
        <f>ROUND(N1843*(1+$F$10),2)</f>
        <v/>
      </c>
      <c r="P1843" s="73">
        <f>ROUND(K1843*N1843,2)</f>
        <v/>
      </c>
      <c r="Q1843" s="74">
        <f>ROUND(L1843*N1843,2)</f>
        <v/>
      </c>
      <c r="R1843" s="75" t="n"/>
      <c r="S1843" s="76" t="n"/>
      <c r="T1843" s="77">
        <f>K1843-L1843</f>
        <v/>
      </c>
      <c r="U1843" s="77">
        <f>P1843-Q1843</f>
        <v/>
      </c>
      <c r="V1843" s="77">
        <f>ABS(U1843)</f>
        <v/>
      </c>
      <c r="W1843" s="78">
        <f>T1843/L1843</f>
        <v/>
      </c>
      <c r="X1843" s="79">
        <f>ABS(W1843)</f>
        <v/>
      </c>
    </row>
    <row r="1844" ht="11.4" customHeight="1">
      <c r="A1844" s="67" t="inlineStr">
        <is>
          <t>大甜62</t>
        </is>
      </c>
      <c r="B1844" s="67" t="inlineStr">
        <is>
          <t>1060</t>
        </is>
      </c>
      <c r="C1844" s="67" t="inlineStr">
        <is>
          <t>1611</t>
        </is>
      </c>
      <c r="D1844" s="68" t="inlineStr">
        <is>
          <t>03</t>
        </is>
      </c>
      <c r="E1844" s="68" t="inlineStr">
        <is>
          <t>6 物业施工费</t>
        </is>
      </c>
      <c r="F1844" s="68" t="inlineStr">
        <is>
          <t>6.1 总承包工程</t>
        </is>
      </c>
      <c r="G1844" s="68" t="inlineStr">
        <is>
          <t>6.1.1 内部装修工程</t>
        </is>
      </c>
      <c r="H1844" s="68" t="inlineStr">
        <is>
          <t>楼梯装修</t>
        </is>
      </c>
      <c r="I1844" s="69" t="inlineStr">
        <is>
          <t>1000021653</t>
        </is>
      </c>
      <c r="J1844" s="69" t="inlineStr">
        <is>
          <t>国产同质砖踢脚（共荣，楼梯）</t>
        </is>
      </c>
      <c r="K1844" s="70" t="n"/>
      <c r="L1844" s="70" t="n"/>
      <c r="M1844" s="71" t="inlineStr">
        <is>
          <t>米</t>
        </is>
      </c>
      <c r="N1844" s="72" t="n">
        <v>48.54</v>
      </c>
      <c r="O1844" s="72">
        <f>ROUND(N1844*(1+$F$10),2)</f>
        <v/>
      </c>
      <c r="P1844" s="73">
        <f>ROUND(K1844*N1844,2)</f>
        <v/>
      </c>
      <c r="Q1844" s="74">
        <f>ROUND(L1844*N1844,2)</f>
        <v/>
      </c>
      <c r="R1844" s="75" t="n"/>
      <c r="S1844" s="76" t="n"/>
      <c r="T1844" s="77">
        <f>K1844-L1844</f>
        <v/>
      </c>
      <c r="U1844" s="77">
        <f>P1844-Q1844</f>
        <v/>
      </c>
      <c r="V1844" s="77">
        <f>ABS(U1844)</f>
        <v/>
      </c>
      <c r="W1844" s="78">
        <f>T1844/L1844</f>
        <v/>
      </c>
      <c r="X1844" s="79">
        <f>ABS(W1844)</f>
        <v/>
      </c>
    </row>
    <row r="1845" ht="11.4" customHeight="1">
      <c r="A1845" s="67" t="inlineStr">
        <is>
          <t>大甜62</t>
        </is>
      </c>
      <c r="B1845" s="67" t="inlineStr">
        <is>
          <t>1060</t>
        </is>
      </c>
      <c r="C1845" s="67" t="inlineStr">
        <is>
          <t>1611</t>
        </is>
      </c>
      <c r="D1845" s="68" t="inlineStr">
        <is>
          <t>03</t>
        </is>
      </c>
      <c r="E1845" s="68" t="inlineStr">
        <is>
          <t>6 物业施工费</t>
        </is>
      </c>
      <c r="F1845" s="68" t="inlineStr">
        <is>
          <t>6.1 总承包工程</t>
        </is>
      </c>
      <c r="G1845" s="68" t="inlineStr">
        <is>
          <t>6.1.1 内部装修工程</t>
        </is>
      </c>
      <c r="H1845" s="68" t="inlineStr">
        <is>
          <t>楼梯装修</t>
        </is>
      </c>
      <c r="I1845" s="69" t="inlineStr">
        <is>
          <t>1000021512</t>
        </is>
      </c>
      <c r="J1845" s="69" t="inlineStr">
        <is>
          <t>国产同质砖（冠军，含不超过50mm厚的找平层，楼梯）</t>
        </is>
      </c>
      <c r="K1845" s="70" t="n"/>
      <c r="L1845" s="70" t="n"/>
      <c r="M1845" s="71" t="inlineStr">
        <is>
          <t>m2</t>
        </is>
      </c>
      <c r="N1845" s="72" t="n">
        <v>273.71</v>
      </c>
      <c r="O1845" s="72">
        <f>ROUND(N1845*(1+$F$10),2)</f>
        <v/>
      </c>
      <c r="P1845" s="73">
        <f>ROUND(K1845*N1845,2)</f>
        <v/>
      </c>
      <c r="Q1845" s="74">
        <f>ROUND(L1845*N1845,2)</f>
        <v/>
      </c>
      <c r="R1845" s="75" t="n"/>
      <c r="S1845" s="76" t="n"/>
      <c r="T1845" s="77">
        <f>K1845-L1845</f>
        <v/>
      </c>
      <c r="U1845" s="77">
        <f>P1845-Q1845</f>
        <v/>
      </c>
      <c r="V1845" s="77">
        <f>ABS(U1845)</f>
        <v/>
      </c>
      <c r="W1845" s="78">
        <f>T1845/L1845</f>
        <v/>
      </c>
      <c r="X1845" s="79">
        <f>ABS(W1845)</f>
        <v/>
      </c>
    </row>
    <row r="1846" ht="11.4" customHeight="1">
      <c r="A1846" s="67" t="inlineStr">
        <is>
          <t>大甜62</t>
        </is>
      </c>
      <c r="B1846" s="67" t="inlineStr">
        <is>
          <t>1060</t>
        </is>
      </c>
      <c r="C1846" s="67" t="inlineStr">
        <is>
          <t>1611</t>
        </is>
      </c>
      <c r="D1846" s="68" t="inlineStr">
        <is>
          <t>03</t>
        </is>
      </c>
      <c r="E1846" s="68" t="inlineStr">
        <is>
          <t>6 物业施工费</t>
        </is>
      </c>
      <c r="F1846" s="68" t="inlineStr">
        <is>
          <t>6.1 总承包工程</t>
        </is>
      </c>
      <c r="G1846" s="68" t="inlineStr">
        <is>
          <t>6.1.1 内部装修工程</t>
        </is>
      </c>
      <c r="H1846" s="68" t="inlineStr">
        <is>
          <t>楼梯装修</t>
        </is>
      </c>
      <c r="I1846" s="69" t="inlineStr">
        <is>
          <t>1000021513</t>
        </is>
      </c>
      <c r="J1846" s="69" t="inlineStr">
        <is>
          <t>国产同质砖踢脚（冠军，楼梯）</t>
        </is>
      </c>
      <c r="K1846" s="70" t="n"/>
      <c r="L1846" s="70" t="n"/>
      <c r="M1846" s="71" t="inlineStr">
        <is>
          <t>米</t>
        </is>
      </c>
      <c r="N1846" s="72" t="n">
        <v>52.83</v>
      </c>
      <c r="O1846" s="72">
        <f>ROUND(N1846*(1+$F$10),2)</f>
        <v/>
      </c>
      <c r="P1846" s="73">
        <f>ROUND(K1846*N1846,2)</f>
        <v/>
      </c>
      <c r="Q1846" s="74">
        <f>ROUND(L1846*N1846,2)</f>
        <v/>
      </c>
      <c r="R1846" s="75" t="n"/>
      <c r="S1846" s="76" t="n"/>
      <c r="T1846" s="77">
        <f>K1846-L1846</f>
        <v/>
      </c>
      <c r="U1846" s="77">
        <f>P1846-Q1846</f>
        <v/>
      </c>
      <c r="V1846" s="77">
        <f>ABS(U1846)</f>
        <v/>
      </c>
      <c r="W1846" s="78">
        <f>T1846/L1846</f>
        <v/>
      </c>
      <c r="X1846" s="79">
        <f>ABS(W1846)</f>
        <v/>
      </c>
    </row>
    <row r="1847" ht="11.4" customHeight="1">
      <c r="A1847" s="67" t="inlineStr">
        <is>
          <t>大甜62</t>
        </is>
      </c>
      <c r="B1847" s="67" t="inlineStr">
        <is>
          <t>1060</t>
        </is>
      </c>
      <c r="C1847" s="67" t="inlineStr">
        <is>
          <t>1611</t>
        </is>
      </c>
      <c r="D1847" s="68" t="inlineStr">
        <is>
          <t>03</t>
        </is>
      </c>
      <c r="E1847" s="68" t="inlineStr">
        <is>
          <t>6 物业施工费</t>
        </is>
      </c>
      <c r="F1847" s="68" t="inlineStr">
        <is>
          <t>6.1 总承包工程</t>
        </is>
      </c>
      <c r="G1847" s="68" t="inlineStr">
        <is>
          <t>6.1.1 内部装修工程</t>
        </is>
      </c>
      <c r="H1847" s="68" t="inlineStr">
        <is>
          <t>楼梯装修</t>
        </is>
      </c>
      <c r="I1847" s="69" t="inlineStr">
        <is>
          <t>1000053618</t>
        </is>
      </c>
      <c r="J1847" s="69" t="inlineStr">
        <is>
          <t>600*600mm灰色水泥地砖（琛雄，含不超过50mm厚的找平层，楼梯）</t>
        </is>
      </c>
      <c r="K1847" s="70" t="n"/>
      <c r="L1847" s="70" t="n"/>
      <c r="M1847" s="71" t="inlineStr">
        <is>
          <t>m2</t>
        </is>
      </c>
      <c r="N1847" s="72" t="n">
        <v>289.46</v>
      </c>
      <c r="O1847" s="72">
        <f>ROUND(N1847*(1+$F$10),2)</f>
        <v/>
      </c>
      <c r="P1847" s="73">
        <f>ROUND(K1847*N1847,2)</f>
        <v/>
      </c>
      <c r="Q1847" s="74">
        <f>ROUND(L1847*N1847,2)</f>
        <v/>
      </c>
      <c r="R1847" s="75" t="n"/>
      <c r="S1847" s="76" t="n"/>
      <c r="T1847" s="77">
        <f>K1847-L1847</f>
        <v/>
      </c>
      <c r="U1847" s="77">
        <f>P1847-Q1847</f>
        <v/>
      </c>
      <c r="V1847" s="77">
        <f>ABS(U1847)</f>
        <v/>
      </c>
      <c r="W1847" s="78">
        <f>T1847/L1847</f>
        <v/>
      </c>
      <c r="X1847" s="79">
        <f>ABS(W1847)</f>
        <v/>
      </c>
    </row>
    <row r="1848" ht="11.4" customHeight="1">
      <c r="A1848" s="67" t="inlineStr">
        <is>
          <t>大甜62</t>
        </is>
      </c>
      <c r="B1848" s="67" t="inlineStr">
        <is>
          <t>1060</t>
        </is>
      </c>
      <c r="C1848" s="67" t="inlineStr">
        <is>
          <t>1611</t>
        </is>
      </c>
      <c r="D1848" s="68" t="inlineStr">
        <is>
          <t>03</t>
        </is>
      </c>
      <c r="E1848" s="68" t="inlineStr">
        <is>
          <t>6 物业施工费</t>
        </is>
      </c>
      <c r="F1848" s="68" t="inlineStr">
        <is>
          <t>6.1 总承包工程</t>
        </is>
      </c>
      <c r="G1848" s="68" t="inlineStr">
        <is>
          <t>6.1.1 内部装修工程</t>
        </is>
      </c>
      <c r="H1848" s="68" t="inlineStr">
        <is>
          <t>楼梯装修</t>
        </is>
      </c>
      <c r="I1848" s="69" t="inlineStr">
        <is>
          <t>1000053621</t>
        </is>
      </c>
      <c r="J1848" s="69" t="inlineStr">
        <is>
          <t>灰色水泥纹踢脚（琛雄，楼梯）</t>
        </is>
      </c>
      <c r="K1848" s="70" t="n"/>
      <c r="L1848" s="70" t="n"/>
      <c r="M1848" s="71" t="inlineStr">
        <is>
          <t>m2</t>
        </is>
      </c>
      <c r="N1848" s="72" t="n">
        <v>49.86</v>
      </c>
      <c r="O1848" s="72">
        <f>ROUND(N1848*(1+$F$10),2)</f>
        <v/>
      </c>
      <c r="P1848" s="73">
        <f>ROUND(K1848*N1848,2)</f>
        <v/>
      </c>
      <c r="Q1848" s="74">
        <f>ROUND(L1848*N1848,2)</f>
        <v/>
      </c>
      <c r="R1848" s="75" t="n"/>
      <c r="S1848" s="76" t="n"/>
      <c r="T1848" s="77">
        <f>K1848-L1848</f>
        <v/>
      </c>
      <c r="U1848" s="77">
        <f>P1848-Q1848</f>
        <v/>
      </c>
      <c r="V1848" s="77">
        <f>ABS(U1848)</f>
        <v/>
      </c>
      <c r="W1848" s="78">
        <f>T1848/L1848</f>
        <v/>
      </c>
      <c r="X1848" s="79">
        <f>ABS(W1848)</f>
        <v/>
      </c>
    </row>
    <row r="1849" ht="11.4" customHeight="1">
      <c r="A1849" s="67" t="inlineStr">
        <is>
          <t>大甜62</t>
        </is>
      </c>
      <c r="B1849" s="67" t="inlineStr">
        <is>
          <t>1060</t>
        </is>
      </c>
      <c r="C1849" s="67" t="inlineStr">
        <is>
          <t>1611</t>
        </is>
      </c>
      <c r="D1849" s="68" t="inlineStr">
        <is>
          <t>03</t>
        </is>
      </c>
      <c r="E1849" s="68" t="inlineStr">
        <is>
          <t>6 物业施工费</t>
        </is>
      </c>
      <c r="F1849" s="68" t="inlineStr">
        <is>
          <t>6.1 总承包工程</t>
        </is>
      </c>
      <c r="G1849" s="68" t="inlineStr">
        <is>
          <t>6.1.1 内部装修工程</t>
        </is>
      </c>
      <c r="H1849" s="68" t="inlineStr">
        <is>
          <t>楼梯装修</t>
        </is>
      </c>
      <c r="I1849" s="69" t="inlineStr">
        <is>
          <t>1000053619</t>
        </is>
      </c>
      <c r="J1849" s="69" t="inlineStr">
        <is>
          <t>600*600mm灰色水泥地砖（共荣，含不超过50mm厚的找平层，楼梯）</t>
        </is>
      </c>
      <c r="K1849" s="70" t="n"/>
      <c r="L1849" s="70" t="n"/>
      <c r="M1849" s="71" t="inlineStr">
        <is>
          <t>m2</t>
        </is>
      </c>
      <c r="N1849" s="72" t="n">
        <v>249.51</v>
      </c>
      <c r="O1849" s="72">
        <f>ROUND(N1849*(1+$F$10),2)</f>
        <v/>
      </c>
      <c r="P1849" s="73">
        <f>ROUND(K1849*N1849,2)</f>
        <v/>
      </c>
      <c r="Q1849" s="74">
        <f>ROUND(L1849*N1849,2)</f>
        <v/>
      </c>
      <c r="R1849" s="75" t="n"/>
      <c r="S1849" s="76" t="n"/>
      <c r="T1849" s="77">
        <f>K1849-L1849</f>
        <v/>
      </c>
      <c r="U1849" s="77">
        <f>P1849-Q1849</f>
        <v/>
      </c>
      <c r="V1849" s="77">
        <f>ABS(U1849)</f>
        <v/>
      </c>
      <c r="W1849" s="78">
        <f>T1849/L1849</f>
        <v/>
      </c>
      <c r="X1849" s="79">
        <f>ABS(W1849)</f>
        <v/>
      </c>
    </row>
    <row r="1850" ht="11.4" customHeight="1">
      <c r="A1850" s="67" t="inlineStr">
        <is>
          <t>大甜62</t>
        </is>
      </c>
      <c r="B1850" s="67" t="inlineStr">
        <is>
          <t>1060</t>
        </is>
      </c>
      <c r="C1850" s="67" t="inlineStr">
        <is>
          <t>1611</t>
        </is>
      </c>
      <c r="D1850" s="68" t="inlineStr">
        <is>
          <t>03</t>
        </is>
      </c>
      <c r="E1850" s="68" t="inlineStr">
        <is>
          <t>6 物业施工费</t>
        </is>
      </c>
      <c r="F1850" s="68" t="inlineStr">
        <is>
          <t>6.1 总承包工程</t>
        </is>
      </c>
      <c r="G1850" s="68" t="inlineStr">
        <is>
          <t>6.1.1 内部装修工程</t>
        </is>
      </c>
      <c r="H1850" s="68" t="inlineStr">
        <is>
          <t>楼梯装修</t>
        </is>
      </c>
      <c r="I1850" s="69" t="inlineStr">
        <is>
          <t>1000053622</t>
        </is>
      </c>
      <c r="J1850" s="69" t="inlineStr">
        <is>
          <t>灰色水泥纹踢脚（共荣，楼梯）</t>
        </is>
      </c>
      <c r="K1850" s="70" t="n"/>
      <c r="L1850" s="70" t="n"/>
      <c r="M1850" s="71" t="inlineStr">
        <is>
          <t>米</t>
        </is>
      </c>
      <c r="N1850" s="72" t="n">
        <v>47.44</v>
      </c>
      <c r="O1850" s="72">
        <f>ROUND(N1850*(1+$F$10),2)</f>
        <v/>
      </c>
      <c r="P1850" s="73">
        <f>ROUND(K1850*N1850,2)</f>
        <v/>
      </c>
      <c r="Q1850" s="74">
        <f>ROUND(L1850*N1850,2)</f>
        <v/>
      </c>
      <c r="R1850" s="75" t="n"/>
      <c r="S1850" s="76" t="n"/>
      <c r="T1850" s="77">
        <f>K1850-L1850</f>
        <v/>
      </c>
      <c r="U1850" s="77">
        <f>P1850-Q1850</f>
        <v/>
      </c>
      <c r="V1850" s="77">
        <f>ABS(U1850)</f>
        <v/>
      </c>
      <c r="W1850" s="78">
        <f>T1850/L1850</f>
        <v/>
      </c>
      <c r="X1850" s="79">
        <f>ABS(W1850)</f>
        <v/>
      </c>
    </row>
    <row r="1851" ht="11.4" customHeight="1">
      <c r="A1851" s="67" t="inlineStr">
        <is>
          <t>大甜62</t>
        </is>
      </c>
      <c r="B1851" s="67" t="inlineStr">
        <is>
          <t>1060</t>
        </is>
      </c>
      <c r="C1851" s="67" t="inlineStr">
        <is>
          <t>1611</t>
        </is>
      </c>
      <c r="D1851" s="68" t="inlineStr">
        <is>
          <t>03</t>
        </is>
      </c>
      <c r="E1851" s="68" t="inlineStr">
        <is>
          <t>6 物业施工费</t>
        </is>
      </c>
      <c r="F1851" s="68" t="inlineStr">
        <is>
          <t>6.1 总承包工程</t>
        </is>
      </c>
      <c r="G1851" s="68" t="inlineStr">
        <is>
          <t>6.1.1 内部装修工程</t>
        </is>
      </c>
      <c r="H1851" s="68" t="inlineStr">
        <is>
          <t>楼梯装修</t>
        </is>
      </c>
      <c r="I1851" s="69" t="inlineStr">
        <is>
          <t>1000053620</t>
        </is>
      </c>
      <c r="J1851" s="69" t="inlineStr">
        <is>
          <t>600*600mm灰色水泥地砖（冠军，含不超过50mm厚的找平层，楼梯）</t>
        </is>
      </c>
      <c r="K1851" s="70" t="n"/>
      <c r="L1851" s="70" t="n"/>
      <c r="M1851" s="71" t="inlineStr">
        <is>
          <t>m2</t>
        </is>
      </c>
      <c r="N1851" s="72" t="n">
        <v>290.89</v>
      </c>
      <c r="O1851" s="72">
        <f>ROUND(N1851*(1+$F$10),2)</f>
        <v/>
      </c>
      <c r="P1851" s="73">
        <f>ROUND(K1851*N1851,2)</f>
        <v/>
      </c>
      <c r="Q1851" s="74">
        <f>ROUND(L1851*N1851,2)</f>
        <v/>
      </c>
      <c r="R1851" s="75" t="n"/>
      <c r="S1851" s="76" t="n"/>
      <c r="T1851" s="77">
        <f>K1851-L1851</f>
        <v/>
      </c>
      <c r="U1851" s="77">
        <f>P1851-Q1851</f>
        <v/>
      </c>
      <c r="V1851" s="77">
        <f>ABS(U1851)</f>
        <v/>
      </c>
      <c r="W1851" s="78">
        <f>T1851/L1851</f>
        <v/>
      </c>
      <c r="X1851" s="79">
        <f>ABS(W1851)</f>
        <v/>
      </c>
    </row>
    <row r="1852" ht="11.4" customHeight="1">
      <c r="A1852" s="67" t="inlineStr">
        <is>
          <t>大甜62</t>
        </is>
      </c>
      <c r="B1852" s="67" t="inlineStr">
        <is>
          <t>1060</t>
        </is>
      </c>
      <c r="C1852" s="67" t="inlineStr">
        <is>
          <t>1611</t>
        </is>
      </c>
      <c r="D1852" s="68" t="inlineStr">
        <is>
          <t>03</t>
        </is>
      </c>
      <c r="E1852" s="68" t="inlineStr">
        <is>
          <t>6 物业施工费</t>
        </is>
      </c>
      <c r="F1852" s="68" t="inlineStr">
        <is>
          <t>6.1 总承包工程</t>
        </is>
      </c>
      <c r="G1852" s="68" t="inlineStr">
        <is>
          <t>6.1.1 内部装修工程</t>
        </is>
      </c>
      <c r="H1852" s="68" t="inlineStr">
        <is>
          <t>楼梯装修</t>
        </is>
      </c>
      <c r="I1852" s="69" t="inlineStr">
        <is>
          <t>1000053623</t>
        </is>
      </c>
      <c r="J1852" s="69" t="inlineStr">
        <is>
          <t>灰色水泥纹踢脚（冠军，楼梯）</t>
        </is>
      </c>
      <c r="K1852" s="70" t="n"/>
      <c r="L1852" s="70" t="n"/>
      <c r="M1852" s="71" t="inlineStr">
        <is>
          <t>米</t>
        </is>
      </c>
      <c r="N1852" s="72" t="n">
        <v>48.65</v>
      </c>
      <c r="O1852" s="72">
        <f>ROUND(N1852*(1+$F$10),2)</f>
        <v/>
      </c>
      <c r="P1852" s="73">
        <f>ROUND(K1852*N1852,2)</f>
        <v/>
      </c>
      <c r="Q1852" s="74">
        <f>ROUND(L1852*N1852,2)</f>
        <v/>
      </c>
      <c r="R1852" s="75" t="n"/>
      <c r="S1852" s="76" t="n"/>
      <c r="T1852" s="77">
        <f>K1852-L1852</f>
        <v/>
      </c>
      <c r="U1852" s="77">
        <f>P1852-Q1852</f>
        <v/>
      </c>
      <c r="V1852" s="77">
        <f>ABS(U1852)</f>
        <v/>
      </c>
      <c r="W1852" s="78">
        <f>T1852/L1852</f>
        <v/>
      </c>
      <c r="X1852" s="79">
        <f>ABS(W1852)</f>
        <v/>
      </c>
    </row>
    <row r="1853" ht="11.4" customHeight="1">
      <c r="A1853" s="67" t="inlineStr">
        <is>
          <t>大甜62</t>
        </is>
      </c>
      <c r="B1853" s="67" t="inlineStr">
        <is>
          <t>1060</t>
        </is>
      </c>
      <c r="C1853" s="67" t="inlineStr">
        <is>
          <t>1611</t>
        </is>
      </c>
      <c r="D1853" s="68" t="inlineStr">
        <is>
          <t>03</t>
        </is>
      </c>
      <c r="E1853" s="68" t="inlineStr">
        <is>
          <t>6 物业施工费</t>
        </is>
      </c>
      <c r="F1853" s="68" t="inlineStr">
        <is>
          <t>6.1 总承包工程</t>
        </is>
      </c>
      <c r="G1853" s="68" t="inlineStr">
        <is>
          <t>6.1.1 内部装修工程</t>
        </is>
      </c>
      <c r="H1853" s="68" t="inlineStr">
        <is>
          <t>楼梯装修</t>
        </is>
      </c>
      <c r="I1853" s="69" t="inlineStr">
        <is>
          <t>1000021700</t>
        </is>
      </c>
      <c r="J1853" s="69" t="inlineStr">
        <is>
          <t>600*600mm黄色水磨石地砖（琛雄，含不超过50mm厚的找平层）</t>
        </is>
      </c>
      <c r="K1853" s="70" t="n"/>
      <c r="L1853" s="70" t="n"/>
      <c r="M1853" s="71" t="inlineStr">
        <is>
          <t>m2</t>
        </is>
      </c>
      <c r="N1853" s="72" t="n">
        <v>203.51</v>
      </c>
      <c r="O1853" s="72">
        <f>ROUND(N1853*(1+$F$10),2)</f>
        <v/>
      </c>
      <c r="P1853" s="73">
        <f>ROUND(K1853*N1853,2)</f>
        <v/>
      </c>
      <c r="Q1853" s="74">
        <f>ROUND(L1853*N1853,2)</f>
        <v/>
      </c>
      <c r="R1853" s="75" t="n"/>
      <c r="S1853" s="76" t="n"/>
      <c r="T1853" s="77">
        <f>K1853-L1853</f>
        <v/>
      </c>
      <c r="U1853" s="77">
        <f>P1853-Q1853</f>
        <v/>
      </c>
      <c r="V1853" s="77">
        <f>ABS(U1853)</f>
        <v/>
      </c>
      <c r="W1853" s="78">
        <f>T1853/L1853</f>
        <v/>
      </c>
      <c r="X1853" s="79">
        <f>ABS(W1853)</f>
        <v/>
      </c>
    </row>
    <row r="1854" ht="11.4" customHeight="1">
      <c r="A1854" s="67" t="inlineStr">
        <is>
          <t>大甜62</t>
        </is>
      </c>
      <c r="B1854" s="67" t="inlineStr">
        <is>
          <t>1060</t>
        </is>
      </c>
      <c r="C1854" s="67" t="inlineStr">
        <is>
          <t>1611</t>
        </is>
      </c>
      <c r="D1854" s="68" t="inlineStr">
        <is>
          <t>03</t>
        </is>
      </c>
      <c r="E1854" s="68" t="inlineStr">
        <is>
          <t>6 物业施工费</t>
        </is>
      </c>
      <c r="F1854" s="68" t="inlineStr">
        <is>
          <t>6.1 总承包工程</t>
        </is>
      </c>
      <c r="G1854" s="68" t="inlineStr">
        <is>
          <t>6.1.1 内部装修工程</t>
        </is>
      </c>
      <c r="H1854" s="68" t="inlineStr">
        <is>
          <t>楼梯装修</t>
        </is>
      </c>
      <c r="I1854" s="69" t="inlineStr">
        <is>
          <t>1000021702</t>
        </is>
      </c>
      <c r="J1854" s="69" t="inlineStr">
        <is>
          <t>黄色水磨石踢脚（琛雄）</t>
        </is>
      </c>
      <c r="K1854" s="70" t="n"/>
      <c r="L1854" s="70" t="n"/>
      <c r="M1854" s="71" t="inlineStr">
        <is>
          <t>米</t>
        </is>
      </c>
      <c r="N1854" s="72" t="n">
        <v>41.69</v>
      </c>
      <c r="O1854" s="72">
        <f>ROUND(N1854*(1+$F$10),2)</f>
        <v/>
      </c>
      <c r="P1854" s="73">
        <f>ROUND(K1854*N1854,2)</f>
        <v/>
      </c>
      <c r="Q1854" s="74">
        <f>ROUND(L1854*N1854,2)</f>
        <v/>
      </c>
      <c r="R1854" s="75" t="n"/>
      <c r="S1854" s="76" t="n"/>
      <c r="T1854" s="77">
        <f>K1854-L1854</f>
        <v/>
      </c>
      <c r="U1854" s="77">
        <f>P1854-Q1854</f>
        <v/>
      </c>
      <c r="V1854" s="77">
        <f>ABS(U1854)</f>
        <v/>
      </c>
      <c r="W1854" s="78">
        <f>T1854/L1854</f>
        <v/>
      </c>
      <c r="X1854" s="79">
        <f>ABS(W1854)</f>
        <v/>
      </c>
    </row>
    <row r="1855" ht="11.4" customHeight="1">
      <c r="A1855" s="67" t="inlineStr">
        <is>
          <t>大甜62</t>
        </is>
      </c>
      <c r="B1855" s="67" t="inlineStr">
        <is>
          <t>1060</t>
        </is>
      </c>
      <c r="C1855" s="67" t="inlineStr">
        <is>
          <t>1611</t>
        </is>
      </c>
      <c r="D1855" s="68" t="inlineStr">
        <is>
          <t>03</t>
        </is>
      </c>
      <c r="E1855" s="68" t="inlineStr">
        <is>
          <t>6 物业施工费</t>
        </is>
      </c>
      <c r="F1855" s="68" t="inlineStr">
        <is>
          <t>6.1 总承包工程</t>
        </is>
      </c>
      <c r="G1855" s="68" t="inlineStr">
        <is>
          <t>6.1.1 内部装修工程</t>
        </is>
      </c>
      <c r="H1855" s="68" t="inlineStr">
        <is>
          <t>楼梯装修</t>
        </is>
      </c>
      <c r="I1855" s="69" t="inlineStr">
        <is>
          <t>1000021514</t>
        </is>
      </c>
      <c r="J1855" s="69" t="inlineStr">
        <is>
          <t>600*600mm黄色水磨石地砖（共荣，含不超过50mm厚的找平层）</t>
        </is>
      </c>
      <c r="K1855" s="70" t="n"/>
      <c r="L1855" s="70" t="n"/>
      <c r="M1855" s="71" t="inlineStr">
        <is>
          <t>m2</t>
        </is>
      </c>
      <c r="N1855" s="72" t="n">
        <v>180.15</v>
      </c>
      <c r="O1855" s="72">
        <f>ROUND(N1855*(1+$F$10),2)</f>
        <v/>
      </c>
      <c r="P1855" s="73">
        <f>ROUND(K1855*N1855,2)</f>
        <v/>
      </c>
      <c r="Q1855" s="74">
        <f>ROUND(L1855*N1855,2)</f>
        <v/>
      </c>
      <c r="R1855" s="75" t="n"/>
      <c r="S1855" s="76" t="n"/>
      <c r="T1855" s="77">
        <f>K1855-L1855</f>
        <v/>
      </c>
      <c r="U1855" s="77">
        <f>P1855-Q1855</f>
        <v/>
      </c>
      <c r="V1855" s="77">
        <f>ABS(U1855)</f>
        <v/>
      </c>
      <c r="W1855" s="78">
        <f>T1855/L1855</f>
        <v/>
      </c>
      <c r="X1855" s="79">
        <f>ABS(W1855)</f>
        <v/>
      </c>
    </row>
    <row r="1856" ht="11.4" customHeight="1">
      <c r="A1856" s="67" t="inlineStr">
        <is>
          <t>大甜62</t>
        </is>
      </c>
      <c r="B1856" s="67" t="inlineStr">
        <is>
          <t>1060</t>
        </is>
      </c>
      <c r="C1856" s="67" t="inlineStr">
        <is>
          <t>1611</t>
        </is>
      </c>
      <c r="D1856" s="68" t="inlineStr">
        <is>
          <t>03</t>
        </is>
      </c>
      <c r="E1856" s="68" t="inlineStr">
        <is>
          <t>6 物业施工费</t>
        </is>
      </c>
      <c r="F1856" s="68" t="inlineStr">
        <is>
          <t>6.1 总承包工程</t>
        </is>
      </c>
      <c r="G1856" s="68" t="inlineStr">
        <is>
          <t>6.1.1 内部装修工程</t>
        </is>
      </c>
      <c r="H1856" s="68" t="inlineStr">
        <is>
          <t>楼梯装修</t>
        </is>
      </c>
      <c r="I1856" s="69" t="inlineStr">
        <is>
          <t>1000021515</t>
        </is>
      </c>
      <c r="J1856" s="69" t="inlineStr">
        <is>
          <t>黄色水磨石踢脚（共荣）</t>
        </is>
      </c>
      <c r="K1856" s="70" t="n"/>
      <c r="L1856" s="70" t="n"/>
      <c r="M1856" s="71" t="inlineStr">
        <is>
          <t>米</t>
        </is>
      </c>
      <c r="N1856" s="72" t="n">
        <v>39.27</v>
      </c>
      <c r="O1856" s="72">
        <f>ROUND(N1856*(1+$F$10),2)</f>
        <v/>
      </c>
      <c r="P1856" s="73">
        <f>ROUND(K1856*N1856,2)</f>
        <v/>
      </c>
      <c r="Q1856" s="74">
        <f>ROUND(L1856*N1856,2)</f>
        <v/>
      </c>
      <c r="R1856" s="75" t="n"/>
      <c r="S1856" s="76" t="n"/>
      <c r="T1856" s="77">
        <f>K1856-L1856</f>
        <v/>
      </c>
      <c r="U1856" s="77">
        <f>P1856-Q1856</f>
        <v/>
      </c>
      <c r="V1856" s="77">
        <f>ABS(U1856)</f>
        <v/>
      </c>
      <c r="W1856" s="78">
        <f>T1856/L1856</f>
        <v/>
      </c>
      <c r="X1856" s="79">
        <f>ABS(W1856)</f>
        <v/>
      </c>
    </row>
    <row r="1857" ht="11.4" customHeight="1">
      <c r="A1857" s="67" t="inlineStr">
        <is>
          <t>大甜62</t>
        </is>
      </c>
      <c r="B1857" s="67" t="inlineStr">
        <is>
          <t>1060</t>
        </is>
      </c>
      <c r="C1857" s="67" t="inlineStr">
        <is>
          <t>1611</t>
        </is>
      </c>
      <c r="D1857" s="68" t="inlineStr">
        <is>
          <t>03</t>
        </is>
      </c>
      <c r="E1857" s="68" t="inlineStr">
        <is>
          <t>6 物业施工费</t>
        </is>
      </c>
      <c r="F1857" s="68" t="inlineStr">
        <is>
          <t>6.1 总承包工程</t>
        </is>
      </c>
      <c r="G1857" s="68" t="inlineStr">
        <is>
          <t>6.1.1 内部装修工程</t>
        </is>
      </c>
      <c r="H1857" s="68" t="inlineStr">
        <is>
          <t>楼梯装修</t>
        </is>
      </c>
      <c r="I1857" s="69" t="inlineStr">
        <is>
          <t>1000021699</t>
        </is>
      </c>
      <c r="J1857" s="69" t="inlineStr">
        <is>
          <t>600*600mm黄色水磨石地砖（冠军，含不超过50mm厚的找平层）</t>
        </is>
      </c>
      <c r="K1857" s="70" t="n"/>
      <c r="L1857" s="70" t="n"/>
      <c r="M1857" s="71" t="inlineStr">
        <is>
          <t>m2</t>
        </is>
      </c>
      <c r="N1857" s="72" t="n">
        <v>215.19</v>
      </c>
      <c r="O1857" s="72">
        <f>ROUND(N1857*(1+$F$10),2)</f>
        <v/>
      </c>
      <c r="P1857" s="73">
        <f>ROUND(K1857*N1857,2)</f>
        <v/>
      </c>
      <c r="Q1857" s="74">
        <f>ROUND(L1857*N1857,2)</f>
        <v/>
      </c>
      <c r="R1857" s="75" t="n"/>
      <c r="S1857" s="76" t="n"/>
      <c r="T1857" s="77">
        <f>K1857-L1857</f>
        <v/>
      </c>
      <c r="U1857" s="77">
        <f>P1857-Q1857</f>
        <v/>
      </c>
      <c r="V1857" s="77">
        <f>ABS(U1857)</f>
        <v/>
      </c>
      <c r="W1857" s="78">
        <f>T1857/L1857</f>
        <v/>
      </c>
      <c r="X1857" s="79">
        <f>ABS(W1857)</f>
        <v/>
      </c>
    </row>
    <row r="1858" ht="11.4" customHeight="1">
      <c r="A1858" s="67" t="inlineStr">
        <is>
          <t>大甜62</t>
        </is>
      </c>
      <c r="B1858" s="67" t="inlineStr">
        <is>
          <t>1060</t>
        </is>
      </c>
      <c r="C1858" s="67" t="inlineStr">
        <is>
          <t>1611</t>
        </is>
      </c>
      <c r="D1858" s="68" t="inlineStr">
        <is>
          <t>03</t>
        </is>
      </c>
      <c r="E1858" s="68" t="inlineStr">
        <is>
          <t>6 物业施工费</t>
        </is>
      </c>
      <c r="F1858" s="68" t="inlineStr">
        <is>
          <t>6.1 总承包工程</t>
        </is>
      </c>
      <c r="G1858" s="68" t="inlineStr">
        <is>
          <t>6.1.1 内部装修工程</t>
        </is>
      </c>
      <c r="H1858" s="68" t="inlineStr">
        <is>
          <t>楼梯装修</t>
        </is>
      </c>
      <c r="I1858" s="69" t="inlineStr">
        <is>
          <t>1000021701</t>
        </is>
      </c>
      <c r="J1858" s="69" t="inlineStr">
        <is>
          <t>黄色水磨石踢脚（冠军）</t>
        </is>
      </c>
      <c r="K1858" s="70" t="n"/>
      <c r="L1858" s="70" t="n"/>
      <c r="M1858" s="71" t="inlineStr">
        <is>
          <t>米</t>
        </is>
      </c>
      <c r="N1858" s="72" t="n">
        <v>41.69</v>
      </c>
      <c r="O1858" s="72">
        <f>ROUND(N1858*(1+$F$10),2)</f>
        <v/>
      </c>
      <c r="P1858" s="73">
        <f>ROUND(K1858*N1858,2)</f>
        <v/>
      </c>
      <c r="Q1858" s="74">
        <f>ROUND(L1858*N1858,2)</f>
        <v/>
      </c>
      <c r="R1858" s="75" t="n"/>
      <c r="S1858" s="76" t="n"/>
      <c r="T1858" s="77">
        <f>K1858-L1858</f>
        <v/>
      </c>
      <c r="U1858" s="77">
        <f>P1858-Q1858</f>
        <v/>
      </c>
      <c r="V1858" s="77">
        <f>ABS(U1858)</f>
        <v/>
      </c>
      <c r="W1858" s="78">
        <f>T1858/L1858</f>
        <v/>
      </c>
      <c r="X1858" s="79">
        <f>ABS(W1858)</f>
        <v/>
      </c>
    </row>
    <row r="1859" ht="11.4" customHeight="1">
      <c r="A1859" s="67" t="inlineStr">
        <is>
          <t>大甜62</t>
        </is>
      </c>
      <c r="B1859" s="67" t="inlineStr">
        <is>
          <t>1060</t>
        </is>
      </c>
      <c r="C1859" s="67" t="inlineStr">
        <is>
          <t>1611</t>
        </is>
      </c>
      <c r="D1859" s="68" t="inlineStr">
        <is>
          <t>03</t>
        </is>
      </c>
      <c r="E1859" s="68" t="inlineStr">
        <is>
          <t>6 物业施工费</t>
        </is>
      </c>
      <c r="F1859" s="68" t="inlineStr">
        <is>
          <t>6.1 总承包工程</t>
        </is>
      </c>
      <c r="G1859" s="68" t="inlineStr">
        <is>
          <t>6.1.1 内部装修工程</t>
        </is>
      </c>
      <c r="H1859" s="68" t="inlineStr">
        <is>
          <t>楼梯装修</t>
        </is>
      </c>
      <c r="I1859" s="69" t="inlineStr">
        <is>
          <t>1000051733</t>
        </is>
      </c>
      <c r="J1859" s="69" t="inlineStr">
        <is>
          <t>混凝土地面砖（琛雄，人字形拼接，楼梯）</t>
        </is>
      </c>
      <c r="K1859" s="70" t="n"/>
      <c r="L1859" s="70" t="n"/>
      <c r="M1859" s="71" t="inlineStr">
        <is>
          <t>m2</t>
        </is>
      </c>
      <c r="N1859" s="72" t="n">
        <v>272.28</v>
      </c>
      <c r="O1859" s="72">
        <f>ROUND(N1859*(1+$F$10),2)</f>
        <v/>
      </c>
      <c r="P1859" s="73">
        <f>ROUND(K1859*N1859,2)</f>
        <v/>
      </c>
      <c r="Q1859" s="74">
        <f>ROUND(L1859*N1859,2)</f>
        <v/>
      </c>
      <c r="R1859" s="75" t="n"/>
      <c r="S1859" s="76" t="n"/>
      <c r="T1859" s="77">
        <f>K1859-L1859</f>
        <v/>
      </c>
      <c r="U1859" s="77">
        <f>P1859-Q1859</f>
        <v/>
      </c>
      <c r="V1859" s="77">
        <f>ABS(U1859)</f>
        <v/>
      </c>
      <c r="W1859" s="78">
        <f>T1859/L1859</f>
        <v/>
      </c>
      <c r="X1859" s="79">
        <f>ABS(W1859)</f>
        <v/>
      </c>
    </row>
    <row r="1860" ht="11.4" customHeight="1">
      <c r="A1860" s="67" t="inlineStr">
        <is>
          <t>大甜62</t>
        </is>
      </c>
      <c r="B1860" s="67" t="inlineStr">
        <is>
          <t>1060</t>
        </is>
      </c>
      <c r="C1860" s="67" t="inlineStr">
        <is>
          <t>1611</t>
        </is>
      </c>
      <c r="D1860" s="68" t="inlineStr">
        <is>
          <t>03</t>
        </is>
      </c>
      <c r="E1860" s="68" t="inlineStr">
        <is>
          <t>6 物业施工费</t>
        </is>
      </c>
      <c r="F1860" s="68" t="inlineStr">
        <is>
          <t>6.1 总承包工程</t>
        </is>
      </c>
      <c r="G1860" s="68" t="inlineStr">
        <is>
          <t>6.1.1 内部装修工程</t>
        </is>
      </c>
      <c r="H1860" s="68" t="inlineStr">
        <is>
          <t>楼梯装修</t>
        </is>
      </c>
      <c r="I1860" s="69" t="inlineStr">
        <is>
          <t>1000051734</t>
        </is>
      </c>
      <c r="J1860" s="69" t="inlineStr">
        <is>
          <t>混凝土地面砖（共荣，人字形拼接，楼梯）</t>
        </is>
      </c>
      <c r="K1860" s="70" t="n"/>
      <c r="L1860" s="70" t="n"/>
      <c r="M1860" s="71" t="inlineStr">
        <is>
          <t>m2</t>
        </is>
      </c>
      <c r="N1860" s="72" t="n">
        <v>253.69</v>
      </c>
      <c r="O1860" s="72">
        <f>ROUND(N1860*(1+$F$10),2)</f>
        <v/>
      </c>
      <c r="P1860" s="73">
        <f>ROUND(K1860*N1860,2)</f>
        <v/>
      </c>
      <c r="Q1860" s="74">
        <f>ROUND(L1860*N1860,2)</f>
        <v/>
      </c>
      <c r="R1860" s="75" t="n"/>
      <c r="S1860" s="76" t="n"/>
      <c r="T1860" s="77">
        <f>K1860-L1860</f>
        <v/>
      </c>
      <c r="U1860" s="77">
        <f>P1860-Q1860</f>
        <v/>
      </c>
      <c r="V1860" s="77">
        <f>ABS(U1860)</f>
        <v/>
      </c>
      <c r="W1860" s="78">
        <f>T1860/L1860</f>
        <v/>
      </c>
      <c r="X1860" s="79">
        <f>ABS(W1860)</f>
        <v/>
      </c>
    </row>
    <row r="1861" ht="11.4" customHeight="1">
      <c r="A1861" s="67" t="inlineStr">
        <is>
          <t>大甜62</t>
        </is>
      </c>
      <c r="B1861" s="67" t="inlineStr">
        <is>
          <t>1060</t>
        </is>
      </c>
      <c r="C1861" s="67" t="inlineStr">
        <is>
          <t>1611</t>
        </is>
      </c>
      <c r="D1861" s="68" t="inlineStr">
        <is>
          <t>03</t>
        </is>
      </c>
      <c r="E1861" s="68" t="inlineStr">
        <is>
          <t>6 物业施工费</t>
        </is>
      </c>
      <c r="F1861" s="68" t="inlineStr">
        <is>
          <t>6.1 总承包工程</t>
        </is>
      </c>
      <c r="G1861" s="68" t="inlineStr">
        <is>
          <t>6.1.1 内部装修工程</t>
        </is>
      </c>
      <c r="H1861" s="68" t="inlineStr">
        <is>
          <t>楼梯装修</t>
        </is>
      </c>
      <c r="I1861" s="69" t="inlineStr">
        <is>
          <t>1000051735</t>
        </is>
      </c>
      <c r="J1861" s="69" t="inlineStr">
        <is>
          <t>混凝土地面砖（冠军，人字形拼接，楼梯）</t>
        </is>
      </c>
      <c r="K1861" s="70" t="n"/>
      <c r="L1861" s="70" t="n"/>
      <c r="M1861" s="71" t="inlineStr">
        <is>
          <t>m2</t>
        </is>
      </c>
      <c r="N1861" s="72" t="n">
        <v>275.14</v>
      </c>
      <c r="O1861" s="72">
        <f>ROUND(N1861*(1+$F$10),2)</f>
        <v/>
      </c>
      <c r="P1861" s="73">
        <f>ROUND(K1861*N1861,2)</f>
        <v/>
      </c>
      <c r="Q1861" s="74">
        <f>ROUND(L1861*N1861,2)</f>
        <v/>
      </c>
      <c r="R1861" s="75" t="n"/>
      <c r="S1861" s="76" t="n"/>
      <c r="T1861" s="77">
        <f>K1861-L1861</f>
        <v/>
      </c>
      <c r="U1861" s="77">
        <f>P1861-Q1861</f>
        <v/>
      </c>
      <c r="V1861" s="77">
        <f>ABS(U1861)</f>
        <v/>
      </c>
      <c r="W1861" s="78">
        <f>T1861/L1861</f>
        <v/>
      </c>
      <c r="X1861" s="79">
        <f>ABS(W1861)</f>
        <v/>
      </c>
    </row>
    <row r="1862" ht="11.4" customHeight="1">
      <c r="A1862" s="67" t="inlineStr">
        <is>
          <t>大甜62</t>
        </is>
      </c>
      <c r="B1862" s="67" t="inlineStr">
        <is>
          <t>1060</t>
        </is>
      </c>
      <c r="C1862" s="67" t="inlineStr">
        <is>
          <t>1611</t>
        </is>
      </c>
      <c r="D1862" s="68" t="inlineStr">
        <is>
          <t>03</t>
        </is>
      </c>
      <c r="E1862" s="68" t="inlineStr">
        <is>
          <t>6 物业施工费</t>
        </is>
      </c>
      <c r="F1862" s="68" t="inlineStr">
        <is>
          <t>6.1 总承包工程</t>
        </is>
      </c>
      <c r="G1862" s="68" t="inlineStr">
        <is>
          <t>6.1.1 内部装修工程</t>
        </is>
      </c>
      <c r="H1862" s="68" t="inlineStr">
        <is>
          <t>楼梯装修</t>
        </is>
      </c>
      <c r="I1862" s="69" t="inlineStr">
        <is>
          <t>1000051742</t>
        </is>
      </c>
      <c r="J1862" s="69" t="inlineStr">
        <is>
          <t>黑色踢脚（琛雄，Geometry，楼梯）</t>
        </is>
      </c>
      <c r="K1862" s="70" t="n"/>
      <c r="L1862" s="70" t="n"/>
      <c r="M1862" s="71" t="inlineStr">
        <is>
          <t>米</t>
        </is>
      </c>
      <c r="N1862" s="72" t="n">
        <v>49.86</v>
      </c>
      <c r="O1862" s="72">
        <f>ROUND(N1862*(1+$F$10),2)</f>
        <v/>
      </c>
      <c r="P1862" s="73">
        <f>ROUND(K1862*N1862,2)</f>
        <v/>
      </c>
      <c r="Q1862" s="74">
        <f>ROUND(L1862*N1862,2)</f>
        <v/>
      </c>
      <c r="R1862" s="75" t="n"/>
      <c r="S1862" s="76" t="n"/>
      <c r="T1862" s="77">
        <f>K1862-L1862</f>
        <v/>
      </c>
      <c r="U1862" s="77">
        <f>P1862-Q1862</f>
        <v/>
      </c>
      <c r="V1862" s="77">
        <f>ABS(U1862)</f>
        <v/>
      </c>
      <c r="W1862" s="78">
        <f>T1862/L1862</f>
        <v/>
      </c>
      <c r="X1862" s="79">
        <f>ABS(W1862)</f>
        <v/>
      </c>
    </row>
    <row r="1863" ht="11.4" customHeight="1">
      <c r="A1863" s="67" t="inlineStr">
        <is>
          <t>大甜62</t>
        </is>
      </c>
      <c r="B1863" s="67" t="inlineStr">
        <is>
          <t>1060</t>
        </is>
      </c>
      <c r="C1863" s="67" t="inlineStr">
        <is>
          <t>1611</t>
        </is>
      </c>
      <c r="D1863" s="68" t="inlineStr">
        <is>
          <t>03</t>
        </is>
      </c>
      <c r="E1863" s="68" t="inlineStr">
        <is>
          <t>6 物业施工费</t>
        </is>
      </c>
      <c r="F1863" s="68" t="inlineStr">
        <is>
          <t>6.1 总承包工程</t>
        </is>
      </c>
      <c r="G1863" s="68" t="inlineStr">
        <is>
          <t>6.1.1 内部装修工程</t>
        </is>
      </c>
      <c r="H1863" s="68" t="inlineStr">
        <is>
          <t>楼梯装修</t>
        </is>
      </c>
      <c r="I1863" s="69" t="inlineStr">
        <is>
          <t>1000051743</t>
        </is>
      </c>
      <c r="J1863" s="69" t="inlineStr">
        <is>
          <t>黑色踢脚（共荣，Geometry，楼梯）</t>
        </is>
      </c>
      <c r="K1863" s="70" t="n"/>
      <c r="L1863" s="70" t="n"/>
      <c r="M1863" s="71" t="inlineStr">
        <is>
          <t>米</t>
        </is>
      </c>
      <c r="N1863" s="72" t="n">
        <v>48.65</v>
      </c>
      <c r="O1863" s="72">
        <f>ROUND(N1863*(1+$F$10),2)</f>
        <v/>
      </c>
      <c r="P1863" s="73">
        <f>ROUND(K1863*N1863,2)</f>
        <v/>
      </c>
      <c r="Q1863" s="74">
        <f>ROUND(L1863*N1863,2)</f>
        <v/>
      </c>
      <c r="R1863" s="75" t="n"/>
      <c r="S1863" s="76" t="n"/>
      <c r="T1863" s="77">
        <f>K1863-L1863</f>
        <v/>
      </c>
      <c r="U1863" s="77">
        <f>P1863-Q1863</f>
        <v/>
      </c>
      <c r="V1863" s="77">
        <f>ABS(U1863)</f>
        <v/>
      </c>
      <c r="W1863" s="78">
        <f>T1863/L1863</f>
        <v/>
      </c>
      <c r="X1863" s="79">
        <f>ABS(W1863)</f>
        <v/>
      </c>
    </row>
    <row r="1864" ht="11.4" customHeight="1">
      <c r="A1864" s="67" t="inlineStr">
        <is>
          <t>大甜62</t>
        </is>
      </c>
      <c r="B1864" s="67" t="inlineStr">
        <is>
          <t>1060</t>
        </is>
      </c>
      <c r="C1864" s="67" t="inlineStr">
        <is>
          <t>1611</t>
        </is>
      </c>
      <c r="D1864" s="68" t="inlineStr">
        <is>
          <t>03</t>
        </is>
      </c>
      <c r="E1864" s="68" t="inlineStr">
        <is>
          <t>6 物业施工费</t>
        </is>
      </c>
      <c r="F1864" s="68" t="inlineStr">
        <is>
          <t>6.1 总承包工程</t>
        </is>
      </c>
      <c r="G1864" s="68" t="inlineStr">
        <is>
          <t>6.1.1 内部装修工程</t>
        </is>
      </c>
      <c r="H1864" s="68" t="inlineStr">
        <is>
          <t>楼梯装修</t>
        </is>
      </c>
      <c r="I1864" s="69" t="inlineStr">
        <is>
          <t>1000051744</t>
        </is>
      </c>
      <c r="J1864" s="69" t="inlineStr">
        <is>
          <t>黑色踢脚（冠军，Geometry，楼梯）</t>
        </is>
      </c>
      <c r="K1864" s="70" t="n"/>
      <c r="L1864" s="70" t="n"/>
      <c r="M1864" s="71" t="inlineStr">
        <is>
          <t>米</t>
        </is>
      </c>
      <c r="N1864" s="72" t="n">
        <v>49.86</v>
      </c>
      <c r="O1864" s="72">
        <f>ROUND(N1864*(1+$F$10),2)</f>
        <v/>
      </c>
      <c r="P1864" s="73">
        <f>ROUND(K1864*N1864,2)</f>
        <v/>
      </c>
      <c r="Q1864" s="74">
        <f>ROUND(L1864*N1864,2)</f>
        <v/>
      </c>
      <c r="R1864" s="75" t="n"/>
      <c r="S1864" s="76" t="n"/>
      <c r="T1864" s="77">
        <f>K1864-L1864</f>
        <v/>
      </c>
      <c r="U1864" s="77">
        <f>P1864-Q1864</f>
        <v/>
      </c>
      <c r="V1864" s="77">
        <f>ABS(U1864)</f>
        <v/>
      </c>
      <c r="W1864" s="78">
        <f>T1864/L1864</f>
        <v/>
      </c>
      <c r="X1864" s="79">
        <f>ABS(W1864)</f>
        <v/>
      </c>
    </row>
    <row r="1865" ht="11.4" customHeight="1">
      <c r="A1865" s="67" t="inlineStr">
        <is>
          <t>大甜62</t>
        </is>
      </c>
      <c r="B1865" s="67" t="inlineStr">
        <is>
          <t>1060</t>
        </is>
      </c>
      <c r="C1865" s="67" t="inlineStr">
        <is>
          <t>1611</t>
        </is>
      </c>
      <c r="D1865" s="68" t="inlineStr">
        <is>
          <t>03</t>
        </is>
      </c>
      <c r="E1865" s="68" t="inlineStr">
        <is>
          <t>6 物业施工费</t>
        </is>
      </c>
      <c r="F1865" s="68" t="inlineStr">
        <is>
          <t>6.1 总承包工程</t>
        </is>
      </c>
      <c r="G1865" s="68" t="inlineStr">
        <is>
          <t>6.1.1 内部装修工程</t>
        </is>
      </c>
      <c r="H1865" s="68" t="inlineStr">
        <is>
          <t>楼梯装修</t>
        </is>
      </c>
      <c r="I1865" s="69" t="inlineStr">
        <is>
          <t>1000051736</t>
        </is>
      </c>
      <c r="J1865" s="69" t="inlineStr">
        <is>
          <t>木纹砖(琛雄，含不超过50mm厚的找平层，楼梯)</t>
        </is>
      </c>
      <c r="K1865" s="70" t="n"/>
      <c r="L1865" s="70" t="n"/>
      <c r="M1865" s="71" t="inlineStr">
        <is>
          <t>m2</t>
        </is>
      </c>
      <c r="N1865" s="72" t="n">
        <v>275.14</v>
      </c>
      <c r="O1865" s="72">
        <f>ROUND(N1865*(1+$F$10),2)</f>
        <v/>
      </c>
      <c r="P1865" s="73">
        <f>ROUND(K1865*N1865,2)</f>
        <v/>
      </c>
      <c r="Q1865" s="74">
        <f>ROUND(L1865*N1865,2)</f>
        <v/>
      </c>
      <c r="R1865" s="75" t="n"/>
      <c r="S1865" s="76" t="n"/>
      <c r="T1865" s="77">
        <f>K1865-L1865</f>
        <v/>
      </c>
      <c r="U1865" s="77">
        <f>P1865-Q1865</f>
        <v/>
      </c>
      <c r="V1865" s="77">
        <f>ABS(U1865)</f>
        <v/>
      </c>
      <c r="W1865" s="78">
        <f>T1865/L1865</f>
        <v/>
      </c>
      <c r="X1865" s="79">
        <f>ABS(W1865)</f>
        <v/>
      </c>
    </row>
    <row r="1866" ht="11.4" customHeight="1">
      <c r="A1866" s="67" t="inlineStr">
        <is>
          <t>大甜62</t>
        </is>
      </c>
      <c r="B1866" s="67" t="inlineStr">
        <is>
          <t>1060</t>
        </is>
      </c>
      <c r="C1866" s="67" t="inlineStr">
        <is>
          <t>1611</t>
        </is>
      </c>
      <c r="D1866" s="68" t="inlineStr">
        <is>
          <t>03</t>
        </is>
      </c>
      <c r="E1866" s="68" t="inlineStr">
        <is>
          <t>6 物业施工费</t>
        </is>
      </c>
      <c r="F1866" s="68" t="inlineStr">
        <is>
          <t>6.1 总承包工程</t>
        </is>
      </c>
      <c r="G1866" s="68" t="inlineStr">
        <is>
          <t>6.1.1 内部装修工程</t>
        </is>
      </c>
      <c r="H1866" s="68" t="inlineStr">
        <is>
          <t>楼梯装修</t>
        </is>
      </c>
      <c r="I1866" s="69" t="inlineStr">
        <is>
          <t>1000051737</t>
        </is>
      </c>
      <c r="J1866" s="69" t="inlineStr">
        <is>
          <t>木纹砖（共荣，含不超过50mm厚的找平层，楼梯）</t>
        </is>
      </c>
      <c r="K1866" s="70" t="n"/>
      <c r="L1866" s="70" t="n"/>
      <c r="M1866" s="71" t="inlineStr">
        <is>
          <t>m2</t>
        </is>
      </c>
      <c r="N1866" s="72" t="n">
        <v>265.9</v>
      </c>
      <c r="O1866" s="72">
        <f>ROUND(N1866*(1+$F$10),2)</f>
        <v/>
      </c>
      <c r="P1866" s="73">
        <f>ROUND(K1866*N1866,2)</f>
        <v/>
      </c>
      <c r="Q1866" s="74">
        <f>ROUND(L1866*N1866,2)</f>
        <v/>
      </c>
      <c r="R1866" s="75" t="n"/>
      <c r="S1866" s="76" t="n"/>
      <c r="T1866" s="77">
        <f>K1866-L1866</f>
        <v/>
      </c>
      <c r="U1866" s="77">
        <f>P1866-Q1866</f>
        <v/>
      </c>
      <c r="V1866" s="77">
        <f>ABS(U1866)</f>
        <v/>
      </c>
      <c r="W1866" s="78">
        <f>T1866/L1866</f>
        <v/>
      </c>
      <c r="X1866" s="79">
        <f>ABS(W1866)</f>
        <v/>
      </c>
    </row>
    <row r="1867" ht="11.4" customHeight="1">
      <c r="A1867" s="67" t="inlineStr">
        <is>
          <t>大甜62</t>
        </is>
      </c>
      <c r="B1867" s="67" t="inlineStr">
        <is>
          <t>1060</t>
        </is>
      </c>
      <c r="C1867" s="67" t="inlineStr">
        <is>
          <t>1611</t>
        </is>
      </c>
      <c r="D1867" s="68" t="inlineStr">
        <is>
          <t>03</t>
        </is>
      </c>
      <c r="E1867" s="68" t="inlineStr">
        <is>
          <t>6 物业施工费</t>
        </is>
      </c>
      <c r="F1867" s="68" t="inlineStr">
        <is>
          <t>6.1 总承包工程</t>
        </is>
      </c>
      <c r="G1867" s="68" t="inlineStr">
        <is>
          <t>6.1.1 内部装修工程</t>
        </is>
      </c>
      <c r="H1867" s="68" t="inlineStr">
        <is>
          <t>楼梯装修</t>
        </is>
      </c>
      <c r="I1867" s="69" t="inlineStr">
        <is>
          <t>1000051738</t>
        </is>
      </c>
      <c r="J1867" s="69" t="inlineStr">
        <is>
          <t>木纹砖(冠军，含不超过50mm厚的找平层，楼梯)</t>
        </is>
      </c>
      <c r="K1867" s="70" t="n"/>
      <c r="L1867" s="70" t="n"/>
      <c r="M1867" s="71" t="inlineStr">
        <is>
          <t>m2</t>
        </is>
      </c>
      <c r="N1867" s="72" t="n">
        <v>279.43</v>
      </c>
      <c r="O1867" s="72">
        <f>ROUND(N1867*(1+$F$10),2)</f>
        <v/>
      </c>
      <c r="P1867" s="73">
        <f>ROUND(K1867*N1867,2)</f>
        <v/>
      </c>
      <c r="Q1867" s="74">
        <f>ROUND(L1867*N1867,2)</f>
        <v/>
      </c>
      <c r="R1867" s="75" t="n"/>
      <c r="S1867" s="76" t="n"/>
      <c r="T1867" s="77">
        <f>K1867-L1867</f>
        <v/>
      </c>
      <c r="U1867" s="77">
        <f>P1867-Q1867</f>
        <v/>
      </c>
      <c r="V1867" s="77">
        <f>ABS(U1867)</f>
        <v/>
      </c>
      <c r="W1867" s="78">
        <f>T1867/L1867</f>
        <v/>
      </c>
      <c r="X1867" s="79">
        <f>ABS(W1867)</f>
        <v/>
      </c>
    </row>
    <row r="1868" ht="11.4" customHeight="1">
      <c r="A1868" s="67" t="inlineStr">
        <is>
          <t>大甜62</t>
        </is>
      </c>
      <c r="B1868" s="67" t="inlineStr">
        <is>
          <t>1060</t>
        </is>
      </c>
      <c r="C1868" s="67" t="inlineStr">
        <is>
          <t>1611</t>
        </is>
      </c>
      <c r="D1868" s="68" t="inlineStr">
        <is>
          <t>03</t>
        </is>
      </c>
      <c r="E1868" s="68" t="inlineStr">
        <is>
          <t>6 物业施工费</t>
        </is>
      </c>
      <c r="F1868" s="68" t="inlineStr">
        <is>
          <t>6.1 总承包工程</t>
        </is>
      </c>
      <c r="G1868" s="68" t="inlineStr">
        <is>
          <t>6.1.1 内部装修工程</t>
        </is>
      </c>
      <c r="H1868" s="68" t="inlineStr">
        <is>
          <t>楼梯装修</t>
        </is>
      </c>
      <c r="I1868" s="69" t="inlineStr">
        <is>
          <t>1000051739</t>
        </is>
      </c>
      <c r="J1868" s="69" t="inlineStr">
        <is>
          <t>地面灰砖（琛雄，Luna，楼梯）</t>
        </is>
      </c>
      <c r="K1868" s="70" t="n"/>
      <c r="L1868" s="70" t="n"/>
      <c r="M1868" s="71" t="inlineStr">
        <is>
          <t>m2</t>
        </is>
      </c>
      <c r="N1868" s="72" t="n">
        <v>272.28</v>
      </c>
      <c r="O1868" s="72">
        <f>ROUND(N1868*(1+$F$10),2)</f>
        <v/>
      </c>
      <c r="P1868" s="73">
        <f>ROUND(K1868*N1868,2)</f>
        <v/>
      </c>
      <c r="Q1868" s="74">
        <f>ROUND(L1868*N1868,2)</f>
        <v/>
      </c>
      <c r="R1868" s="75" t="n"/>
      <c r="S1868" s="76" t="n"/>
      <c r="T1868" s="77">
        <f>K1868-L1868</f>
        <v/>
      </c>
      <c r="U1868" s="77">
        <f>P1868-Q1868</f>
        <v/>
      </c>
      <c r="V1868" s="77">
        <f>ABS(U1868)</f>
        <v/>
      </c>
      <c r="W1868" s="78">
        <f>T1868/L1868</f>
        <v/>
      </c>
      <c r="X1868" s="79">
        <f>ABS(W1868)</f>
        <v/>
      </c>
    </row>
    <row r="1869" ht="11.4" customHeight="1">
      <c r="A1869" s="67" t="inlineStr">
        <is>
          <t>大甜62</t>
        </is>
      </c>
      <c r="B1869" s="67" t="inlineStr">
        <is>
          <t>1060</t>
        </is>
      </c>
      <c r="C1869" s="67" t="inlineStr">
        <is>
          <t>1611</t>
        </is>
      </c>
      <c r="D1869" s="68" t="inlineStr">
        <is>
          <t>03</t>
        </is>
      </c>
      <c r="E1869" s="68" t="inlineStr">
        <is>
          <t>6 物业施工费</t>
        </is>
      </c>
      <c r="F1869" s="68" t="inlineStr">
        <is>
          <t>6.1 总承包工程</t>
        </is>
      </c>
      <c r="G1869" s="68" t="inlineStr">
        <is>
          <t>6.1.1 内部装修工程</t>
        </is>
      </c>
      <c r="H1869" s="68" t="inlineStr">
        <is>
          <t>楼梯装修</t>
        </is>
      </c>
      <c r="I1869" s="69" t="inlineStr">
        <is>
          <t>1000051740</t>
        </is>
      </c>
      <c r="J1869" s="69" t="inlineStr">
        <is>
          <t>地面灰砖（共荣，Luna，楼梯）</t>
        </is>
      </c>
      <c r="K1869" s="70" t="n"/>
      <c r="L1869" s="70" t="n"/>
      <c r="M1869" s="71" t="inlineStr">
        <is>
          <t>m2</t>
        </is>
      </c>
      <c r="N1869" s="72" t="n">
        <v>250.83</v>
      </c>
      <c r="O1869" s="72">
        <f>ROUND(N1869*(1+$F$10),2)</f>
        <v/>
      </c>
      <c r="P1869" s="73">
        <f>ROUND(K1869*N1869,2)</f>
        <v/>
      </c>
      <c r="Q1869" s="74">
        <f>ROUND(L1869*N1869,2)</f>
        <v/>
      </c>
      <c r="R1869" s="75" t="n"/>
      <c r="S1869" s="76" t="n"/>
      <c r="T1869" s="77">
        <f>K1869-L1869</f>
        <v/>
      </c>
      <c r="U1869" s="77">
        <f>P1869-Q1869</f>
        <v/>
      </c>
      <c r="V1869" s="77">
        <f>ABS(U1869)</f>
        <v/>
      </c>
      <c r="W1869" s="78">
        <f>T1869/L1869</f>
        <v/>
      </c>
      <c r="X1869" s="79">
        <f>ABS(W1869)</f>
        <v/>
      </c>
    </row>
    <row r="1870" ht="11.4" customHeight="1">
      <c r="A1870" s="67" t="inlineStr">
        <is>
          <t>大甜62</t>
        </is>
      </c>
      <c r="B1870" s="67" t="inlineStr">
        <is>
          <t>1060</t>
        </is>
      </c>
      <c r="C1870" s="67" t="inlineStr">
        <is>
          <t>1611</t>
        </is>
      </c>
      <c r="D1870" s="68" t="inlineStr">
        <is>
          <t>03</t>
        </is>
      </c>
      <c r="E1870" s="68" t="inlineStr">
        <is>
          <t>6 物业施工费</t>
        </is>
      </c>
      <c r="F1870" s="68" t="inlineStr">
        <is>
          <t>6.1 总承包工程</t>
        </is>
      </c>
      <c r="G1870" s="68" t="inlineStr">
        <is>
          <t>6.1.1 内部装修工程</t>
        </is>
      </c>
      <c r="H1870" s="68" t="inlineStr">
        <is>
          <t>楼梯装修</t>
        </is>
      </c>
      <c r="I1870" s="69" t="inlineStr">
        <is>
          <t>1000051741</t>
        </is>
      </c>
      <c r="J1870" s="69" t="inlineStr">
        <is>
          <t>地面灰砖（冠军，Luna，楼梯）</t>
        </is>
      </c>
      <c r="K1870" s="70" t="n"/>
      <c r="L1870" s="70" t="n"/>
      <c r="M1870" s="71" t="inlineStr">
        <is>
          <t>m2</t>
        </is>
      </c>
      <c r="N1870" s="72" t="n">
        <v>275.14</v>
      </c>
      <c r="O1870" s="72">
        <f>ROUND(N1870*(1+$F$10),2)</f>
        <v/>
      </c>
      <c r="P1870" s="73">
        <f>ROUND(K1870*N1870,2)</f>
        <v/>
      </c>
      <c r="Q1870" s="74">
        <f>ROUND(L1870*N1870,2)</f>
        <v/>
      </c>
      <c r="R1870" s="75" t="n"/>
      <c r="S1870" s="76" t="n"/>
      <c r="T1870" s="77">
        <f>K1870-L1870</f>
        <v/>
      </c>
      <c r="U1870" s="77">
        <f>P1870-Q1870</f>
        <v/>
      </c>
      <c r="V1870" s="77">
        <f>ABS(U1870)</f>
        <v/>
      </c>
      <c r="W1870" s="78">
        <f>T1870/L1870</f>
        <v/>
      </c>
      <c r="X1870" s="79">
        <f>ABS(W1870)</f>
        <v/>
      </c>
    </row>
    <row r="1871" ht="11.4" customHeight="1">
      <c r="A1871" s="67" t="inlineStr">
        <is>
          <t>大甜62</t>
        </is>
      </c>
      <c r="B1871" s="67" t="inlineStr">
        <is>
          <t>1060</t>
        </is>
      </c>
      <c r="C1871" s="67" t="inlineStr">
        <is>
          <t>1611</t>
        </is>
      </c>
      <c r="D1871" s="68" t="inlineStr">
        <is>
          <t>03</t>
        </is>
      </c>
      <c r="E1871" s="68" t="inlineStr">
        <is>
          <t>6 物业施工费</t>
        </is>
      </c>
      <c r="F1871" s="68" t="inlineStr">
        <is>
          <t>6.1 总承包工程</t>
        </is>
      </c>
      <c r="G1871" s="68" t="inlineStr">
        <is>
          <t>6.1.1 内部装修工程</t>
        </is>
      </c>
      <c r="H1871" s="68" t="inlineStr">
        <is>
          <t>楼梯装修</t>
        </is>
      </c>
      <c r="I1871" s="69" t="inlineStr">
        <is>
          <t>1000021813</t>
        </is>
      </c>
      <c r="J1871" s="69" t="inlineStr">
        <is>
          <t>19mm玻璃下口冠军同质砖地台</t>
        </is>
      </c>
      <c r="K1871" s="70" t="n"/>
      <c r="L1871" s="70" t="n"/>
      <c r="M1871" s="71" t="inlineStr">
        <is>
          <t>米</t>
        </is>
      </c>
      <c r="N1871" s="72" t="n">
        <v>130.79</v>
      </c>
      <c r="O1871" s="72">
        <f>ROUND(N1871*(1+$F$10),2)</f>
        <v/>
      </c>
      <c r="P1871" s="73">
        <f>ROUND(K1871*N1871,2)</f>
        <v/>
      </c>
      <c r="Q1871" s="74">
        <f>ROUND(L1871*N1871,2)</f>
        <v/>
      </c>
      <c r="R1871" s="75" t="n"/>
      <c r="S1871" s="76" t="n"/>
      <c r="T1871" s="77">
        <f>K1871-L1871</f>
        <v/>
      </c>
      <c r="U1871" s="77">
        <f>P1871-Q1871</f>
        <v/>
      </c>
      <c r="V1871" s="77">
        <f>ABS(U1871)</f>
        <v/>
      </c>
      <c r="W1871" s="78">
        <f>T1871/L1871</f>
        <v/>
      </c>
      <c r="X1871" s="79">
        <f>ABS(W1871)</f>
        <v/>
      </c>
    </row>
    <row r="1872" ht="11.4" customHeight="1">
      <c r="A1872" s="67" t="inlineStr">
        <is>
          <t>大甜62</t>
        </is>
      </c>
      <c r="B1872" s="67" t="inlineStr">
        <is>
          <t>1060</t>
        </is>
      </c>
      <c r="C1872" s="67" t="inlineStr">
        <is>
          <t>1611</t>
        </is>
      </c>
      <c r="D1872" s="68" t="inlineStr">
        <is>
          <t>03</t>
        </is>
      </c>
      <c r="E1872" s="68" t="inlineStr">
        <is>
          <t>6 物业施工费</t>
        </is>
      </c>
      <c r="F1872" s="68" t="inlineStr">
        <is>
          <t>6.1 总承包工程</t>
        </is>
      </c>
      <c r="G1872" s="68" t="inlineStr">
        <is>
          <t>6.1.1 内部装修工程</t>
        </is>
      </c>
      <c r="H1872" s="68" t="inlineStr">
        <is>
          <t>楼梯装修</t>
        </is>
      </c>
      <c r="I1872" s="69" t="inlineStr">
        <is>
          <t>1000021814</t>
        </is>
      </c>
      <c r="J1872" s="69" t="inlineStr">
        <is>
          <t>钢结构楼梯钢板网敷设及水泥垫层（按展开面积计算）</t>
        </is>
      </c>
      <c r="K1872" s="70" t="n"/>
      <c r="L1872" s="70" t="n"/>
      <c r="M1872" s="71" t="inlineStr">
        <is>
          <t>m2</t>
        </is>
      </c>
      <c r="N1872" s="72" t="n">
        <v>75.79000000000001</v>
      </c>
      <c r="O1872" s="72">
        <f>ROUND(N1872*(1+$F$10),2)</f>
        <v/>
      </c>
      <c r="P1872" s="73">
        <f>ROUND(K1872*N1872,2)</f>
        <v/>
      </c>
      <c r="Q1872" s="74">
        <f>ROUND(L1872*N1872,2)</f>
        <v/>
      </c>
      <c r="R1872" s="75" t="n"/>
      <c r="S1872" s="76" t="n"/>
      <c r="T1872" s="77">
        <f>K1872-L1872</f>
        <v/>
      </c>
      <c r="U1872" s="77">
        <f>P1872-Q1872</f>
        <v/>
      </c>
      <c r="V1872" s="77">
        <f>ABS(U1872)</f>
        <v/>
      </c>
      <c r="W1872" s="78">
        <f>T1872/L1872</f>
        <v/>
      </c>
      <c r="X1872" s="79">
        <f>ABS(W1872)</f>
        <v/>
      </c>
    </row>
    <row r="1873" ht="11.4" customHeight="1">
      <c r="A1873" s="67" t="inlineStr">
        <is>
          <t>大甜62</t>
        </is>
      </c>
      <c r="B1873" s="67" t="inlineStr">
        <is>
          <t>1060</t>
        </is>
      </c>
      <c r="C1873" s="67" t="inlineStr">
        <is>
          <t>1611</t>
        </is>
      </c>
      <c r="D1873" s="68" t="inlineStr">
        <is>
          <t>03</t>
        </is>
      </c>
      <c r="E1873" s="68" t="inlineStr">
        <is>
          <t>6 物业施工费</t>
        </is>
      </c>
      <c r="F1873" s="68" t="inlineStr">
        <is>
          <t>6.1 总承包工程</t>
        </is>
      </c>
      <c r="G1873" s="68" t="inlineStr">
        <is>
          <t>6.1.1 内部装修工程</t>
        </is>
      </c>
      <c r="H1873" s="68" t="inlineStr">
        <is>
          <t>楼梯装修</t>
        </is>
      </c>
      <c r="I1873" s="69" t="inlineStr">
        <is>
          <t>1000021815</t>
        </is>
      </c>
      <c r="J1873" s="69" t="inlineStr">
        <is>
          <t>40*4发丝不锈钢靠墙拦河</t>
        </is>
      </c>
      <c r="K1873" s="70" t="n"/>
      <c r="L1873" s="70" t="n"/>
      <c r="M1873" s="71" t="inlineStr">
        <is>
          <t>米</t>
        </is>
      </c>
      <c r="N1873" s="72" t="n">
        <v>343.86</v>
      </c>
      <c r="O1873" s="72">
        <f>ROUND(N1873*(1+$F$10),2)</f>
        <v/>
      </c>
      <c r="P1873" s="73">
        <f>ROUND(K1873*N1873,2)</f>
        <v/>
      </c>
      <c r="Q1873" s="74">
        <f>ROUND(L1873*N1873,2)</f>
        <v/>
      </c>
      <c r="R1873" s="75" t="n"/>
      <c r="S1873" s="76" t="n"/>
      <c r="T1873" s="77">
        <f>K1873-L1873</f>
        <v/>
      </c>
      <c r="U1873" s="77">
        <f>P1873-Q1873</f>
        <v/>
      </c>
      <c r="V1873" s="77">
        <f>ABS(U1873)</f>
        <v/>
      </c>
      <c r="W1873" s="78">
        <f>T1873/L1873</f>
        <v/>
      </c>
      <c r="X1873" s="79">
        <f>ABS(W1873)</f>
        <v/>
      </c>
    </row>
    <row r="1874" ht="11.4" customHeight="1">
      <c r="A1874" s="67" t="inlineStr">
        <is>
          <t>大甜62</t>
        </is>
      </c>
      <c r="B1874" s="67" t="inlineStr">
        <is>
          <t>1060</t>
        </is>
      </c>
      <c r="C1874" s="67" t="inlineStr">
        <is>
          <t>1611</t>
        </is>
      </c>
      <c r="D1874" s="68" t="inlineStr">
        <is>
          <t>03</t>
        </is>
      </c>
      <c r="E1874" s="68" t="inlineStr">
        <is>
          <t>6 物业施工费</t>
        </is>
      </c>
      <c r="F1874" s="68" t="inlineStr">
        <is>
          <t>6.1 总承包工程</t>
        </is>
      </c>
      <c r="G1874" s="68" t="inlineStr">
        <is>
          <t>6.1.1 内部装修工程</t>
        </is>
      </c>
      <c r="H1874" s="68" t="inlineStr">
        <is>
          <t>楼梯装修</t>
        </is>
      </c>
      <c r="I1874" s="69" t="inlineStr">
        <is>
          <t>1000021816</t>
        </is>
      </c>
      <c r="J1874" s="69" t="inlineStr">
        <is>
          <t>40*4发丝不锈钢弧形拦河</t>
        </is>
      </c>
      <c r="K1874" s="70" t="n"/>
      <c r="L1874" s="70" t="n"/>
      <c r="M1874" s="71" t="inlineStr">
        <is>
          <t>米</t>
        </is>
      </c>
      <c r="N1874" s="72" t="n">
        <v>341.66</v>
      </c>
      <c r="O1874" s="72">
        <f>ROUND(N1874*(1+$F$10),2)</f>
        <v/>
      </c>
      <c r="P1874" s="73">
        <f>ROUND(K1874*N1874,2)</f>
        <v/>
      </c>
      <c r="Q1874" s="74">
        <f>ROUND(L1874*N1874,2)</f>
        <v/>
      </c>
      <c r="R1874" s="75" t="n"/>
      <c r="S1874" s="76" t="n"/>
      <c r="T1874" s="77">
        <f>K1874-L1874</f>
        <v/>
      </c>
      <c r="U1874" s="77">
        <f>P1874-Q1874</f>
        <v/>
      </c>
      <c r="V1874" s="77">
        <f>ABS(U1874)</f>
        <v/>
      </c>
      <c r="W1874" s="78">
        <f>T1874/L1874</f>
        <v/>
      </c>
      <c r="X1874" s="79">
        <f>ABS(W1874)</f>
        <v/>
      </c>
    </row>
    <row r="1875" ht="11.4" customHeight="1">
      <c r="A1875" s="67" t="inlineStr">
        <is>
          <t>大甜62</t>
        </is>
      </c>
      <c r="B1875" s="67" t="inlineStr">
        <is>
          <t>1060</t>
        </is>
      </c>
      <c r="C1875" s="67" t="inlineStr">
        <is>
          <t>1611</t>
        </is>
      </c>
      <c r="D1875" s="68" t="inlineStr">
        <is>
          <t>03</t>
        </is>
      </c>
      <c r="E1875" s="68" t="inlineStr">
        <is>
          <t>6 物业施工费</t>
        </is>
      </c>
      <c r="F1875" s="68" t="inlineStr">
        <is>
          <t>6.1 总承包工程</t>
        </is>
      </c>
      <c r="G1875" s="68" t="inlineStr">
        <is>
          <t>6.1.1 内部装修工程</t>
        </is>
      </c>
      <c r="H1875" s="68" t="inlineStr">
        <is>
          <t>楼梯装修</t>
        </is>
      </c>
      <c r="I1875" s="69" t="inlineStr">
        <is>
          <t>1000021662</t>
        </is>
      </c>
      <c r="J1875" s="69" t="inlineStr">
        <is>
          <t>楼梯柚木色扶手</t>
        </is>
      </c>
      <c r="K1875" s="70" t="n"/>
      <c r="L1875" s="70" t="n"/>
      <c r="M1875" s="71" t="inlineStr">
        <is>
          <t>米</t>
        </is>
      </c>
      <c r="N1875" s="72" t="n">
        <v>481.91</v>
      </c>
      <c r="O1875" s="72">
        <f>ROUND(N1875*(1+$F$10),2)</f>
        <v/>
      </c>
      <c r="P1875" s="73">
        <f>ROUND(K1875*N1875,2)</f>
        <v/>
      </c>
      <c r="Q1875" s="74">
        <f>ROUND(L1875*N1875,2)</f>
        <v/>
      </c>
      <c r="R1875" s="75" t="n"/>
      <c r="S1875" s="76" t="n"/>
      <c r="T1875" s="77">
        <f>K1875-L1875</f>
        <v/>
      </c>
      <c r="U1875" s="77">
        <f>P1875-Q1875</f>
        <v/>
      </c>
      <c r="V1875" s="77">
        <f>ABS(U1875)</f>
        <v/>
      </c>
      <c r="W1875" s="78">
        <f>T1875/L1875</f>
        <v/>
      </c>
      <c r="X1875" s="79">
        <f>ABS(W1875)</f>
        <v/>
      </c>
    </row>
    <row r="1876" ht="11.4" customHeight="1">
      <c r="A1876" s="67" t="inlineStr">
        <is>
          <t>大甜62</t>
        </is>
      </c>
      <c r="B1876" s="67" t="inlineStr">
        <is>
          <t>1060</t>
        </is>
      </c>
      <c r="C1876" s="67" t="inlineStr">
        <is>
          <t>1611</t>
        </is>
      </c>
      <c r="D1876" s="68" t="inlineStr">
        <is>
          <t>03</t>
        </is>
      </c>
      <c r="E1876" s="68" t="inlineStr">
        <is>
          <t>6 物业施工费</t>
        </is>
      </c>
      <c r="F1876" s="68" t="inlineStr">
        <is>
          <t>6.1 总承包工程</t>
        </is>
      </c>
      <c r="G1876" s="68" t="inlineStr">
        <is>
          <t>6.1.1 内部装修工程</t>
        </is>
      </c>
      <c r="H1876" s="68" t="inlineStr">
        <is>
          <t>楼梯装修</t>
        </is>
      </c>
      <c r="I1876" s="69" t="inlineStr">
        <is>
          <t>1000085729</t>
        </is>
      </c>
      <c r="J1876" s="69" t="inlineStr">
        <is>
          <t>楼梯柚木扶手钢支架</t>
        </is>
      </c>
      <c r="K1876" s="70" t="n"/>
      <c r="L1876" s="70" t="n"/>
      <c r="M1876" s="71" t="inlineStr">
        <is>
          <t>米</t>
        </is>
      </c>
      <c r="N1876" s="72" t="n">
        <v>232.76</v>
      </c>
      <c r="O1876" s="72">
        <f>ROUND(N1876*(1+$F$10),2)</f>
        <v/>
      </c>
      <c r="P1876" s="73">
        <f>ROUND(K1876*N1876,2)</f>
        <v/>
      </c>
      <c r="Q1876" s="74">
        <f>ROUND(L1876*N1876,2)</f>
        <v/>
      </c>
      <c r="R1876" s="75" t="n"/>
      <c r="S1876" s="76" t="n"/>
      <c r="T1876" s="77">
        <f>K1876-L1876</f>
        <v/>
      </c>
      <c r="U1876" s="77">
        <f>P1876-Q1876</f>
        <v/>
      </c>
      <c r="V1876" s="77">
        <f>ABS(U1876)</f>
        <v/>
      </c>
      <c r="W1876" s="78">
        <f>T1876/L1876</f>
        <v/>
      </c>
      <c r="X1876" s="79">
        <f>ABS(W1876)</f>
        <v/>
      </c>
    </row>
    <row r="1877" ht="11.4" customHeight="1">
      <c r="A1877" s="67" t="inlineStr">
        <is>
          <t>大甜62</t>
        </is>
      </c>
      <c r="B1877" s="67" t="inlineStr">
        <is>
          <t>1060</t>
        </is>
      </c>
      <c r="C1877" s="67" t="inlineStr">
        <is>
          <t>1611</t>
        </is>
      </c>
      <c r="D1877" s="68" t="inlineStr">
        <is>
          <t>03</t>
        </is>
      </c>
      <c r="E1877" s="68" t="inlineStr">
        <is>
          <t>6 物业施工费</t>
        </is>
      </c>
      <c r="F1877" s="68" t="inlineStr">
        <is>
          <t>6.1 总承包工程</t>
        </is>
      </c>
      <c r="G1877" s="68" t="inlineStr">
        <is>
          <t>6.1.1 内部装修工程</t>
        </is>
      </c>
      <c r="H1877" s="68" t="inlineStr">
        <is>
          <t>楼梯装修</t>
        </is>
      </c>
      <c r="I1877" s="69" t="inlineStr">
        <is>
          <t>1000045090</t>
        </is>
      </c>
      <c r="J1877" s="69" t="inlineStr">
        <is>
          <t>楼梯碳钢护栏（Ray风格）</t>
        </is>
      </c>
      <c r="K1877" s="70" t="n"/>
      <c r="L1877" s="70" t="n"/>
      <c r="M1877" s="71" t="inlineStr">
        <is>
          <t>m2</t>
        </is>
      </c>
      <c r="N1877" s="72" t="n">
        <v>606.85</v>
      </c>
      <c r="O1877" s="72">
        <f>ROUND(N1877*(1+$F$10),2)</f>
        <v/>
      </c>
      <c r="P1877" s="73">
        <f>ROUND(K1877*N1877,2)</f>
        <v/>
      </c>
      <c r="Q1877" s="74">
        <f>ROUND(L1877*N1877,2)</f>
        <v/>
      </c>
      <c r="R1877" s="75" t="n"/>
      <c r="S1877" s="76" t="n"/>
      <c r="T1877" s="77">
        <f>K1877-L1877</f>
        <v/>
      </c>
      <c r="U1877" s="77">
        <f>P1877-Q1877</f>
        <v/>
      </c>
      <c r="V1877" s="77">
        <f>ABS(U1877)</f>
        <v/>
      </c>
      <c r="W1877" s="78">
        <f>T1877/L1877</f>
        <v/>
      </c>
      <c r="X1877" s="79">
        <f>ABS(W1877)</f>
        <v/>
      </c>
    </row>
    <row r="1878" ht="11.4" customHeight="1">
      <c r="A1878" s="67" t="inlineStr">
        <is>
          <t>大甜62</t>
        </is>
      </c>
      <c r="B1878" s="67" t="inlineStr">
        <is>
          <t>1060</t>
        </is>
      </c>
      <c r="C1878" s="67" t="inlineStr">
        <is>
          <t>1611</t>
        </is>
      </c>
      <c r="D1878" s="68" t="inlineStr">
        <is>
          <t>03</t>
        </is>
      </c>
      <c r="E1878" s="68" t="inlineStr">
        <is>
          <t>6 物业施工费</t>
        </is>
      </c>
      <c r="F1878" s="68" t="inlineStr">
        <is>
          <t>6.1 总承包工程</t>
        </is>
      </c>
      <c r="G1878" s="68" t="inlineStr">
        <is>
          <t>6.1.1 内部装修工程</t>
        </is>
      </c>
      <c r="H1878" s="68" t="inlineStr">
        <is>
          <t>楼梯装修</t>
        </is>
      </c>
      <c r="I1878" s="69" t="inlineStr">
        <is>
          <t>1000021817</t>
        </is>
      </c>
      <c r="J1878" s="69" t="inlineStr">
        <is>
          <t>19mm玻璃护栏</t>
        </is>
      </c>
      <c r="K1878" s="70" t="n"/>
      <c r="L1878" s="70" t="n"/>
      <c r="M1878" s="71" t="inlineStr">
        <is>
          <t>米</t>
        </is>
      </c>
      <c r="N1878" s="72" t="n">
        <v>930.48</v>
      </c>
      <c r="O1878" s="72">
        <f>ROUND(N1878*(1+$F$10),2)</f>
        <v/>
      </c>
      <c r="P1878" s="73">
        <f>ROUND(K1878*N1878,2)</f>
        <v/>
      </c>
      <c r="Q1878" s="74">
        <f>ROUND(L1878*N1878,2)</f>
        <v/>
      </c>
      <c r="R1878" s="75" t="n"/>
      <c r="S1878" s="76" t="n"/>
      <c r="T1878" s="77">
        <f>K1878-L1878</f>
        <v/>
      </c>
      <c r="U1878" s="77">
        <f>P1878-Q1878</f>
        <v/>
      </c>
      <c r="V1878" s="77">
        <f>ABS(U1878)</f>
        <v/>
      </c>
      <c r="W1878" s="78">
        <f>T1878/L1878</f>
        <v/>
      </c>
      <c r="X1878" s="79">
        <f>ABS(W1878)</f>
        <v/>
      </c>
    </row>
    <row r="1879" ht="11.4" customHeight="1">
      <c r="A1879" s="67" t="inlineStr">
        <is>
          <t>大甜62</t>
        </is>
      </c>
      <c r="B1879" s="67" t="inlineStr">
        <is>
          <t>1060</t>
        </is>
      </c>
      <c r="C1879" s="67" t="inlineStr">
        <is>
          <t>1611</t>
        </is>
      </c>
      <c r="D1879" s="68" t="inlineStr">
        <is>
          <t>03</t>
        </is>
      </c>
      <c r="E1879" s="68" t="inlineStr">
        <is>
          <t>6 物业施工费</t>
        </is>
      </c>
      <c r="F1879" s="68" t="inlineStr">
        <is>
          <t>6.1 总承包工程</t>
        </is>
      </c>
      <c r="G1879" s="68" t="inlineStr">
        <is>
          <t>6.1.1 内部装修工程</t>
        </is>
      </c>
      <c r="H1879" s="68" t="inlineStr">
        <is>
          <t>楼梯装修</t>
        </is>
      </c>
      <c r="I1879" s="69" t="inlineStr">
        <is>
          <t>1000021818</t>
        </is>
      </c>
      <c r="J1879" s="69" t="inlineStr">
        <is>
          <t>楼梯上口石膏板吊顶</t>
        </is>
      </c>
      <c r="K1879" s="70" t="n"/>
      <c r="L1879" s="70" t="n"/>
      <c r="M1879" s="71" t="inlineStr">
        <is>
          <t>m2</t>
        </is>
      </c>
      <c r="N1879" s="72" t="n">
        <v>233.36</v>
      </c>
      <c r="O1879" s="72">
        <f>ROUND(N1879*(1+$F$10),2)</f>
        <v/>
      </c>
      <c r="P1879" s="73">
        <f>ROUND(K1879*N1879,2)</f>
        <v/>
      </c>
      <c r="Q1879" s="74">
        <f>ROUND(L1879*N1879,2)</f>
        <v/>
      </c>
      <c r="R1879" s="75" t="n"/>
      <c r="S1879" s="76" t="n"/>
      <c r="T1879" s="77">
        <f>K1879-L1879</f>
        <v/>
      </c>
      <c r="U1879" s="77">
        <f>P1879-Q1879</f>
        <v/>
      </c>
      <c r="V1879" s="77">
        <f>ABS(U1879)</f>
        <v/>
      </c>
      <c r="W1879" s="78">
        <f>T1879/L1879</f>
        <v/>
      </c>
      <c r="X1879" s="79">
        <f>ABS(W1879)</f>
        <v/>
      </c>
    </row>
    <row r="1880" ht="11.4" customHeight="1">
      <c r="A1880" s="67" t="inlineStr">
        <is>
          <t>大甜62</t>
        </is>
      </c>
      <c r="B1880" s="67" t="inlineStr">
        <is>
          <t>1060</t>
        </is>
      </c>
      <c r="C1880" s="67" t="inlineStr">
        <is>
          <t>1611</t>
        </is>
      </c>
      <c r="D1880" s="68" t="inlineStr">
        <is>
          <t>03</t>
        </is>
      </c>
      <c r="E1880" s="68" t="inlineStr">
        <is>
          <t>6 物业施工费</t>
        </is>
      </c>
      <c r="F1880" s="68" t="inlineStr">
        <is>
          <t>6.1 总承包工程</t>
        </is>
      </c>
      <c r="G1880" s="68" t="inlineStr">
        <is>
          <t>6.1.1 内部装修工程</t>
        </is>
      </c>
      <c r="H1880" s="68" t="inlineStr">
        <is>
          <t>楼梯装修</t>
        </is>
      </c>
      <c r="I1880" s="69" t="inlineStr">
        <is>
          <t>1000021922</t>
        </is>
      </c>
      <c r="J1880" s="69" t="inlineStr">
        <is>
          <t>黄色水性环氧半光涂料（Ray,楼梯饰面）</t>
        </is>
      </c>
      <c r="K1880" s="70" t="n"/>
      <c r="L1880" s="70" t="n"/>
      <c r="M1880" s="71" t="inlineStr">
        <is>
          <t>m2</t>
        </is>
      </c>
      <c r="N1880" s="72" t="n">
        <v>163.76</v>
      </c>
      <c r="O1880" s="72">
        <f>ROUND(N1880*(1+$F$10),2)</f>
        <v/>
      </c>
      <c r="P1880" s="73">
        <f>ROUND(K1880*N1880,2)</f>
        <v/>
      </c>
      <c r="Q1880" s="74">
        <f>ROUND(L1880*N1880,2)</f>
        <v/>
      </c>
      <c r="R1880" s="75" t="n"/>
      <c r="S1880" s="76" t="n"/>
      <c r="T1880" s="77">
        <f>K1880-L1880</f>
        <v/>
      </c>
      <c r="U1880" s="77">
        <f>P1880-Q1880</f>
        <v/>
      </c>
      <c r="V1880" s="77">
        <f>ABS(U1880)</f>
        <v/>
      </c>
      <c r="W1880" s="78">
        <f>T1880/L1880</f>
        <v/>
      </c>
      <c r="X1880" s="79">
        <f>ABS(W1880)</f>
        <v/>
      </c>
    </row>
    <row r="1881" ht="11.4" customHeight="1">
      <c r="A1881" s="67" t="inlineStr">
        <is>
          <t>大甜62</t>
        </is>
      </c>
      <c r="B1881" s="67" t="inlineStr">
        <is>
          <t>1060</t>
        </is>
      </c>
      <c r="C1881" s="67" t="inlineStr">
        <is>
          <t>1611</t>
        </is>
      </c>
      <c r="D1881" s="68" t="inlineStr">
        <is>
          <t>03</t>
        </is>
      </c>
      <c r="E1881" s="68" t="inlineStr">
        <is>
          <t>6 物业施工费</t>
        </is>
      </c>
      <c r="F1881" s="68" t="inlineStr">
        <is>
          <t>6.1 总承包工程</t>
        </is>
      </c>
      <c r="G1881" s="68" t="inlineStr">
        <is>
          <t>6.1.1 内部装修工程</t>
        </is>
      </c>
      <c r="H1881" s="68" t="inlineStr">
        <is>
          <t>楼梯装修</t>
        </is>
      </c>
      <c r="I1881" s="69" t="inlineStr">
        <is>
          <t>1000021483</t>
        </is>
      </c>
      <c r="J1881" s="69" t="inlineStr">
        <is>
          <t>室内深色乳胶漆（含批搪，可擦洗）</t>
        </is>
      </c>
      <c r="K1881" s="70" t="n"/>
      <c r="L1881" s="70" t="n"/>
      <c r="M1881" s="71" t="inlineStr">
        <is>
          <t>m2</t>
        </is>
      </c>
      <c r="N1881" s="72" t="n">
        <v>62.19</v>
      </c>
      <c r="O1881" s="72">
        <f>ROUND(N1881*(1+$F$10),2)</f>
        <v/>
      </c>
      <c r="P1881" s="73">
        <f>ROUND(K1881*N1881,2)</f>
        <v/>
      </c>
      <c r="Q1881" s="74">
        <f>ROUND(L1881*N1881,2)</f>
        <v/>
      </c>
      <c r="R1881" s="75" t="n"/>
      <c r="S1881" s="76" t="n"/>
      <c r="T1881" s="77">
        <f>K1881-L1881</f>
        <v/>
      </c>
      <c r="U1881" s="77">
        <f>P1881-Q1881</f>
        <v/>
      </c>
      <c r="V1881" s="77">
        <f>ABS(U1881)</f>
        <v/>
      </c>
      <c r="W1881" s="78">
        <f>T1881/L1881</f>
        <v/>
      </c>
      <c r="X1881" s="79">
        <f>ABS(W1881)</f>
        <v/>
      </c>
    </row>
    <row r="1882" ht="11.4" customHeight="1">
      <c r="A1882" s="67" t="inlineStr">
        <is>
          <t>大甜63</t>
        </is>
      </c>
      <c r="B1882" s="67" t="inlineStr">
        <is>
          <t>1061</t>
        </is>
      </c>
      <c r="C1882" s="67" t="inlineStr">
        <is>
          <t>1611</t>
        </is>
      </c>
      <c r="D1882" s="68" t="inlineStr">
        <is>
          <t>03</t>
        </is>
      </c>
      <c r="E1882" s="68" t="inlineStr">
        <is>
          <t>6 物业施工费</t>
        </is>
      </c>
      <c r="F1882" s="68" t="inlineStr">
        <is>
          <t>6.1 总承包工程</t>
        </is>
      </c>
      <c r="G1882" s="68" t="inlineStr">
        <is>
          <t>6.1.1 内部装修工程</t>
        </is>
      </c>
      <c r="H1882" s="68" t="inlineStr">
        <is>
          <t>员休室地面</t>
        </is>
      </c>
      <c r="I1882" s="69" t="inlineStr">
        <is>
          <t>1000021456</t>
        </is>
      </c>
      <c r="J1882" s="69" t="inlineStr">
        <is>
          <t>国产同质砖（琛雄，含不超过50mm厚的找平层）</t>
        </is>
      </c>
      <c r="K1882" s="70" t="n"/>
      <c r="L1882" s="70" t="n"/>
      <c r="M1882" s="71" t="inlineStr">
        <is>
          <t>m2</t>
        </is>
      </c>
      <c r="N1882" s="72" t="n">
        <v>180.78</v>
      </c>
      <c r="O1882" s="72">
        <f>ROUND(N1882*(1+$F$10),2)</f>
        <v/>
      </c>
      <c r="P1882" s="73">
        <f>ROUND(K1882*N1882,2)</f>
        <v/>
      </c>
      <c r="Q1882" s="74">
        <f>ROUND(L1882*N1882,2)</f>
        <v/>
      </c>
      <c r="R1882" s="75" t="n"/>
      <c r="S1882" s="76" t="n"/>
      <c r="T1882" s="77">
        <f>K1882-L1882</f>
        <v/>
      </c>
      <c r="U1882" s="77">
        <f>P1882-Q1882</f>
        <v/>
      </c>
      <c r="V1882" s="77">
        <f>ABS(U1882)</f>
        <v/>
      </c>
      <c r="W1882" s="78">
        <f>T1882/L1882</f>
        <v/>
      </c>
      <c r="X1882" s="79">
        <f>ABS(W1882)</f>
        <v/>
      </c>
    </row>
    <row r="1883" ht="11.4" customHeight="1">
      <c r="A1883" s="67" t="inlineStr">
        <is>
          <t>大甜63</t>
        </is>
      </c>
      <c r="B1883" s="67" t="inlineStr">
        <is>
          <t>1061</t>
        </is>
      </c>
      <c r="C1883" s="67" t="inlineStr">
        <is>
          <t>1611</t>
        </is>
      </c>
      <c r="D1883" s="68" t="inlineStr">
        <is>
          <t>03</t>
        </is>
      </c>
      <c r="E1883" s="68" t="inlineStr">
        <is>
          <t>6 物业施工费</t>
        </is>
      </c>
      <c r="F1883" s="68" t="inlineStr">
        <is>
          <t>6.1 总承包工程</t>
        </is>
      </c>
      <c r="G1883" s="68" t="inlineStr">
        <is>
          <t>6.1.1 内部装修工程</t>
        </is>
      </c>
      <c r="H1883" s="68" t="inlineStr">
        <is>
          <t>员休室地面</t>
        </is>
      </c>
      <c r="I1883" s="69" t="inlineStr">
        <is>
          <t>1000021457</t>
        </is>
      </c>
      <c r="J1883" s="69" t="inlineStr">
        <is>
          <t>国产同质砖踢脚（琛雄）</t>
        </is>
      </c>
      <c r="K1883" s="70" t="n"/>
      <c r="L1883" s="70" t="n"/>
      <c r="M1883" s="71" t="inlineStr">
        <is>
          <t>米</t>
        </is>
      </c>
      <c r="N1883" s="72" t="n">
        <v>41.36</v>
      </c>
      <c r="O1883" s="72">
        <f>ROUND(N1883*(1+$F$10),2)</f>
        <v/>
      </c>
      <c r="P1883" s="73">
        <f>ROUND(K1883*N1883,2)</f>
        <v/>
      </c>
      <c r="Q1883" s="74">
        <f>ROUND(L1883*N1883,2)</f>
        <v/>
      </c>
      <c r="R1883" s="75" t="n"/>
      <c r="S1883" s="76" t="n"/>
      <c r="T1883" s="77">
        <f>K1883-L1883</f>
        <v/>
      </c>
      <c r="U1883" s="77">
        <f>P1883-Q1883</f>
        <v/>
      </c>
      <c r="V1883" s="77">
        <f>ABS(U1883)</f>
        <v/>
      </c>
      <c r="W1883" s="78">
        <f>T1883/L1883</f>
        <v/>
      </c>
      <c r="X1883" s="79">
        <f>ABS(W1883)</f>
        <v/>
      </c>
    </row>
    <row r="1884" ht="11.4" customHeight="1">
      <c r="A1884" s="67" t="inlineStr">
        <is>
          <t>大甜63</t>
        </is>
      </c>
      <c r="B1884" s="67" t="inlineStr">
        <is>
          <t>1061</t>
        </is>
      </c>
      <c r="C1884" s="67" t="inlineStr">
        <is>
          <t>1611</t>
        </is>
      </c>
      <c r="D1884" s="68" t="inlineStr">
        <is>
          <t>03</t>
        </is>
      </c>
      <c r="E1884" s="68" t="inlineStr">
        <is>
          <t>6 物业施工费</t>
        </is>
      </c>
      <c r="F1884" s="68" t="inlineStr">
        <is>
          <t>6.1 总承包工程</t>
        </is>
      </c>
      <c r="G1884" s="68" t="inlineStr">
        <is>
          <t>6.1.1 内部装修工程</t>
        </is>
      </c>
      <c r="H1884" s="68" t="inlineStr">
        <is>
          <t>员休室地面</t>
        </is>
      </c>
      <c r="I1884" s="69" t="inlineStr">
        <is>
          <t>1000021643</t>
        </is>
      </c>
      <c r="J1884" s="69" t="inlineStr">
        <is>
          <t>国产同质砖（共荣，含不超过50mm厚的找平层）</t>
        </is>
      </c>
      <c r="K1884" s="70" t="n"/>
      <c r="L1884" s="70" t="n"/>
      <c r="M1884" s="71" t="inlineStr">
        <is>
          <t>m2</t>
        </is>
      </c>
      <c r="N1884" s="72" t="n">
        <v>160.21</v>
      </c>
      <c r="O1884" s="72">
        <f>ROUND(N1884*(1+$F$10),2)</f>
        <v/>
      </c>
      <c r="P1884" s="73">
        <f>ROUND(K1884*N1884,2)</f>
        <v/>
      </c>
      <c r="Q1884" s="74">
        <f>ROUND(L1884*N1884,2)</f>
        <v/>
      </c>
      <c r="R1884" s="75" t="n"/>
      <c r="S1884" s="76" t="n"/>
      <c r="T1884" s="77">
        <f>K1884-L1884</f>
        <v/>
      </c>
      <c r="U1884" s="77">
        <f>P1884-Q1884</f>
        <v/>
      </c>
      <c r="V1884" s="77">
        <f>ABS(U1884)</f>
        <v/>
      </c>
      <c r="W1884" s="78">
        <f>T1884/L1884</f>
        <v/>
      </c>
      <c r="X1884" s="79">
        <f>ABS(W1884)</f>
        <v/>
      </c>
    </row>
    <row r="1885" ht="11.4" customHeight="1">
      <c r="A1885" s="67" t="inlineStr">
        <is>
          <t>大甜63</t>
        </is>
      </c>
      <c r="B1885" s="67" t="inlineStr">
        <is>
          <t>1061</t>
        </is>
      </c>
      <c r="C1885" s="67" t="inlineStr">
        <is>
          <t>1611</t>
        </is>
      </c>
      <c r="D1885" s="68" t="inlineStr">
        <is>
          <t>03</t>
        </is>
      </c>
      <c r="E1885" s="68" t="inlineStr">
        <is>
          <t>6 物业施工费</t>
        </is>
      </c>
      <c r="F1885" s="68" t="inlineStr">
        <is>
          <t>6.1 总承包工程</t>
        </is>
      </c>
      <c r="G1885" s="68" t="inlineStr">
        <is>
          <t>6.1.1 内部装修工程</t>
        </is>
      </c>
      <c r="H1885" s="68" t="inlineStr">
        <is>
          <t>员休室地面</t>
        </is>
      </c>
      <c r="I1885" s="69" t="inlineStr">
        <is>
          <t>1000021644</t>
        </is>
      </c>
      <c r="J1885" s="69" t="inlineStr">
        <is>
          <t>国产同质砖踢脚（共荣）</t>
        </is>
      </c>
      <c r="K1885" s="70" t="n"/>
      <c r="L1885" s="70" t="n"/>
      <c r="M1885" s="71" t="inlineStr">
        <is>
          <t>米</t>
        </is>
      </c>
      <c r="N1885" s="72" t="n">
        <v>38.94</v>
      </c>
      <c r="O1885" s="72">
        <f>ROUND(N1885*(1+$F$10),2)</f>
        <v/>
      </c>
      <c r="P1885" s="73">
        <f>ROUND(K1885*N1885,2)</f>
        <v/>
      </c>
      <c r="Q1885" s="74">
        <f>ROUND(L1885*N1885,2)</f>
        <v/>
      </c>
      <c r="R1885" s="75" t="n"/>
      <c r="S1885" s="76" t="n"/>
      <c r="T1885" s="77">
        <f>K1885-L1885</f>
        <v/>
      </c>
      <c r="U1885" s="77">
        <f>P1885-Q1885</f>
        <v/>
      </c>
      <c r="V1885" s="77">
        <f>ABS(U1885)</f>
        <v/>
      </c>
      <c r="W1885" s="78">
        <f>T1885/L1885</f>
        <v/>
      </c>
      <c r="X1885" s="79">
        <f>ABS(W1885)</f>
        <v/>
      </c>
    </row>
    <row r="1886" ht="11.4" customHeight="1">
      <c r="A1886" s="67" t="inlineStr">
        <is>
          <t>大甜63</t>
        </is>
      </c>
      <c r="B1886" s="67" t="inlineStr">
        <is>
          <t>1061</t>
        </is>
      </c>
      <c r="C1886" s="67" t="inlineStr">
        <is>
          <t>1611</t>
        </is>
      </c>
      <c r="D1886" s="68" t="inlineStr">
        <is>
          <t>03</t>
        </is>
      </c>
      <c r="E1886" s="68" t="inlineStr">
        <is>
          <t>6 物业施工费</t>
        </is>
      </c>
      <c r="F1886" s="68" t="inlineStr">
        <is>
          <t>6.1 总承包工程</t>
        </is>
      </c>
      <c r="G1886" s="68" t="inlineStr">
        <is>
          <t>6.1.1 内部装修工程</t>
        </is>
      </c>
      <c r="H1886" s="68" t="inlineStr">
        <is>
          <t>员休室地面</t>
        </is>
      </c>
      <c r="I1886" s="69" t="inlineStr">
        <is>
          <t>1000021622</t>
        </is>
      </c>
      <c r="J1886" s="69" t="inlineStr">
        <is>
          <t>国产同质砖（冠军，含不超过50mm厚的找平层）</t>
        </is>
      </c>
      <c r="K1886" s="70" t="n"/>
      <c r="L1886" s="70" t="n"/>
      <c r="M1886" s="71" t="inlineStr">
        <is>
          <t>m2</t>
        </is>
      </c>
      <c r="N1886" s="72" t="n">
        <v>181.99</v>
      </c>
      <c r="O1886" s="72">
        <f>ROUND(N1886*(1+$F$10),2)</f>
        <v/>
      </c>
      <c r="P1886" s="73">
        <f>ROUND(K1886*N1886,2)</f>
        <v/>
      </c>
      <c r="Q1886" s="74">
        <f>ROUND(L1886*N1886,2)</f>
        <v/>
      </c>
      <c r="R1886" s="75" t="n"/>
      <c r="S1886" s="76" t="n"/>
      <c r="T1886" s="77">
        <f>K1886-L1886</f>
        <v/>
      </c>
      <c r="U1886" s="77">
        <f>P1886-Q1886</f>
        <v/>
      </c>
      <c r="V1886" s="77">
        <f>ABS(U1886)</f>
        <v/>
      </c>
      <c r="W1886" s="78">
        <f>T1886/L1886</f>
        <v/>
      </c>
      <c r="X1886" s="79">
        <f>ABS(W1886)</f>
        <v/>
      </c>
    </row>
    <row r="1887" ht="11.4" customHeight="1">
      <c r="A1887" s="67" t="inlineStr">
        <is>
          <t>大甜63</t>
        </is>
      </c>
      <c r="B1887" s="67" t="inlineStr">
        <is>
          <t>1061</t>
        </is>
      </c>
      <c r="C1887" s="67" t="inlineStr">
        <is>
          <t>1611</t>
        </is>
      </c>
      <c r="D1887" s="68" t="inlineStr">
        <is>
          <t>03</t>
        </is>
      </c>
      <c r="E1887" s="68" t="inlineStr">
        <is>
          <t>6 物业施工费</t>
        </is>
      </c>
      <c r="F1887" s="68" t="inlineStr">
        <is>
          <t>6.1 总承包工程</t>
        </is>
      </c>
      <c r="G1887" s="68" t="inlineStr">
        <is>
          <t>6.1.1 内部装修工程</t>
        </is>
      </c>
      <c r="H1887" s="68" t="inlineStr">
        <is>
          <t>员休室地面</t>
        </is>
      </c>
      <c r="I1887" s="69" t="inlineStr">
        <is>
          <t>1000021623</t>
        </is>
      </c>
      <c r="J1887" s="69" t="inlineStr">
        <is>
          <t>国产同质砖踢脚（冠军）</t>
        </is>
      </c>
      <c r="K1887" s="70" t="n"/>
      <c r="L1887" s="70" t="n"/>
      <c r="M1887" s="71" t="inlineStr">
        <is>
          <t>米</t>
        </is>
      </c>
      <c r="N1887" s="72" t="n">
        <v>42.57</v>
      </c>
      <c r="O1887" s="72">
        <f>ROUND(N1887*(1+$F$10),2)</f>
        <v/>
      </c>
      <c r="P1887" s="73">
        <f>ROUND(K1887*N1887,2)</f>
        <v/>
      </c>
      <c r="Q1887" s="74">
        <f>ROUND(L1887*N1887,2)</f>
        <v/>
      </c>
      <c r="R1887" s="75" t="n"/>
      <c r="S1887" s="76" t="n"/>
      <c r="T1887" s="77">
        <f>K1887-L1887</f>
        <v/>
      </c>
      <c r="U1887" s="77">
        <f>P1887-Q1887</f>
        <v/>
      </c>
      <c r="V1887" s="77">
        <f>ABS(U1887)</f>
        <v/>
      </c>
      <c r="W1887" s="78">
        <f>T1887/L1887</f>
        <v/>
      </c>
      <c r="X1887" s="79">
        <f>ABS(W1887)</f>
        <v/>
      </c>
    </row>
    <row r="1888" ht="11.4" customHeight="1">
      <c r="A1888" s="67" t="inlineStr">
        <is>
          <t>大甜63</t>
        </is>
      </c>
      <c r="B1888" s="67" t="inlineStr">
        <is>
          <t>1061</t>
        </is>
      </c>
      <c r="C1888" s="67" t="inlineStr">
        <is>
          <t>1611</t>
        </is>
      </c>
      <c r="D1888" s="68" t="inlineStr">
        <is>
          <t>03</t>
        </is>
      </c>
      <c r="E1888" s="68" t="inlineStr">
        <is>
          <t>6 物业施工费</t>
        </is>
      </c>
      <c r="F1888" s="68" t="inlineStr">
        <is>
          <t>6.1 总承包工程</t>
        </is>
      </c>
      <c r="G1888" s="68" t="inlineStr">
        <is>
          <t>6.1.1 内部装修工程</t>
        </is>
      </c>
      <c r="H1888" s="68" t="inlineStr">
        <is>
          <t>员休室地面</t>
        </is>
      </c>
      <c r="I1888" s="69" t="inlineStr">
        <is>
          <t>1000051755</t>
        </is>
      </c>
      <c r="J1888" s="69" t="inlineStr">
        <is>
          <t>600*600mm灰色水泥地砖（琛雄，含不超过50mm厚的找平层）</t>
        </is>
      </c>
      <c r="K1888" s="70" t="n"/>
      <c r="L1888" s="70" t="n"/>
      <c r="M1888" s="71" t="inlineStr">
        <is>
          <t>m2</t>
        </is>
      </c>
      <c r="N1888" s="72" t="n">
        <v>187.98</v>
      </c>
      <c r="O1888" s="72">
        <f>ROUND(N1888*(1+$F$10),2)</f>
        <v/>
      </c>
      <c r="P1888" s="73">
        <f>ROUND(K1888*N1888,2)</f>
        <v/>
      </c>
      <c r="Q1888" s="74">
        <f>ROUND(L1888*N1888,2)</f>
        <v/>
      </c>
      <c r="R1888" s="75" t="n"/>
      <c r="S1888" s="76" t="n"/>
      <c r="T1888" s="77">
        <f>K1888-L1888</f>
        <v/>
      </c>
      <c r="U1888" s="77">
        <f>P1888-Q1888</f>
        <v/>
      </c>
      <c r="V1888" s="77">
        <f>ABS(U1888)</f>
        <v/>
      </c>
      <c r="W1888" s="78">
        <f>T1888/L1888</f>
        <v/>
      </c>
      <c r="X1888" s="79">
        <f>ABS(W1888)</f>
        <v/>
      </c>
    </row>
    <row r="1889" ht="11.4" customHeight="1">
      <c r="A1889" s="67" t="inlineStr">
        <is>
          <t>大甜63</t>
        </is>
      </c>
      <c r="B1889" s="67" t="inlineStr">
        <is>
          <t>1061</t>
        </is>
      </c>
      <c r="C1889" s="67" t="inlineStr">
        <is>
          <t>1611</t>
        </is>
      </c>
      <c r="D1889" s="68" t="inlineStr">
        <is>
          <t>03</t>
        </is>
      </c>
      <c r="E1889" s="68" t="inlineStr">
        <is>
          <t>6 物业施工费</t>
        </is>
      </c>
      <c r="F1889" s="68" t="inlineStr">
        <is>
          <t>6.1 总承包工程</t>
        </is>
      </c>
      <c r="G1889" s="68" t="inlineStr">
        <is>
          <t>6.1.1 内部装修工程</t>
        </is>
      </c>
      <c r="H1889" s="68" t="inlineStr">
        <is>
          <t>员休室地面</t>
        </is>
      </c>
      <c r="I1889" s="69" t="inlineStr">
        <is>
          <t>1000051756</t>
        </is>
      </c>
      <c r="J1889" s="69" t="inlineStr">
        <is>
          <t>600*600mm灰色水泥地砖（共荣，含不超过50mm厚的找平层）</t>
        </is>
      </c>
      <c r="K1889" s="70" t="n"/>
      <c r="L1889" s="70" t="n"/>
      <c r="M1889" s="71" t="inlineStr">
        <is>
          <t>m2</t>
        </is>
      </c>
      <c r="N1889" s="72" t="n">
        <v>171.66</v>
      </c>
      <c r="O1889" s="72">
        <f>ROUND(N1889*(1+$F$10),2)</f>
        <v/>
      </c>
      <c r="P1889" s="73">
        <f>ROUND(K1889*N1889,2)</f>
        <v/>
      </c>
      <c r="Q1889" s="74">
        <f>ROUND(L1889*N1889,2)</f>
        <v/>
      </c>
      <c r="R1889" s="75" t="n"/>
      <c r="S1889" s="76" t="n"/>
      <c r="T1889" s="77">
        <f>K1889-L1889</f>
        <v/>
      </c>
      <c r="U1889" s="77">
        <f>P1889-Q1889</f>
        <v/>
      </c>
      <c r="V1889" s="77">
        <f>ABS(U1889)</f>
        <v/>
      </c>
      <c r="W1889" s="78">
        <f>T1889/L1889</f>
        <v/>
      </c>
      <c r="X1889" s="79">
        <f>ABS(W1889)</f>
        <v/>
      </c>
    </row>
    <row r="1890" ht="11.4" customHeight="1">
      <c r="A1890" s="67" t="inlineStr">
        <is>
          <t>大甜63</t>
        </is>
      </c>
      <c r="B1890" s="67" t="inlineStr">
        <is>
          <t>1061</t>
        </is>
      </c>
      <c r="C1890" s="67" t="inlineStr">
        <is>
          <t>1611</t>
        </is>
      </c>
      <c r="D1890" s="68" t="inlineStr">
        <is>
          <t>03</t>
        </is>
      </c>
      <c r="E1890" s="68" t="inlineStr">
        <is>
          <t>6 物业施工费</t>
        </is>
      </c>
      <c r="F1890" s="68" t="inlineStr">
        <is>
          <t>6.1 总承包工程</t>
        </is>
      </c>
      <c r="G1890" s="68" t="inlineStr">
        <is>
          <t>6.1.1 内部装修工程</t>
        </is>
      </c>
      <c r="H1890" s="68" t="inlineStr">
        <is>
          <t>员休室地面</t>
        </is>
      </c>
      <c r="I1890" s="69" t="inlineStr">
        <is>
          <t>1000051757</t>
        </is>
      </c>
      <c r="J1890" s="69" t="inlineStr">
        <is>
          <t>600*600mm灰色水泥地砖（冠军，含不超过50mm厚的找平层）</t>
        </is>
      </c>
      <c r="K1890" s="70" t="n"/>
      <c r="L1890" s="70" t="n"/>
      <c r="M1890" s="71" t="inlineStr">
        <is>
          <t>m2</t>
        </is>
      </c>
      <c r="N1890" s="72" t="n">
        <v>189.15</v>
      </c>
      <c r="O1890" s="72">
        <f>ROUND(N1890*(1+$F$10),2)</f>
        <v/>
      </c>
      <c r="P1890" s="73">
        <f>ROUND(K1890*N1890,2)</f>
        <v/>
      </c>
      <c r="Q1890" s="74">
        <f>ROUND(L1890*N1890,2)</f>
        <v/>
      </c>
      <c r="R1890" s="75" t="n"/>
      <c r="S1890" s="76" t="n"/>
      <c r="T1890" s="77">
        <f>K1890-L1890</f>
        <v/>
      </c>
      <c r="U1890" s="77">
        <f>P1890-Q1890</f>
        <v/>
      </c>
      <c r="V1890" s="77">
        <f>ABS(U1890)</f>
        <v/>
      </c>
      <c r="W1890" s="78">
        <f>T1890/L1890</f>
        <v/>
      </c>
      <c r="X1890" s="79">
        <f>ABS(W1890)</f>
        <v/>
      </c>
    </row>
    <row r="1891" ht="11.4" customHeight="1">
      <c r="A1891" s="67" t="inlineStr">
        <is>
          <t>大甜63</t>
        </is>
      </c>
      <c r="B1891" s="67" t="inlineStr">
        <is>
          <t>1061</t>
        </is>
      </c>
      <c r="C1891" s="67" t="inlineStr">
        <is>
          <t>1611</t>
        </is>
      </c>
      <c r="D1891" s="68" t="inlineStr">
        <is>
          <t>03</t>
        </is>
      </c>
      <c r="E1891" s="68" t="inlineStr">
        <is>
          <t>6 物业施工费</t>
        </is>
      </c>
      <c r="F1891" s="68" t="inlineStr">
        <is>
          <t>6.1 总承包工程</t>
        </is>
      </c>
      <c r="G1891" s="68" t="inlineStr">
        <is>
          <t>6.1.1 内部装修工程</t>
        </is>
      </c>
      <c r="H1891" s="68" t="inlineStr">
        <is>
          <t>员休室地面</t>
        </is>
      </c>
      <c r="I1891" s="69" t="inlineStr">
        <is>
          <t>1000053612</t>
        </is>
      </c>
      <c r="J1891" s="69" t="inlineStr">
        <is>
          <t>灰色水泥纹踢脚（琛雄）</t>
        </is>
      </c>
      <c r="K1891" s="70" t="n"/>
      <c r="L1891" s="70" t="n"/>
      <c r="M1891" s="71" t="inlineStr">
        <is>
          <t>米</t>
        </is>
      </c>
      <c r="N1891" s="72" t="n">
        <v>41.36</v>
      </c>
      <c r="O1891" s="72">
        <f>ROUND(N1891*(1+$F$10),2)</f>
        <v/>
      </c>
      <c r="P1891" s="73">
        <f>ROUND(K1891*N1891,2)</f>
        <v/>
      </c>
      <c r="Q1891" s="74">
        <f>ROUND(L1891*N1891,2)</f>
        <v/>
      </c>
      <c r="R1891" s="75" t="n"/>
      <c r="S1891" s="76" t="n"/>
      <c r="T1891" s="77">
        <f>K1891-L1891</f>
        <v/>
      </c>
      <c r="U1891" s="77">
        <f>P1891-Q1891</f>
        <v/>
      </c>
      <c r="V1891" s="77">
        <f>ABS(U1891)</f>
        <v/>
      </c>
      <c r="W1891" s="78">
        <f>T1891/L1891</f>
        <v/>
      </c>
      <c r="X1891" s="79">
        <f>ABS(W1891)</f>
        <v/>
      </c>
    </row>
    <row r="1892" ht="11.4" customHeight="1">
      <c r="A1892" s="67" t="inlineStr">
        <is>
          <t>大甜63</t>
        </is>
      </c>
      <c r="B1892" s="67" t="inlineStr">
        <is>
          <t>1061</t>
        </is>
      </c>
      <c r="C1892" s="67" t="inlineStr">
        <is>
          <t>1611</t>
        </is>
      </c>
      <c r="D1892" s="68" t="inlineStr">
        <is>
          <t>03</t>
        </is>
      </c>
      <c r="E1892" s="68" t="inlineStr">
        <is>
          <t>6 物业施工费</t>
        </is>
      </c>
      <c r="F1892" s="68" t="inlineStr">
        <is>
          <t>6.1 总承包工程</t>
        </is>
      </c>
      <c r="G1892" s="68" t="inlineStr">
        <is>
          <t>6.1.1 内部装修工程</t>
        </is>
      </c>
      <c r="H1892" s="68" t="inlineStr">
        <is>
          <t>员休室地面</t>
        </is>
      </c>
      <c r="I1892" s="69" t="inlineStr">
        <is>
          <t>1000053613</t>
        </is>
      </c>
      <c r="J1892" s="69" t="inlineStr">
        <is>
          <t>灰色水泥纹踢脚（共荣）</t>
        </is>
      </c>
      <c r="K1892" s="70" t="n"/>
      <c r="L1892" s="70" t="n"/>
      <c r="M1892" s="71" t="inlineStr">
        <is>
          <t>米</t>
        </is>
      </c>
      <c r="N1892" s="72" t="n">
        <v>38.94</v>
      </c>
      <c r="O1892" s="72">
        <f>ROUND(N1892*(1+$F$10),2)</f>
        <v/>
      </c>
      <c r="P1892" s="73">
        <f>ROUND(K1892*N1892,2)</f>
        <v/>
      </c>
      <c r="Q1892" s="74">
        <f>ROUND(L1892*N1892,2)</f>
        <v/>
      </c>
      <c r="R1892" s="75" t="n"/>
      <c r="S1892" s="76" t="n"/>
      <c r="T1892" s="77">
        <f>K1892-L1892</f>
        <v/>
      </c>
      <c r="U1892" s="77">
        <f>P1892-Q1892</f>
        <v/>
      </c>
      <c r="V1892" s="77">
        <f>ABS(U1892)</f>
        <v/>
      </c>
      <c r="W1892" s="78">
        <f>T1892/L1892</f>
        <v/>
      </c>
      <c r="X1892" s="79">
        <f>ABS(W1892)</f>
        <v/>
      </c>
    </row>
    <row r="1893" ht="11.4" customHeight="1">
      <c r="A1893" s="67" t="inlineStr">
        <is>
          <t>大甜63</t>
        </is>
      </c>
      <c r="B1893" s="67" t="inlineStr">
        <is>
          <t>1061</t>
        </is>
      </c>
      <c r="C1893" s="67" t="inlineStr">
        <is>
          <t>1611</t>
        </is>
      </c>
      <c r="D1893" s="68" t="inlineStr">
        <is>
          <t>03</t>
        </is>
      </c>
      <c r="E1893" s="68" t="inlineStr">
        <is>
          <t>6 物业施工费</t>
        </is>
      </c>
      <c r="F1893" s="68" t="inlineStr">
        <is>
          <t>6.1 总承包工程</t>
        </is>
      </c>
      <c r="G1893" s="68" t="inlineStr">
        <is>
          <t>6.1.1 内部装修工程</t>
        </is>
      </c>
      <c r="H1893" s="68" t="inlineStr">
        <is>
          <t>员休室地面</t>
        </is>
      </c>
      <c r="I1893" s="69" t="inlineStr">
        <is>
          <t>1000053614</t>
        </is>
      </c>
      <c r="J1893" s="69" t="inlineStr">
        <is>
          <t>灰色水泥纹踢脚（冠军）</t>
        </is>
      </c>
      <c r="K1893" s="70" t="n"/>
      <c r="L1893" s="70" t="n"/>
      <c r="M1893" s="71" t="inlineStr">
        <is>
          <t>米</t>
        </is>
      </c>
      <c r="N1893" s="72" t="n">
        <v>40.15</v>
      </c>
      <c r="O1893" s="72">
        <f>ROUND(N1893*(1+$F$10),2)</f>
        <v/>
      </c>
      <c r="P1893" s="73">
        <f>ROUND(K1893*N1893,2)</f>
        <v/>
      </c>
      <c r="Q1893" s="74">
        <f>ROUND(L1893*N1893,2)</f>
        <v/>
      </c>
      <c r="R1893" s="75" t="n"/>
      <c r="S1893" s="76" t="n"/>
      <c r="T1893" s="77">
        <f>K1893-L1893</f>
        <v/>
      </c>
      <c r="U1893" s="77">
        <f>P1893-Q1893</f>
        <v/>
      </c>
      <c r="V1893" s="77">
        <f>ABS(U1893)</f>
        <v/>
      </c>
      <c r="W1893" s="78">
        <f>T1893/L1893</f>
        <v/>
      </c>
      <c r="X1893" s="79">
        <f>ABS(W1893)</f>
        <v/>
      </c>
    </row>
    <row r="1894" ht="11.4" customHeight="1">
      <c r="A1894" s="67" t="inlineStr">
        <is>
          <t>大甜63</t>
        </is>
      </c>
      <c r="B1894" s="67" t="inlineStr">
        <is>
          <t>1061</t>
        </is>
      </c>
      <c r="C1894" s="67" t="inlineStr">
        <is>
          <t>1611</t>
        </is>
      </c>
      <c r="D1894" s="68" t="inlineStr">
        <is>
          <t>03</t>
        </is>
      </c>
      <c r="E1894" s="68" t="inlineStr">
        <is>
          <t>6 物业施工费</t>
        </is>
      </c>
      <c r="F1894" s="68" t="inlineStr">
        <is>
          <t>6.1 总承包工程</t>
        </is>
      </c>
      <c r="G1894" s="68" t="inlineStr">
        <is>
          <t>6.1.1 内部装修工程</t>
        </is>
      </c>
      <c r="H1894" s="68" t="inlineStr">
        <is>
          <t>员休室地面</t>
        </is>
      </c>
      <c r="I1894" s="69" t="inlineStr">
        <is>
          <t>1000021454</t>
        </is>
      </c>
      <c r="J1894" s="69" t="inlineStr">
        <is>
          <t>150x150mm灰色砖地面（琛雄，含不超过50mm厚的找平层）</t>
        </is>
      </c>
      <c r="K1894" s="70" t="n"/>
      <c r="L1894" s="70" t="n"/>
      <c r="M1894" s="71" t="inlineStr">
        <is>
          <t>m2</t>
        </is>
      </c>
      <c r="N1894" s="72" t="n">
        <v>203.87</v>
      </c>
      <c r="O1894" s="72">
        <f>ROUND(N1894*(1+$F$10),2)</f>
        <v/>
      </c>
      <c r="P1894" s="73">
        <f>ROUND(K1894*N1894,2)</f>
        <v/>
      </c>
      <c r="Q1894" s="74">
        <f>ROUND(L1894*N1894,2)</f>
        <v/>
      </c>
      <c r="R1894" s="75" t="n"/>
      <c r="S1894" s="76" t="n"/>
      <c r="T1894" s="77">
        <f>K1894-L1894</f>
        <v/>
      </c>
      <c r="U1894" s="77">
        <f>P1894-Q1894</f>
        <v/>
      </c>
      <c r="V1894" s="77">
        <f>ABS(U1894)</f>
        <v/>
      </c>
      <c r="W1894" s="78">
        <f>T1894/L1894</f>
        <v/>
      </c>
      <c r="X1894" s="79">
        <f>ABS(W1894)</f>
        <v/>
      </c>
    </row>
    <row r="1895" ht="11.4" customHeight="1">
      <c r="A1895" s="67" t="inlineStr">
        <is>
          <t>大甜63</t>
        </is>
      </c>
      <c r="B1895" s="67" t="inlineStr">
        <is>
          <t>1061</t>
        </is>
      </c>
      <c r="C1895" s="67" t="inlineStr">
        <is>
          <t>1611</t>
        </is>
      </c>
      <c r="D1895" s="68" t="inlineStr">
        <is>
          <t>03</t>
        </is>
      </c>
      <c r="E1895" s="68" t="inlineStr">
        <is>
          <t>6 物业施工费</t>
        </is>
      </c>
      <c r="F1895" s="68" t="inlineStr">
        <is>
          <t>6.1 总承包工程</t>
        </is>
      </c>
      <c r="G1895" s="68" t="inlineStr">
        <is>
          <t>6.1.1 内部装修工程</t>
        </is>
      </c>
      <c r="H1895" s="68" t="inlineStr">
        <is>
          <t>员休室地面</t>
        </is>
      </c>
      <c r="I1895" s="69" t="inlineStr">
        <is>
          <t>1000021455</t>
        </is>
      </c>
      <c r="J1895" s="69" t="inlineStr">
        <is>
          <t>灰色砖踢脚（琛雄，含阴阳角）</t>
        </is>
      </c>
      <c r="K1895" s="70" t="n"/>
      <c r="L1895" s="70" t="n"/>
      <c r="M1895" s="71" t="inlineStr">
        <is>
          <t>米</t>
        </is>
      </c>
      <c r="N1895" s="72" t="n">
        <v>101.27</v>
      </c>
      <c r="O1895" s="72">
        <f>ROUND(N1895*(1+$F$10),2)</f>
        <v/>
      </c>
      <c r="P1895" s="73">
        <f>ROUND(K1895*N1895,2)</f>
        <v/>
      </c>
      <c r="Q1895" s="74">
        <f>ROUND(L1895*N1895,2)</f>
        <v/>
      </c>
      <c r="R1895" s="75" t="n"/>
      <c r="S1895" s="76" t="n"/>
      <c r="T1895" s="77">
        <f>K1895-L1895</f>
        <v/>
      </c>
      <c r="U1895" s="77">
        <f>P1895-Q1895</f>
        <v/>
      </c>
      <c r="V1895" s="77">
        <f>ABS(U1895)</f>
        <v/>
      </c>
      <c r="W1895" s="78">
        <f>T1895/L1895</f>
        <v/>
      </c>
      <c r="X1895" s="79">
        <f>ABS(W1895)</f>
        <v/>
      </c>
    </row>
    <row r="1896" ht="11.4" customHeight="1">
      <c r="A1896" s="67" t="inlineStr">
        <is>
          <t>大甜63</t>
        </is>
      </c>
      <c r="B1896" s="67" t="inlineStr">
        <is>
          <t>1061</t>
        </is>
      </c>
      <c r="C1896" s="67" t="inlineStr">
        <is>
          <t>1611</t>
        </is>
      </c>
      <c r="D1896" s="68" t="inlineStr">
        <is>
          <t>03</t>
        </is>
      </c>
      <c r="E1896" s="68" t="inlineStr">
        <is>
          <t>6 物业施工费</t>
        </is>
      </c>
      <c r="F1896" s="68" t="inlineStr">
        <is>
          <t>6.1 总承包工程</t>
        </is>
      </c>
      <c r="G1896" s="68" t="inlineStr">
        <is>
          <t>6.1.1 内部装修工程</t>
        </is>
      </c>
      <c r="H1896" s="68" t="inlineStr">
        <is>
          <t>员休室地面</t>
        </is>
      </c>
      <c r="I1896" s="69" t="inlineStr">
        <is>
          <t>1000021654</t>
        </is>
      </c>
      <c r="J1896" s="69" t="inlineStr">
        <is>
          <t>150x150mm灰色砖地面（共荣，含不超过50mm厚的找平层）</t>
        </is>
      </c>
      <c r="K1896" s="70" t="n"/>
      <c r="L1896" s="70" t="n"/>
      <c r="M1896" s="71" t="inlineStr">
        <is>
          <t>m2</t>
        </is>
      </c>
      <c r="N1896" s="72" t="n">
        <v>194.19</v>
      </c>
      <c r="O1896" s="72">
        <f>ROUND(N1896*(1+$F$10),2)</f>
        <v/>
      </c>
      <c r="P1896" s="73">
        <f>ROUND(K1896*N1896,2)</f>
        <v/>
      </c>
      <c r="Q1896" s="74">
        <f>ROUND(L1896*N1896,2)</f>
        <v/>
      </c>
      <c r="R1896" s="75" t="n"/>
      <c r="S1896" s="76" t="n"/>
      <c r="T1896" s="77">
        <f>K1896-L1896</f>
        <v/>
      </c>
      <c r="U1896" s="77">
        <f>P1896-Q1896</f>
        <v/>
      </c>
      <c r="V1896" s="77">
        <f>ABS(U1896)</f>
        <v/>
      </c>
      <c r="W1896" s="78">
        <f>T1896/L1896</f>
        <v/>
      </c>
      <c r="X1896" s="79">
        <f>ABS(W1896)</f>
        <v/>
      </c>
    </row>
    <row r="1897" ht="11.4" customHeight="1">
      <c r="A1897" s="67" t="inlineStr">
        <is>
          <t>大甜63</t>
        </is>
      </c>
      <c r="B1897" s="67" t="inlineStr">
        <is>
          <t>1061</t>
        </is>
      </c>
      <c r="C1897" s="67" t="inlineStr">
        <is>
          <t>1611</t>
        </is>
      </c>
      <c r="D1897" s="68" t="inlineStr">
        <is>
          <t>03</t>
        </is>
      </c>
      <c r="E1897" s="68" t="inlineStr">
        <is>
          <t>6 物业施工费</t>
        </is>
      </c>
      <c r="F1897" s="68" t="inlineStr">
        <is>
          <t>6.1 总承包工程</t>
        </is>
      </c>
      <c r="G1897" s="68" t="inlineStr">
        <is>
          <t>6.1.1 内部装修工程</t>
        </is>
      </c>
      <c r="H1897" s="68" t="inlineStr">
        <is>
          <t>员休室地面</t>
        </is>
      </c>
      <c r="I1897" s="69" t="inlineStr">
        <is>
          <t>1000021655</t>
        </is>
      </c>
      <c r="J1897" s="69" t="inlineStr">
        <is>
          <t>灰色砖踢脚（共荣，含阴阳角）</t>
        </is>
      </c>
      <c r="K1897" s="70" t="n"/>
      <c r="L1897" s="70" t="n"/>
      <c r="M1897" s="71" t="inlineStr">
        <is>
          <t>米</t>
        </is>
      </c>
      <c r="N1897" s="72" t="n">
        <v>83.12</v>
      </c>
      <c r="O1897" s="72">
        <f>ROUND(N1897*(1+$F$10),2)</f>
        <v/>
      </c>
      <c r="P1897" s="73">
        <f>ROUND(K1897*N1897,2)</f>
        <v/>
      </c>
      <c r="Q1897" s="74">
        <f>ROUND(L1897*N1897,2)</f>
        <v/>
      </c>
      <c r="R1897" s="75" t="n"/>
      <c r="S1897" s="76" t="n"/>
      <c r="T1897" s="77">
        <f>K1897-L1897</f>
        <v/>
      </c>
      <c r="U1897" s="77">
        <f>P1897-Q1897</f>
        <v/>
      </c>
      <c r="V1897" s="77">
        <f>ABS(U1897)</f>
        <v/>
      </c>
      <c r="W1897" s="78">
        <f>T1897/L1897</f>
        <v/>
      </c>
      <c r="X1897" s="79">
        <f>ABS(W1897)</f>
        <v/>
      </c>
    </row>
    <row r="1898" ht="11.4" customHeight="1">
      <c r="A1898" s="67" t="inlineStr">
        <is>
          <t>大甜63</t>
        </is>
      </c>
      <c r="B1898" s="67" t="inlineStr">
        <is>
          <t>1061</t>
        </is>
      </c>
      <c r="C1898" s="67" t="inlineStr">
        <is>
          <t>1611</t>
        </is>
      </c>
      <c r="D1898" s="68" t="inlineStr">
        <is>
          <t>03</t>
        </is>
      </c>
      <c r="E1898" s="68" t="inlineStr">
        <is>
          <t>6 物业施工费</t>
        </is>
      </c>
      <c r="F1898" s="68" t="inlineStr">
        <is>
          <t>6.1 总承包工程</t>
        </is>
      </c>
      <c r="G1898" s="68" t="inlineStr">
        <is>
          <t>6.1.1 内部装修工程</t>
        </is>
      </c>
      <c r="H1898" s="68" t="inlineStr">
        <is>
          <t>员休室地面</t>
        </is>
      </c>
      <c r="I1898" s="69" t="inlineStr">
        <is>
          <t>1000021676</t>
        </is>
      </c>
      <c r="J1898" s="69" t="inlineStr">
        <is>
          <t>150x150mm灰色砖地面（冠军，含不超过50mm厚的找平层）</t>
        </is>
      </c>
      <c r="K1898" s="70" t="n"/>
      <c r="L1898" s="70" t="n"/>
      <c r="M1898" s="71" t="inlineStr">
        <is>
          <t>m2</t>
        </is>
      </c>
      <c r="N1898" s="72" t="n">
        <v>202.66</v>
      </c>
      <c r="O1898" s="72">
        <f>ROUND(N1898*(1+$F$10),2)</f>
        <v/>
      </c>
      <c r="P1898" s="73">
        <f>ROUND(K1898*N1898,2)</f>
        <v/>
      </c>
      <c r="Q1898" s="74">
        <f>ROUND(L1898*N1898,2)</f>
        <v/>
      </c>
      <c r="R1898" s="75" t="n"/>
      <c r="S1898" s="76" t="n"/>
      <c r="T1898" s="77">
        <f>K1898-L1898</f>
        <v/>
      </c>
      <c r="U1898" s="77">
        <f>P1898-Q1898</f>
        <v/>
      </c>
      <c r="V1898" s="77">
        <f>ABS(U1898)</f>
        <v/>
      </c>
      <c r="W1898" s="78">
        <f>T1898/L1898</f>
        <v/>
      </c>
      <c r="X1898" s="79">
        <f>ABS(W1898)</f>
        <v/>
      </c>
    </row>
    <row r="1899" ht="11.4" customHeight="1">
      <c r="A1899" s="67" t="inlineStr">
        <is>
          <t>大甜63</t>
        </is>
      </c>
      <c r="B1899" s="67" t="inlineStr">
        <is>
          <t>1061</t>
        </is>
      </c>
      <c r="C1899" s="67" t="inlineStr">
        <is>
          <t>1611</t>
        </is>
      </c>
      <c r="D1899" s="68" t="inlineStr">
        <is>
          <t>03</t>
        </is>
      </c>
      <c r="E1899" s="68" t="inlineStr">
        <is>
          <t>6 物业施工费</t>
        </is>
      </c>
      <c r="F1899" s="68" t="inlineStr">
        <is>
          <t>6.1 总承包工程</t>
        </is>
      </c>
      <c r="G1899" s="68" t="inlineStr">
        <is>
          <t>6.1.1 内部装修工程</t>
        </is>
      </c>
      <c r="H1899" s="68" t="inlineStr">
        <is>
          <t>员休室地面</t>
        </is>
      </c>
      <c r="I1899" s="69" t="inlineStr">
        <is>
          <t>1000021677</t>
        </is>
      </c>
      <c r="J1899" s="69" t="inlineStr">
        <is>
          <t>灰色砖踢脚（冠军，含阴阳角）</t>
        </is>
      </c>
      <c r="K1899" s="70" t="n"/>
      <c r="L1899" s="70" t="n"/>
      <c r="M1899" s="71" t="inlineStr">
        <is>
          <t>米</t>
        </is>
      </c>
      <c r="N1899" s="72" t="n">
        <v>101.27</v>
      </c>
      <c r="O1899" s="72">
        <f>ROUND(N1899*(1+$F$10),2)</f>
        <v/>
      </c>
      <c r="P1899" s="73">
        <f>ROUND(K1899*N1899,2)</f>
        <v/>
      </c>
      <c r="Q1899" s="74">
        <f>ROUND(L1899*N1899,2)</f>
        <v/>
      </c>
      <c r="R1899" s="75" t="n"/>
      <c r="S1899" s="76" t="n"/>
      <c r="T1899" s="77">
        <f>K1899-L1899</f>
        <v/>
      </c>
      <c r="U1899" s="77">
        <f>P1899-Q1899</f>
        <v/>
      </c>
      <c r="V1899" s="77">
        <f>ABS(U1899)</f>
        <v/>
      </c>
      <c r="W1899" s="78">
        <f>T1899/L1899</f>
        <v/>
      </c>
      <c r="X1899" s="79">
        <f>ABS(W1899)</f>
        <v/>
      </c>
    </row>
    <row r="1900" ht="11.4" customHeight="1">
      <c r="A1900" s="67" t="inlineStr">
        <is>
          <t>大甜63</t>
        </is>
      </c>
      <c r="B1900" s="67" t="inlineStr">
        <is>
          <t>1061</t>
        </is>
      </c>
      <c r="C1900" s="67" t="inlineStr">
        <is>
          <t>1611</t>
        </is>
      </c>
      <c r="D1900" s="68" t="inlineStr">
        <is>
          <t>03</t>
        </is>
      </c>
      <c r="E1900" s="68" t="inlineStr">
        <is>
          <t>6 物业施工费</t>
        </is>
      </c>
      <c r="F1900" s="68" t="inlineStr">
        <is>
          <t>6.1 总承包工程</t>
        </is>
      </c>
      <c r="G1900" s="68" t="inlineStr">
        <is>
          <t>6.1.1 内部装修工程</t>
        </is>
      </c>
      <c r="H1900" s="68" t="inlineStr">
        <is>
          <t>员休室地面</t>
        </is>
      </c>
      <c r="I1900" s="69" t="inlineStr">
        <is>
          <t>1000021666</t>
        </is>
      </c>
      <c r="J1900" s="69" t="inlineStr">
        <is>
          <t>600*600mm水磨石地砖（琛雄，含不超过50mm厚的找平层）</t>
        </is>
      </c>
      <c r="K1900" s="70" t="n"/>
      <c r="L1900" s="70" t="n"/>
      <c r="M1900" s="71" t="inlineStr">
        <is>
          <t>m2</t>
        </is>
      </c>
      <c r="N1900" s="72" t="n">
        <v>196.14</v>
      </c>
      <c r="O1900" s="72">
        <f>ROUND(N1900*(1+$F$10),2)</f>
        <v/>
      </c>
      <c r="P1900" s="73">
        <f>ROUND(K1900*N1900,2)</f>
        <v/>
      </c>
      <c r="Q1900" s="74">
        <f>ROUND(L1900*N1900,2)</f>
        <v/>
      </c>
      <c r="R1900" s="75" t="n"/>
      <c r="S1900" s="76" t="n"/>
      <c r="T1900" s="77">
        <f>K1900-L1900</f>
        <v/>
      </c>
      <c r="U1900" s="77">
        <f>P1900-Q1900</f>
        <v/>
      </c>
      <c r="V1900" s="77">
        <f>ABS(U1900)</f>
        <v/>
      </c>
      <c r="W1900" s="78">
        <f>T1900/L1900</f>
        <v/>
      </c>
      <c r="X1900" s="79">
        <f>ABS(W1900)</f>
        <v/>
      </c>
    </row>
    <row r="1901" ht="11.4" customHeight="1">
      <c r="A1901" s="67" t="inlineStr">
        <is>
          <t>大甜63</t>
        </is>
      </c>
      <c r="B1901" s="67" t="inlineStr">
        <is>
          <t>1061</t>
        </is>
      </c>
      <c r="C1901" s="67" t="inlineStr">
        <is>
          <t>1611</t>
        </is>
      </c>
      <c r="D1901" s="68" t="inlineStr">
        <is>
          <t>03</t>
        </is>
      </c>
      <c r="E1901" s="68" t="inlineStr">
        <is>
          <t>6 物业施工费</t>
        </is>
      </c>
      <c r="F1901" s="68" t="inlineStr">
        <is>
          <t>6.1 总承包工程</t>
        </is>
      </c>
      <c r="G1901" s="68" t="inlineStr">
        <is>
          <t>6.1.1 内部装修工程</t>
        </is>
      </c>
      <c r="H1901" s="68" t="inlineStr">
        <is>
          <t>员休室地面</t>
        </is>
      </c>
      <c r="I1901" s="69" t="inlineStr">
        <is>
          <t>1000021667</t>
        </is>
      </c>
      <c r="J1901" s="69" t="inlineStr">
        <is>
          <t>琛雄水磨石踢脚</t>
        </is>
      </c>
      <c r="K1901" s="70" t="n"/>
      <c r="L1901" s="70" t="n"/>
      <c r="M1901" s="71" t="inlineStr">
        <is>
          <t>米</t>
        </is>
      </c>
      <c r="N1901" s="72" t="n">
        <v>41.47</v>
      </c>
      <c r="O1901" s="72">
        <f>ROUND(N1901*(1+$F$10),2)</f>
        <v/>
      </c>
      <c r="P1901" s="73">
        <f>ROUND(K1901*N1901,2)</f>
        <v/>
      </c>
      <c r="Q1901" s="74">
        <f>ROUND(L1901*N1901,2)</f>
        <v/>
      </c>
      <c r="R1901" s="75" t="n"/>
      <c r="S1901" s="76" t="n"/>
      <c r="T1901" s="77">
        <f>K1901-L1901</f>
        <v/>
      </c>
      <c r="U1901" s="77">
        <f>P1901-Q1901</f>
        <v/>
      </c>
      <c r="V1901" s="77">
        <f>ABS(U1901)</f>
        <v/>
      </c>
      <c r="W1901" s="78">
        <f>T1901/L1901</f>
        <v/>
      </c>
      <c r="X1901" s="79">
        <f>ABS(W1901)</f>
        <v/>
      </c>
    </row>
    <row r="1902" ht="11.4" customHeight="1">
      <c r="A1902" s="67" t="inlineStr">
        <is>
          <t>大甜63</t>
        </is>
      </c>
      <c r="B1902" s="67" t="inlineStr">
        <is>
          <t>1061</t>
        </is>
      </c>
      <c r="C1902" s="67" t="inlineStr">
        <is>
          <t>1611</t>
        </is>
      </c>
      <c r="D1902" s="68" t="inlineStr">
        <is>
          <t>03</t>
        </is>
      </c>
      <c r="E1902" s="68" t="inlineStr">
        <is>
          <t>6 物业施工费</t>
        </is>
      </c>
      <c r="F1902" s="68" t="inlineStr">
        <is>
          <t>6.1 总承包工程</t>
        </is>
      </c>
      <c r="G1902" s="68" t="inlineStr">
        <is>
          <t>6.1.1 内部装修工程</t>
        </is>
      </c>
      <c r="H1902" s="68" t="inlineStr">
        <is>
          <t>员休室地面</t>
        </is>
      </c>
      <c r="I1902" s="69" t="inlineStr">
        <is>
          <t>1000021462</t>
        </is>
      </c>
      <c r="J1902" s="69" t="inlineStr">
        <is>
          <t>600*600mm水磨石地砖（共荣，含不超过50mm厚的找平层）</t>
        </is>
      </c>
      <c r="K1902" s="70" t="n"/>
      <c r="L1902" s="70" t="n"/>
      <c r="M1902" s="71" t="inlineStr">
        <is>
          <t>m2</t>
        </is>
      </c>
      <c r="N1902" s="72" t="n">
        <v>179.82</v>
      </c>
      <c r="O1902" s="72">
        <f>ROUND(N1902*(1+$F$10),2)</f>
        <v/>
      </c>
      <c r="P1902" s="73">
        <f>ROUND(K1902*N1902,2)</f>
        <v/>
      </c>
      <c r="Q1902" s="74">
        <f>ROUND(L1902*N1902,2)</f>
        <v/>
      </c>
      <c r="R1902" s="75" t="n"/>
      <c r="S1902" s="76" t="n"/>
      <c r="T1902" s="77">
        <f>K1902-L1902</f>
        <v/>
      </c>
      <c r="U1902" s="77">
        <f>P1902-Q1902</f>
        <v/>
      </c>
      <c r="V1902" s="77">
        <f>ABS(U1902)</f>
        <v/>
      </c>
      <c r="W1902" s="78">
        <f>T1902/L1902</f>
        <v/>
      </c>
      <c r="X1902" s="79">
        <f>ABS(W1902)</f>
        <v/>
      </c>
    </row>
    <row r="1903" ht="11.4" customHeight="1">
      <c r="A1903" s="67" t="inlineStr">
        <is>
          <t>大甜63</t>
        </is>
      </c>
      <c r="B1903" s="67" t="inlineStr">
        <is>
          <t>1061</t>
        </is>
      </c>
      <c r="C1903" s="67" t="inlineStr">
        <is>
          <t>1611</t>
        </is>
      </c>
      <c r="D1903" s="68" t="inlineStr">
        <is>
          <t>03</t>
        </is>
      </c>
      <c r="E1903" s="68" t="inlineStr">
        <is>
          <t>6 物业施工费</t>
        </is>
      </c>
      <c r="F1903" s="68" t="inlineStr">
        <is>
          <t>6.1 总承包工程</t>
        </is>
      </c>
      <c r="G1903" s="68" t="inlineStr">
        <is>
          <t>6.1.1 内部装修工程</t>
        </is>
      </c>
      <c r="H1903" s="68" t="inlineStr">
        <is>
          <t>员休室地面</t>
        </is>
      </c>
      <c r="I1903" s="69" t="inlineStr">
        <is>
          <t>1000021463</t>
        </is>
      </c>
      <c r="J1903" s="69" t="inlineStr">
        <is>
          <t>共荣水磨石踢脚</t>
        </is>
      </c>
      <c r="K1903" s="70" t="n"/>
      <c r="L1903" s="70" t="n"/>
      <c r="M1903" s="71" t="inlineStr">
        <is>
          <t>米</t>
        </is>
      </c>
      <c r="N1903" s="72" t="n">
        <v>37.84</v>
      </c>
      <c r="O1903" s="72">
        <f>ROUND(N1903*(1+$F$10),2)</f>
        <v/>
      </c>
      <c r="P1903" s="73">
        <f>ROUND(K1903*N1903,2)</f>
        <v/>
      </c>
      <c r="Q1903" s="74">
        <f>ROUND(L1903*N1903,2)</f>
        <v/>
      </c>
      <c r="R1903" s="75" t="n"/>
      <c r="S1903" s="76" t="n"/>
      <c r="T1903" s="77">
        <f>K1903-L1903</f>
        <v/>
      </c>
      <c r="U1903" s="77">
        <f>P1903-Q1903</f>
        <v/>
      </c>
      <c r="V1903" s="77">
        <f>ABS(U1903)</f>
        <v/>
      </c>
      <c r="W1903" s="78">
        <f>T1903/L1903</f>
        <v/>
      </c>
      <c r="X1903" s="79">
        <f>ABS(W1903)</f>
        <v/>
      </c>
    </row>
    <row r="1904" ht="11.4" customHeight="1">
      <c r="A1904" s="67" t="inlineStr">
        <is>
          <t>大甜63</t>
        </is>
      </c>
      <c r="B1904" s="67" t="inlineStr">
        <is>
          <t>1061</t>
        </is>
      </c>
      <c r="C1904" s="67" t="inlineStr">
        <is>
          <t>1611</t>
        </is>
      </c>
      <c r="D1904" s="68" t="inlineStr">
        <is>
          <t>03</t>
        </is>
      </c>
      <c r="E1904" s="68" t="inlineStr">
        <is>
          <t>6 物业施工费</t>
        </is>
      </c>
      <c r="F1904" s="68" t="inlineStr">
        <is>
          <t>6.1 总承包工程</t>
        </is>
      </c>
      <c r="G1904" s="68" t="inlineStr">
        <is>
          <t>6.1.1 内部装修工程</t>
        </is>
      </c>
      <c r="H1904" s="68" t="inlineStr">
        <is>
          <t>员休室地面</t>
        </is>
      </c>
      <c r="I1904" s="69" t="inlineStr">
        <is>
          <t>1000021668</t>
        </is>
      </c>
      <c r="J1904" s="69" t="inlineStr">
        <is>
          <t>600*600mm水磨石地砖（冠军，含不超过50mm厚的找平层）</t>
        </is>
      </c>
      <c r="K1904" s="70" t="n"/>
      <c r="L1904" s="70" t="n"/>
      <c r="M1904" s="71" t="inlineStr">
        <is>
          <t>m2</t>
        </is>
      </c>
      <c r="N1904" s="72" t="n">
        <v>193.81</v>
      </c>
      <c r="O1904" s="72">
        <f>ROUND(N1904*(1+$F$10),2)</f>
        <v/>
      </c>
      <c r="P1904" s="73">
        <f>ROUND(K1904*N1904,2)</f>
        <v/>
      </c>
      <c r="Q1904" s="74">
        <f>ROUND(L1904*N1904,2)</f>
        <v/>
      </c>
      <c r="R1904" s="75" t="n"/>
      <c r="S1904" s="76" t="n"/>
      <c r="T1904" s="77">
        <f>K1904-L1904</f>
        <v/>
      </c>
      <c r="U1904" s="77">
        <f>P1904-Q1904</f>
        <v/>
      </c>
      <c r="V1904" s="77">
        <f>ABS(U1904)</f>
        <v/>
      </c>
      <c r="W1904" s="78">
        <f>T1904/L1904</f>
        <v/>
      </c>
      <c r="X1904" s="79">
        <f>ABS(W1904)</f>
        <v/>
      </c>
    </row>
    <row r="1905" ht="11.4" customHeight="1">
      <c r="A1905" s="67" t="inlineStr">
        <is>
          <t>大甜63</t>
        </is>
      </c>
      <c r="B1905" s="67" t="inlineStr">
        <is>
          <t>1061</t>
        </is>
      </c>
      <c r="C1905" s="67" t="inlineStr">
        <is>
          <t>1611</t>
        </is>
      </c>
      <c r="D1905" s="68" t="inlineStr">
        <is>
          <t>03</t>
        </is>
      </c>
      <c r="E1905" s="68" t="inlineStr">
        <is>
          <t>6 物业施工费</t>
        </is>
      </c>
      <c r="F1905" s="68" t="inlineStr">
        <is>
          <t>6.1 总承包工程</t>
        </is>
      </c>
      <c r="G1905" s="68" t="inlineStr">
        <is>
          <t>6.1.1 内部装修工程</t>
        </is>
      </c>
      <c r="H1905" s="68" t="inlineStr">
        <is>
          <t>员休室地面</t>
        </is>
      </c>
      <c r="I1905" s="69" t="inlineStr">
        <is>
          <t>1000021669</t>
        </is>
      </c>
      <c r="J1905" s="69" t="inlineStr">
        <is>
          <t>冠军水磨石踢脚</t>
        </is>
      </c>
      <c r="K1905" s="70" t="n"/>
      <c r="L1905" s="70" t="n"/>
      <c r="M1905" s="71" t="inlineStr">
        <is>
          <t>米</t>
        </is>
      </c>
      <c r="N1905" s="72" t="n">
        <v>39.05</v>
      </c>
      <c r="O1905" s="72">
        <f>ROUND(N1905*(1+$F$10),2)</f>
        <v/>
      </c>
      <c r="P1905" s="73">
        <f>ROUND(K1905*N1905,2)</f>
        <v/>
      </c>
      <c r="Q1905" s="74">
        <f>ROUND(L1905*N1905,2)</f>
        <v/>
      </c>
      <c r="R1905" s="75" t="n"/>
      <c r="S1905" s="76" t="n"/>
      <c r="T1905" s="77">
        <f>K1905-L1905</f>
        <v/>
      </c>
      <c r="U1905" s="77">
        <f>P1905-Q1905</f>
        <v/>
      </c>
      <c r="V1905" s="77">
        <f>ABS(U1905)</f>
        <v/>
      </c>
      <c r="W1905" s="78">
        <f>T1905/L1905</f>
        <v/>
      </c>
      <c r="X1905" s="79">
        <f>ABS(W1905)</f>
        <v/>
      </c>
    </row>
    <row r="1906" ht="11.4" customHeight="1">
      <c r="A1906" s="67" t="inlineStr">
        <is>
          <t>大甜63</t>
        </is>
      </c>
      <c r="B1906" s="67" t="inlineStr">
        <is>
          <t>1061</t>
        </is>
      </c>
      <c r="C1906" s="67" t="inlineStr">
        <is>
          <t>1611</t>
        </is>
      </c>
      <c r="D1906" s="68" t="inlineStr">
        <is>
          <t>03</t>
        </is>
      </c>
      <c r="E1906" s="68" t="inlineStr">
        <is>
          <t>6 物业施工费</t>
        </is>
      </c>
      <c r="F1906" s="68" t="inlineStr">
        <is>
          <t>6.1 总承包工程</t>
        </is>
      </c>
      <c r="G1906" s="68" t="inlineStr">
        <is>
          <t>6.1.1 内部装修工程</t>
        </is>
      </c>
      <c r="H1906" s="68" t="inlineStr">
        <is>
          <t>员休室地面</t>
        </is>
      </c>
      <c r="I1906" s="69" t="inlineStr">
        <is>
          <t>1000021670</t>
        </is>
      </c>
      <c r="J1906" s="69" t="inlineStr">
        <is>
          <t>木纹砖(琛雄，含不超过50mm厚的找平层)</t>
        </is>
      </c>
      <c r="K1906" s="70" t="n"/>
      <c r="L1906" s="70" t="n"/>
      <c r="M1906" s="71" t="inlineStr">
        <is>
          <t>m2</t>
        </is>
      </c>
      <c r="N1906" s="72" t="n">
        <v>178.2</v>
      </c>
      <c r="O1906" s="72">
        <f>ROUND(N1906*(1+$F$10),2)</f>
        <v/>
      </c>
      <c r="P1906" s="73">
        <f>ROUND(K1906*N1906,2)</f>
        <v/>
      </c>
      <c r="Q1906" s="74">
        <f>ROUND(L1906*N1906,2)</f>
        <v/>
      </c>
      <c r="R1906" s="75" t="n"/>
      <c r="S1906" s="76" t="n"/>
      <c r="T1906" s="77">
        <f>K1906-L1906</f>
        <v/>
      </c>
      <c r="U1906" s="77">
        <f>P1906-Q1906</f>
        <v/>
      </c>
      <c r="V1906" s="77">
        <f>ABS(U1906)</f>
        <v/>
      </c>
      <c r="W1906" s="78">
        <f>T1906/L1906</f>
        <v/>
      </c>
      <c r="X1906" s="79">
        <f>ABS(W1906)</f>
        <v/>
      </c>
    </row>
    <row r="1907" ht="11.4" customHeight="1">
      <c r="A1907" s="67" t="inlineStr">
        <is>
          <t>大甜63</t>
        </is>
      </c>
      <c r="B1907" s="67" t="inlineStr">
        <is>
          <t>1061</t>
        </is>
      </c>
      <c r="C1907" s="67" t="inlineStr">
        <is>
          <t>1611</t>
        </is>
      </c>
      <c r="D1907" s="68" t="inlineStr">
        <is>
          <t>03</t>
        </is>
      </c>
      <c r="E1907" s="68" t="inlineStr">
        <is>
          <t>6 物业施工费</t>
        </is>
      </c>
      <c r="F1907" s="68" t="inlineStr">
        <is>
          <t>6.1 总承包工程</t>
        </is>
      </c>
      <c r="G1907" s="68" t="inlineStr">
        <is>
          <t>6.1.1 内部装修工程</t>
        </is>
      </c>
      <c r="H1907" s="68" t="inlineStr">
        <is>
          <t>员休室地面</t>
        </is>
      </c>
      <c r="I1907" s="69" t="inlineStr">
        <is>
          <t>1000021464</t>
        </is>
      </c>
      <c r="J1907" s="69" t="inlineStr">
        <is>
          <t>木纹砖（共荣，含不超过50mm厚的找平层）</t>
        </is>
      </c>
      <c r="K1907" s="70" t="n"/>
      <c r="L1907" s="70" t="n"/>
      <c r="M1907" s="71" t="inlineStr">
        <is>
          <t>m2</t>
        </is>
      </c>
      <c r="N1907" s="72" t="n">
        <v>170.67</v>
      </c>
      <c r="O1907" s="72">
        <f>ROUND(N1907*(1+$F$10),2)</f>
        <v/>
      </c>
      <c r="P1907" s="73">
        <f>ROUND(K1907*N1907,2)</f>
        <v/>
      </c>
      <c r="Q1907" s="74">
        <f>ROUND(L1907*N1907,2)</f>
        <v/>
      </c>
      <c r="R1907" s="75" t="n"/>
      <c r="S1907" s="76" t="n"/>
      <c r="T1907" s="77">
        <f>K1907-L1907</f>
        <v/>
      </c>
      <c r="U1907" s="77">
        <f>P1907-Q1907</f>
        <v/>
      </c>
      <c r="V1907" s="77">
        <f>ABS(U1907)</f>
        <v/>
      </c>
      <c r="W1907" s="78">
        <f>T1907/L1907</f>
        <v/>
      </c>
      <c r="X1907" s="79">
        <f>ABS(W1907)</f>
        <v/>
      </c>
    </row>
    <row r="1908" ht="11.4" customHeight="1">
      <c r="A1908" s="67" t="inlineStr">
        <is>
          <t>大甜63</t>
        </is>
      </c>
      <c r="B1908" s="67" t="inlineStr">
        <is>
          <t>1061</t>
        </is>
      </c>
      <c r="C1908" s="67" t="inlineStr">
        <is>
          <t>1611</t>
        </is>
      </c>
      <c r="D1908" s="68" t="inlineStr">
        <is>
          <t>03</t>
        </is>
      </c>
      <c r="E1908" s="68" t="inlineStr">
        <is>
          <t>6 物业施工费</t>
        </is>
      </c>
      <c r="F1908" s="68" t="inlineStr">
        <is>
          <t>6.1 总承包工程</t>
        </is>
      </c>
      <c r="G1908" s="68" t="inlineStr">
        <is>
          <t>6.1.1 内部装修工程</t>
        </is>
      </c>
      <c r="H1908" s="68" t="inlineStr">
        <is>
          <t>员休室地面</t>
        </is>
      </c>
      <c r="I1908" s="69" t="inlineStr">
        <is>
          <t>1000021671</t>
        </is>
      </c>
      <c r="J1908" s="69" t="inlineStr">
        <is>
          <t>木纹砖(冠军，含不超过50mm厚的找平层)</t>
        </is>
      </c>
      <c r="K1908" s="70" t="n"/>
      <c r="L1908" s="70" t="n"/>
      <c r="M1908" s="71" t="inlineStr">
        <is>
          <t>m2</t>
        </is>
      </c>
      <c r="N1908" s="72" t="n">
        <v>181.7</v>
      </c>
      <c r="O1908" s="72">
        <f>ROUND(N1908*(1+$F$10),2)</f>
        <v/>
      </c>
      <c r="P1908" s="73">
        <f>ROUND(K1908*N1908,2)</f>
        <v/>
      </c>
      <c r="Q1908" s="74">
        <f>ROUND(L1908*N1908,2)</f>
        <v/>
      </c>
      <c r="R1908" s="75" t="n"/>
      <c r="S1908" s="76" t="n"/>
      <c r="T1908" s="77">
        <f>K1908-L1908</f>
        <v/>
      </c>
      <c r="U1908" s="77">
        <f>P1908-Q1908</f>
        <v/>
      </c>
      <c r="V1908" s="77">
        <f>ABS(U1908)</f>
        <v/>
      </c>
      <c r="W1908" s="78">
        <f>T1908/L1908</f>
        <v/>
      </c>
      <c r="X1908" s="79">
        <f>ABS(W1908)</f>
        <v/>
      </c>
    </row>
    <row r="1909" ht="11.4" customHeight="1">
      <c r="A1909" s="67" t="inlineStr">
        <is>
          <t>大甜63</t>
        </is>
      </c>
      <c r="B1909" s="67" t="inlineStr">
        <is>
          <t>1061</t>
        </is>
      </c>
      <c r="C1909" s="67" t="inlineStr">
        <is>
          <t>1611</t>
        </is>
      </c>
      <c r="D1909" s="68" t="inlineStr">
        <is>
          <t>03</t>
        </is>
      </c>
      <c r="E1909" s="68" t="inlineStr">
        <is>
          <t>6 物业施工费</t>
        </is>
      </c>
      <c r="F1909" s="68" t="inlineStr">
        <is>
          <t>6.1 总承包工程</t>
        </is>
      </c>
      <c r="G1909" s="68" t="inlineStr">
        <is>
          <t>6.1.1 内部装修工程</t>
        </is>
      </c>
      <c r="H1909" s="68" t="inlineStr">
        <is>
          <t>员休室墙面</t>
        </is>
      </c>
      <c r="I1909" s="69" t="inlineStr">
        <is>
          <t>1000021773</t>
        </is>
      </c>
      <c r="J1909" s="69" t="inlineStr">
        <is>
          <t>墙面基层（木工板或硅酸钙板）</t>
        </is>
      </c>
      <c r="K1909" s="70" t="n"/>
      <c r="L1909" s="70" t="n"/>
      <c r="M1909" s="71" t="inlineStr">
        <is>
          <t>m2</t>
        </is>
      </c>
      <c r="N1909" s="72" t="n">
        <v>114.06</v>
      </c>
      <c r="O1909" s="72">
        <f>ROUND(N1909*(1+$F$10),2)</f>
        <v/>
      </c>
      <c r="P1909" s="73">
        <f>ROUND(K1909*N1909,2)</f>
        <v/>
      </c>
      <c r="Q1909" s="74">
        <f>ROUND(L1909*N1909,2)</f>
        <v/>
      </c>
      <c r="R1909" s="75" t="n"/>
      <c r="S1909" s="76" t="n"/>
      <c r="T1909" s="77">
        <f>K1909-L1909</f>
        <v/>
      </c>
      <c r="U1909" s="77">
        <f>P1909-Q1909</f>
        <v/>
      </c>
      <c r="V1909" s="77">
        <f>ABS(U1909)</f>
        <v/>
      </c>
      <c r="W1909" s="78">
        <f>T1909/L1909</f>
        <v/>
      </c>
      <c r="X1909" s="79">
        <f>ABS(W1909)</f>
        <v/>
      </c>
    </row>
    <row r="1910" ht="11.4" customHeight="1">
      <c r="A1910" s="67" t="inlineStr">
        <is>
          <t>大甜63</t>
        </is>
      </c>
      <c r="B1910" s="67" t="inlineStr">
        <is>
          <t>1061</t>
        </is>
      </c>
      <c r="C1910" s="67" t="inlineStr">
        <is>
          <t>1611</t>
        </is>
      </c>
      <c r="D1910" s="68" t="inlineStr">
        <is>
          <t>03</t>
        </is>
      </c>
      <c r="E1910" s="68" t="inlineStr">
        <is>
          <t>6 物业施工费</t>
        </is>
      </c>
      <c r="F1910" s="68" t="inlineStr">
        <is>
          <t>6.1 总承包工程</t>
        </is>
      </c>
      <c r="G1910" s="68" t="inlineStr">
        <is>
          <t>6.1.1 内部装修工程</t>
        </is>
      </c>
      <c r="H1910" s="68" t="inlineStr">
        <is>
          <t>员休室墙面</t>
        </is>
      </c>
      <c r="I1910" s="69" t="inlineStr">
        <is>
          <t>1000021465</t>
        </is>
      </c>
      <c r="J1910" s="69" t="inlineStr">
        <is>
          <t>墙面 /富美家木纹色防火板（不含基层）</t>
        </is>
      </c>
      <c r="K1910" s="70" t="n"/>
      <c r="L1910" s="70" t="n"/>
      <c r="M1910" s="71" t="inlineStr">
        <is>
          <t>m2</t>
        </is>
      </c>
      <c r="N1910" s="72" t="n">
        <v>197.83</v>
      </c>
      <c r="O1910" s="72">
        <f>ROUND(N1910*(1+$F$10),2)</f>
        <v/>
      </c>
      <c r="P1910" s="73">
        <f>ROUND(K1910*N1910,2)</f>
        <v/>
      </c>
      <c r="Q1910" s="74">
        <f>ROUND(L1910*N1910,2)</f>
        <v/>
      </c>
      <c r="R1910" s="75" t="n"/>
      <c r="S1910" s="76" t="n"/>
      <c r="T1910" s="77">
        <f>K1910-L1910</f>
        <v/>
      </c>
      <c r="U1910" s="77">
        <f>P1910-Q1910</f>
        <v/>
      </c>
      <c r="V1910" s="77">
        <f>ABS(U1910)</f>
        <v/>
      </c>
      <c r="W1910" s="78">
        <f>T1910/L1910</f>
        <v/>
      </c>
      <c r="X1910" s="79">
        <f>ABS(W1910)</f>
        <v/>
      </c>
    </row>
    <row r="1911" ht="11.4" customHeight="1">
      <c r="A1911" s="67" t="inlineStr">
        <is>
          <t>大甜63</t>
        </is>
      </c>
      <c r="B1911" s="67" t="inlineStr">
        <is>
          <t>1061</t>
        </is>
      </c>
      <c r="C1911" s="67" t="inlineStr">
        <is>
          <t>1611</t>
        </is>
      </c>
      <c r="D1911" s="68" t="inlineStr">
        <is>
          <t>03</t>
        </is>
      </c>
      <c r="E1911" s="68" t="inlineStr">
        <is>
          <t>6 物业施工费</t>
        </is>
      </c>
      <c r="F1911" s="68" t="inlineStr">
        <is>
          <t>6.1 总承包工程</t>
        </is>
      </c>
      <c r="G1911" s="68" t="inlineStr">
        <is>
          <t>6.1.1 内部装修工程</t>
        </is>
      </c>
      <c r="H1911" s="68" t="inlineStr">
        <is>
          <t>员休室墙面</t>
        </is>
      </c>
      <c r="I1911" s="69" t="inlineStr">
        <is>
          <t>1000040124</t>
        </is>
      </c>
      <c r="J1911" s="69" t="inlineStr">
        <is>
          <t>墙面 /富美家深灰色防火板（不含基层）</t>
        </is>
      </c>
      <c r="K1911" s="70" t="n"/>
      <c r="L1911" s="70" t="n"/>
      <c r="M1911" s="71" t="inlineStr">
        <is>
          <t>m2</t>
        </is>
      </c>
      <c r="N1911" s="72" t="n">
        <v>182.9</v>
      </c>
      <c r="O1911" s="72">
        <f>ROUND(N1911*(1+$F$10),2)</f>
        <v/>
      </c>
      <c r="P1911" s="73">
        <f>ROUND(K1911*N1911,2)</f>
        <v/>
      </c>
      <c r="Q1911" s="74">
        <f>ROUND(L1911*N1911,2)</f>
        <v/>
      </c>
      <c r="R1911" s="75" t="n"/>
      <c r="S1911" s="76" t="n"/>
      <c r="T1911" s="77">
        <f>K1911-L1911</f>
        <v/>
      </c>
      <c r="U1911" s="77">
        <f>P1911-Q1911</f>
        <v/>
      </c>
      <c r="V1911" s="77">
        <f>ABS(U1911)</f>
        <v/>
      </c>
      <c r="W1911" s="78">
        <f>T1911/L1911</f>
        <v/>
      </c>
      <c r="X1911" s="79">
        <f>ABS(W1911)</f>
        <v/>
      </c>
    </row>
    <row r="1912" ht="11.4" customHeight="1">
      <c r="A1912" s="67" t="inlineStr">
        <is>
          <t>大甜63</t>
        </is>
      </c>
      <c r="B1912" s="67" t="inlineStr">
        <is>
          <t>1061</t>
        </is>
      </c>
      <c r="C1912" s="67" t="inlineStr">
        <is>
          <t>1611</t>
        </is>
      </c>
      <c r="D1912" s="68" t="inlineStr">
        <is>
          <t>03</t>
        </is>
      </c>
      <c r="E1912" s="68" t="inlineStr">
        <is>
          <t>6 物业施工费</t>
        </is>
      </c>
      <c r="F1912" s="68" t="inlineStr">
        <is>
          <t>6.1 总承包工程</t>
        </is>
      </c>
      <c r="G1912" s="68" t="inlineStr">
        <is>
          <t>6.1.1 内部装修工程</t>
        </is>
      </c>
      <c r="H1912" s="68" t="inlineStr">
        <is>
          <t>员休室墙面</t>
        </is>
      </c>
      <c r="I1912" s="69" t="inlineStr">
        <is>
          <t>1000021625</t>
        </is>
      </c>
      <c r="J1912" s="69" t="inlineStr">
        <is>
          <t>墙面 /威盛亚木纹色防火板（不含基层）</t>
        </is>
      </c>
      <c r="K1912" s="70" t="n"/>
      <c r="L1912" s="70" t="n"/>
      <c r="M1912" s="71" t="inlineStr">
        <is>
          <t>m2</t>
        </is>
      </c>
      <c r="N1912" s="72" t="n">
        <v>186.66</v>
      </c>
      <c r="O1912" s="72">
        <f>ROUND(N1912*(1+$F$10),2)</f>
        <v/>
      </c>
      <c r="P1912" s="73">
        <f>ROUND(K1912*N1912,2)</f>
        <v/>
      </c>
      <c r="Q1912" s="74">
        <f>ROUND(L1912*N1912,2)</f>
        <v/>
      </c>
      <c r="R1912" s="75" t="n"/>
      <c r="S1912" s="76" t="n"/>
      <c r="T1912" s="77">
        <f>K1912-L1912</f>
        <v/>
      </c>
      <c r="U1912" s="77">
        <f>P1912-Q1912</f>
        <v/>
      </c>
      <c r="V1912" s="77">
        <f>ABS(U1912)</f>
        <v/>
      </c>
      <c r="W1912" s="78">
        <f>T1912/L1912</f>
        <v/>
      </c>
      <c r="X1912" s="79">
        <f>ABS(W1912)</f>
        <v/>
      </c>
    </row>
    <row r="1913" ht="11.4" customHeight="1">
      <c r="A1913" s="67" t="inlineStr">
        <is>
          <t>大甜63</t>
        </is>
      </c>
      <c r="B1913" s="67" t="inlineStr">
        <is>
          <t>1061</t>
        </is>
      </c>
      <c r="C1913" s="67" t="inlineStr">
        <is>
          <t>1611</t>
        </is>
      </c>
      <c r="D1913" s="68" t="inlineStr">
        <is>
          <t>03</t>
        </is>
      </c>
      <c r="E1913" s="68" t="inlineStr">
        <is>
          <t>6 物业施工费</t>
        </is>
      </c>
      <c r="F1913" s="68" t="inlineStr">
        <is>
          <t>6.1 总承包工程</t>
        </is>
      </c>
      <c r="G1913" s="68" t="inlineStr">
        <is>
          <t>6.1.1 内部装修工程</t>
        </is>
      </c>
      <c r="H1913" s="68" t="inlineStr">
        <is>
          <t>员休室墙面</t>
        </is>
      </c>
      <c r="I1913" s="69" t="inlineStr">
        <is>
          <t>1000021624</t>
        </is>
      </c>
      <c r="J1913" s="69" t="inlineStr">
        <is>
          <t>墙面 /威盛亚深灰色防火板（不含基层）</t>
        </is>
      </c>
      <c r="K1913" s="70" t="n"/>
      <c r="L1913" s="70" t="n"/>
      <c r="M1913" s="71" t="inlineStr">
        <is>
          <t>m2</t>
        </is>
      </c>
      <c r="N1913" s="72" t="n">
        <v>174.35</v>
      </c>
      <c r="O1913" s="72">
        <f>ROUND(N1913*(1+$F$10),2)</f>
        <v/>
      </c>
      <c r="P1913" s="73">
        <f>ROUND(K1913*N1913,2)</f>
        <v/>
      </c>
      <c r="Q1913" s="74">
        <f>ROUND(L1913*N1913,2)</f>
        <v/>
      </c>
      <c r="R1913" s="75" t="n"/>
      <c r="S1913" s="76" t="n"/>
      <c r="T1913" s="77">
        <f>K1913-L1913</f>
        <v/>
      </c>
      <c r="U1913" s="77">
        <f>P1913-Q1913</f>
        <v/>
      </c>
      <c r="V1913" s="77">
        <f>ABS(U1913)</f>
        <v/>
      </c>
      <c r="W1913" s="78">
        <f>T1913/L1913</f>
        <v/>
      </c>
      <c r="X1913" s="79">
        <f>ABS(W1913)</f>
        <v/>
      </c>
    </row>
    <row r="1914" ht="11.4" customHeight="1">
      <c r="A1914" s="67" t="inlineStr">
        <is>
          <t>大甜63</t>
        </is>
      </c>
      <c r="B1914" s="67" t="inlineStr">
        <is>
          <t>1061</t>
        </is>
      </c>
      <c r="C1914" s="67" t="inlineStr">
        <is>
          <t>1611</t>
        </is>
      </c>
      <c r="D1914" s="68" t="inlineStr">
        <is>
          <t>03</t>
        </is>
      </c>
      <c r="E1914" s="68" t="inlineStr">
        <is>
          <t>6 物业施工费</t>
        </is>
      </c>
      <c r="F1914" s="68" t="inlineStr">
        <is>
          <t>6.1 总承包工程</t>
        </is>
      </c>
      <c r="G1914" s="68" t="inlineStr">
        <is>
          <t>6.1.1 内部装修工程</t>
        </is>
      </c>
      <c r="H1914" s="68" t="inlineStr">
        <is>
          <t>员休室墙面</t>
        </is>
      </c>
      <c r="I1914" s="69" t="inlineStr">
        <is>
          <t>1000021774</t>
        </is>
      </c>
      <c r="J1914" s="69" t="inlineStr">
        <is>
          <t>A级防火铝型材墙板-墙面基层（方管龙骨）</t>
        </is>
      </c>
      <c r="K1914" s="70" t="n"/>
      <c r="L1914" s="70" t="n"/>
      <c r="M1914" s="71" t="inlineStr">
        <is>
          <t>m2</t>
        </is>
      </c>
      <c r="N1914" s="72" t="n">
        <v>70.84999999999999</v>
      </c>
      <c r="O1914" s="72">
        <f>ROUND(N1914*(1+$F$10),2)</f>
        <v/>
      </c>
      <c r="P1914" s="73">
        <f>ROUND(K1914*N1914,2)</f>
        <v/>
      </c>
      <c r="Q1914" s="74">
        <f>ROUND(L1914*N1914,2)</f>
        <v/>
      </c>
      <c r="R1914" s="75" t="n"/>
      <c r="S1914" s="76" t="n"/>
      <c r="T1914" s="77">
        <f>K1914-L1914</f>
        <v/>
      </c>
      <c r="U1914" s="77">
        <f>P1914-Q1914</f>
        <v/>
      </c>
      <c r="V1914" s="77">
        <f>ABS(U1914)</f>
        <v/>
      </c>
      <c r="W1914" s="78">
        <f>T1914/L1914</f>
        <v/>
      </c>
      <c r="X1914" s="79">
        <f>ABS(W1914)</f>
        <v/>
      </c>
    </row>
    <row r="1915" ht="11.4" customHeight="1">
      <c r="A1915" s="67" t="inlineStr">
        <is>
          <t>大甜63</t>
        </is>
      </c>
      <c r="B1915" s="67" t="inlineStr">
        <is>
          <t>1061</t>
        </is>
      </c>
      <c r="C1915" s="67" t="inlineStr">
        <is>
          <t>1611</t>
        </is>
      </c>
      <c r="D1915" s="68" t="inlineStr">
        <is>
          <t>03</t>
        </is>
      </c>
      <c r="E1915" s="68" t="inlineStr">
        <is>
          <t>6 物业施工费</t>
        </is>
      </c>
      <c r="F1915" s="68" t="inlineStr">
        <is>
          <t>6.1 总承包工程</t>
        </is>
      </c>
      <c r="G1915" s="68" t="inlineStr">
        <is>
          <t>6.1.1 内部装修工程</t>
        </is>
      </c>
      <c r="H1915" s="68" t="inlineStr">
        <is>
          <t>员休室墙面</t>
        </is>
      </c>
      <c r="I1915" s="69" t="inlineStr">
        <is>
          <t>1000021775</t>
        </is>
      </c>
      <c r="J1915" s="69" t="inlineStr">
        <is>
          <t>A级防火铝型材墙板-主材</t>
        </is>
      </c>
      <c r="K1915" s="70" t="n"/>
      <c r="L1915" s="70" t="n"/>
      <c r="M1915" s="71" t="inlineStr">
        <is>
          <t>m2</t>
        </is>
      </c>
      <c r="N1915" s="72" t="n">
        <v>307.56</v>
      </c>
      <c r="O1915" s="72">
        <f>ROUND(N1915*(1+$F$10),2)</f>
        <v/>
      </c>
      <c r="P1915" s="73">
        <f>ROUND(K1915*N1915,2)</f>
        <v/>
      </c>
      <c r="Q1915" s="74">
        <f>ROUND(L1915*N1915,2)</f>
        <v/>
      </c>
      <c r="R1915" s="75" t="n"/>
      <c r="S1915" s="76" t="n"/>
      <c r="T1915" s="77">
        <f>K1915-L1915</f>
        <v/>
      </c>
      <c r="U1915" s="77">
        <f>P1915-Q1915</f>
        <v/>
      </c>
      <c r="V1915" s="77">
        <f>ABS(U1915)</f>
        <v/>
      </c>
      <c r="W1915" s="78">
        <f>T1915/L1915</f>
        <v/>
      </c>
      <c r="X1915" s="79">
        <f>ABS(W1915)</f>
        <v/>
      </c>
    </row>
    <row r="1916" ht="11.4" customHeight="1">
      <c r="A1916" s="67" t="inlineStr">
        <is>
          <t>大甜63</t>
        </is>
      </c>
      <c r="B1916" s="67" t="inlineStr">
        <is>
          <t>1061</t>
        </is>
      </c>
      <c r="C1916" s="67" t="inlineStr">
        <is>
          <t>1611</t>
        </is>
      </c>
      <c r="D1916" s="68" t="inlineStr">
        <is>
          <t>03</t>
        </is>
      </c>
      <c r="E1916" s="68" t="inlineStr">
        <is>
          <t>6 物业施工费</t>
        </is>
      </c>
      <c r="F1916" s="68" t="inlineStr">
        <is>
          <t>6.1 总承包工程</t>
        </is>
      </c>
      <c r="G1916" s="68" t="inlineStr">
        <is>
          <t>6.1.1 内部装修工程</t>
        </is>
      </c>
      <c r="H1916" s="68" t="inlineStr">
        <is>
          <t>员休室墙面</t>
        </is>
      </c>
      <c r="I1916" s="69" t="inlineStr">
        <is>
          <t>1000021776</t>
        </is>
      </c>
      <c r="J1916" s="69" t="inlineStr">
        <is>
          <t>A级防火铝型材墙板--安装</t>
        </is>
      </c>
      <c r="K1916" s="70" t="n"/>
      <c r="L1916" s="70" t="n"/>
      <c r="M1916" s="71" t="inlineStr">
        <is>
          <t>m2</t>
        </is>
      </c>
      <c r="N1916" s="72" t="n">
        <v>39.59</v>
      </c>
      <c r="O1916" s="72">
        <f>ROUND(N1916*(1+$F$10),2)</f>
        <v/>
      </c>
      <c r="P1916" s="73">
        <f>ROUND(K1916*N1916,2)</f>
        <v/>
      </c>
      <c r="Q1916" s="74">
        <f>ROUND(L1916*N1916,2)</f>
        <v/>
      </c>
      <c r="R1916" s="75" t="n"/>
      <c r="S1916" s="76" t="n"/>
      <c r="T1916" s="77">
        <f>K1916-L1916</f>
        <v/>
      </c>
      <c r="U1916" s="77">
        <f>P1916-Q1916</f>
        <v/>
      </c>
      <c r="V1916" s="77">
        <f>ABS(U1916)</f>
        <v/>
      </c>
      <c r="W1916" s="78">
        <f>T1916/L1916</f>
        <v/>
      </c>
      <c r="X1916" s="79">
        <f>ABS(W1916)</f>
        <v/>
      </c>
    </row>
    <row r="1917" ht="11.4" customHeight="1">
      <c r="A1917" s="67" t="inlineStr">
        <is>
          <t>大甜63</t>
        </is>
      </c>
      <c r="B1917" s="67" t="inlineStr">
        <is>
          <t>1061</t>
        </is>
      </c>
      <c r="C1917" s="67" t="inlineStr">
        <is>
          <t>1611</t>
        </is>
      </c>
      <c r="D1917" s="68" t="inlineStr">
        <is>
          <t>03</t>
        </is>
      </c>
      <c r="E1917" s="68" t="inlineStr">
        <is>
          <t>6 物业施工费</t>
        </is>
      </c>
      <c r="F1917" s="68" t="inlineStr">
        <is>
          <t>6.1 总承包工程</t>
        </is>
      </c>
      <c r="G1917" s="68" t="inlineStr">
        <is>
          <t>6.1.1 内部装修工程</t>
        </is>
      </c>
      <c r="H1917" s="68" t="inlineStr">
        <is>
          <t>员休室墙面</t>
        </is>
      </c>
      <c r="I1917" s="69" t="inlineStr">
        <is>
          <t>1000021517</t>
        </is>
      </c>
      <c r="J1917" s="69" t="inlineStr">
        <is>
          <t>室内浅色乳胶漆（含批搪，遮盖）</t>
        </is>
      </c>
      <c r="K1917" s="70" t="n"/>
      <c r="L1917" s="70" t="n"/>
      <c r="M1917" s="71" t="inlineStr">
        <is>
          <t>m2</t>
        </is>
      </c>
      <c r="N1917" s="72" t="n">
        <v>58.39</v>
      </c>
      <c r="O1917" s="72">
        <f>ROUND(N1917*(1+$F$10),2)</f>
        <v/>
      </c>
      <c r="P1917" s="73">
        <f>ROUND(K1917*N1917,2)</f>
        <v/>
      </c>
      <c r="Q1917" s="74">
        <f>ROUND(L1917*N1917,2)</f>
        <v/>
      </c>
      <c r="R1917" s="75" t="n"/>
      <c r="S1917" s="76" t="n"/>
      <c r="T1917" s="77">
        <f>K1917-L1917</f>
        <v/>
      </c>
      <c r="U1917" s="77">
        <f>P1917-Q1917</f>
        <v/>
      </c>
      <c r="V1917" s="77">
        <f>ABS(U1917)</f>
        <v/>
      </c>
      <c r="W1917" s="78">
        <f>T1917/L1917</f>
        <v/>
      </c>
      <c r="X1917" s="79">
        <f>ABS(W1917)</f>
        <v/>
      </c>
    </row>
    <row r="1918" ht="11.4" customHeight="1">
      <c r="A1918" s="67" t="inlineStr">
        <is>
          <t>大甜63</t>
        </is>
      </c>
      <c r="B1918" s="67" t="inlineStr">
        <is>
          <t>1061</t>
        </is>
      </c>
      <c r="C1918" s="67" t="inlineStr">
        <is>
          <t>1611</t>
        </is>
      </c>
      <c r="D1918" s="68" t="inlineStr">
        <is>
          <t>03</t>
        </is>
      </c>
      <c r="E1918" s="68" t="inlineStr">
        <is>
          <t>6 物业施工费</t>
        </is>
      </c>
      <c r="F1918" s="68" t="inlineStr">
        <is>
          <t>6.1 总承包工程</t>
        </is>
      </c>
      <c r="G1918" s="68" t="inlineStr">
        <is>
          <t>6.1.1 内部装修工程</t>
        </is>
      </c>
      <c r="H1918" s="68" t="inlineStr">
        <is>
          <t>员休室墙面</t>
        </is>
      </c>
      <c r="I1918" s="69" t="inlineStr">
        <is>
          <t>1000021468</t>
        </is>
      </c>
      <c r="J1918" s="69" t="inlineStr">
        <is>
          <t>墙面PMC墙板（琛雄，薄贴法，B1级）</t>
        </is>
      </c>
      <c r="K1918" s="70" t="n"/>
      <c r="L1918" s="70" t="n"/>
      <c r="M1918" s="71" t="inlineStr">
        <is>
          <t>m2</t>
        </is>
      </c>
      <c r="N1918" s="72" t="n">
        <v>203.22</v>
      </c>
      <c r="O1918" s="72">
        <f>ROUND(N1918*(1+$F$10),2)</f>
        <v/>
      </c>
      <c r="P1918" s="73">
        <f>ROUND(K1918*N1918,2)</f>
        <v/>
      </c>
      <c r="Q1918" s="74">
        <f>ROUND(L1918*N1918,2)</f>
        <v/>
      </c>
      <c r="R1918" s="75" t="n"/>
      <c r="S1918" s="76" t="n"/>
      <c r="T1918" s="77">
        <f>K1918-L1918</f>
        <v/>
      </c>
      <c r="U1918" s="77">
        <f>P1918-Q1918</f>
        <v/>
      </c>
      <c r="V1918" s="77">
        <f>ABS(U1918)</f>
        <v/>
      </c>
      <c r="W1918" s="78">
        <f>T1918/L1918</f>
        <v/>
      </c>
      <c r="X1918" s="79">
        <f>ABS(W1918)</f>
        <v/>
      </c>
    </row>
    <row r="1919" ht="11.4" customHeight="1">
      <c r="A1919" s="67" t="inlineStr">
        <is>
          <t>大甜63</t>
        </is>
      </c>
      <c r="B1919" s="67" t="inlineStr">
        <is>
          <t>1061</t>
        </is>
      </c>
      <c r="C1919" s="67" t="inlineStr">
        <is>
          <t>1611</t>
        </is>
      </c>
      <c r="D1919" s="68" t="inlineStr">
        <is>
          <t>03</t>
        </is>
      </c>
      <c r="E1919" s="68" t="inlineStr">
        <is>
          <t>6 物业施工费</t>
        </is>
      </c>
      <c r="F1919" s="68" t="inlineStr">
        <is>
          <t>6.1 总承包工程</t>
        </is>
      </c>
      <c r="G1919" s="68" t="inlineStr">
        <is>
          <t>6.1.1 内部装修工程</t>
        </is>
      </c>
      <c r="H1919" s="68" t="inlineStr">
        <is>
          <t>员休室墙面</t>
        </is>
      </c>
      <c r="I1919" s="69" t="inlineStr">
        <is>
          <t>1000021469</t>
        </is>
      </c>
      <c r="J1919" s="69" t="inlineStr">
        <is>
          <t>墙面PMC墙板（琛雄，点龙骨施工，B1级）</t>
        </is>
      </c>
      <c r="K1919" s="70" t="n"/>
      <c r="L1919" s="70" t="n"/>
      <c r="M1919" s="71" t="inlineStr">
        <is>
          <t>m2</t>
        </is>
      </c>
      <c r="N1919" s="72" t="n">
        <v>268.9</v>
      </c>
      <c r="O1919" s="72">
        <f>ROUND(N1919*(1+$F$10),2)</f>
        <v/>
      </c>
      <c r="P1919" s="73">
        <f>ROUND(K1919*N1919,2)</f>
        <v/>
      </c>
      <c r="Q1919" s="74">
        <f>ROUND(L1919*N1919,2)</f>
        <v/>
      </c>
      <c r="R1919" s="75" t="n"/>
      <c r="S1919" s="76" t="n"/>
      <c r="T1919" s="77">
        <f>K1919-L1919</f>
        <v/>
      </c>
      <c r="U1919" s="77">
        <f>P1919-Q1919</f>
        <v/>
      </c>
      <c r="V1919" s="77">
        <f>ABS(U1919)</f>
        <v/>
      </c>
      <c r="W1919" s="78">
        <f>T1919/L1919</f>
        <v/>
      </c>
      <c r="X1919" s="79">
        <f>ABS(W1919)</f>
        <v/>
      </c>
    </row>
    <row r="1920" ht="11.4" customHeight="1">
      <c r="A1920" s="67" t="inlineStr">
        <is>
          <t>大甜63</t>
        </is>
      </c>
      <c r="B1920" s="67" t="inlineStr">
        <is>
          <t>1061</t>
        </is>
      </c>
      <c r="C1920" s="67" t="inlineStr">
        <is>
          <t>1611</t>
        </is>
      </c>
      <c r="D1920" s="68" t="inlineStr">
        <is>
          <t>03</t>
        </is>
      </c>
      <c r="E1920" s="68" t="inlineStr">
        <is>
          <t>6 物业施工费</t>
        </is>
      </c>
      <c r="F1920" s="68" t="inlineStr">
        <is>
          <t>6.1 总承包工程</t>
        </is>
      </c>
      <c r="G1920" s="68" t="inlineStr">
        <is>
          <t>6.1.1 内部装修工程</t>
        </is>
      </c>
      <c r="H1920" s="68" t="inlineStr">
        <is>
          <t>员休室墙面</t>
        </is>
      </c>
      <c r="I1920" s="69" t="inlineStr">
        <is>
          <t>1000021777</t>
        </is>
      </c>
      <c r="J1920" s="69" t="inlineStr">
        <is>
          <t>墙面抹平压光</t>
        </is>
      </c>
      <c r="K1920" s="70" t="n"/>
      <c r="L1920" s="70" t="n"/>
      <c r="M1920" s="71" t="inlineStr">
        <is>
          <t>m2</t>
        </is>
      </c>
      <c r="N1920" s="72" t="n">
        <v>17.39</v>
      </c>
      <c r="O1920" s="72">
        <f>ROUND(N1920*(1+$F$10),2)</f>
        <v/>
      </c>
      <c r="P1920" s="73">
        <f>ROUND(K1920*N1920,2)</f>
        <v/>
      </c>
      <c r="Q1920" s="74">
        <f>ROUND(L1920*N1920,2)</f>
        <v/>
      </c>
      <c r="R1920" s="75" t="n"/>
      <c r="S1920" s="76" t="n"/>
      <c r="T1920" s="77">
        <f>K1920-L1920</f>
        <v/>
      </c>
      <c r="U1920" s="77">
        <f>P1920-Q1920</f>
        <v/>
      </c>
      <c r="V1920" s="77">
        <f>ABS(U1920)</f>
        <v/>
      </c>
      <c r="W1920" s="78">
        <f>T1920/L1920</f>
        <v/>
      </c>
      <c r="X1920" s="79">
        <f>ABS(W1920)</f>
        <v/>
      </c>
    </row>
    <row r="1921" ht="11.4" customHeight="1">
      <c r="A1921" s="67" t="inlineStr">
        <is>
          <t>大甜63</t>
        </is>
      </c>
      <c r="B1921" s="67" t="inlineStr">
        <is>
          <t>1061</t>
        </is>
      </c>
      <c r="C1921" s="67" t="inlineStr">
        <is>
          <t>1611</t>
        </is>
      </c>
      <c r="D1921" s="68" t="inlineStr">
        <is>
          <t>03</t>
        </is>
      </c>
      <c r="E1921" s="68" t="inlineStr">
        <is>
          <t>6 物业施工费</t>
        </is>
      </c>
      <c r="F1921" s="68" t="inlineStr">
        <is>
          <t>6.1 总承包工程</t>
        </is>
      </c>
      <c r="G1921" s="68" t="inlineStr">
        <is>
          <t>6.1.1 内部装修工程</t>
        </is>
      </c>
      <c r="H1921" s="68" t="inlineStr">
        <is>
          <t>员休室墙面</t>
        </is>
      </c>
      <c r="I1921" s="69" t="inlineStr">
        <is>
          <t>1000021713</t>
        </is>
      </c>
      <c r="J1921" s="69" t="inlineStr">
        <is>
          <t>墙面多彩板（琛雄，仿涂料效果，B1级）</t>
        </is>
      </c>
      <c r="K1921" s="70" t="n"/>
      <c r="L1921" s="70" t="n"/>
      <c r="M1921" s="71" t="inlineStr">
        <is>
          <t>m2</t>
        </is>
      </c>
      <c r="N1921" s="72" t="n">
        <v>266.78</v>
      </c>
      <c r="O1921" s="72">
        <f>ROUND(N1921*(1+$F$10),2)</f>
        <v/>
      </c>
      <c r="P1921" s="73">
        <f>ROUND(K1921*N1921,2)</f>
        <v/>
      </c>
      <c r="Q1921" s="74">
        <f>ROUND(L1921*N1921,2)</f>
        <v/>
      </c>
      <c r="R1921" s="75" t="n"/>
      <c r="S1921" s="76" t="n"/>
      <c r="T1921" s="77">
        <f>K1921-L1921</f>
        <v/>
      </c>
      <c r="U1921" s="77">
        <f>P1921-Q1921</f>
        <v/>
      </c>
      <c r="V1921" s="77">
        <f>ABS(U1921)</f>
        <v/>
      </c>
      <c r="W1921" s="78">
        <f>T1921/L1921</f>
        <v/>
      </c>
      <c r="X1921" s="79">
        <f>ABS(W1921)</f>
        <v/>
      </c>
    </row>
    <row r="1922" ht="11.4" customHeight="1">
      <c r="A1922" s="67" t="inlineStr">
        <is>
          <t>大甜63</t>
        </is>
      </c>
      <c r="B1922" s="67" t="inlineStr">
        <is>
          <t>1061</t>
        </is>
      </c>
      <c r="C1922" s="67" t="inlineStr">
        <is>
          <t>1611</t>
        </is>
      </c>
      <c r="D1922" s="68" t="inlineStr">
        <is>
          <t>03</t>
        </is>
      </c>
      <c r="E1922" s="68" t="inlineStr">
        <is>
          <t>6 物业施工费</t>
        </is>
      </c>
      <c r="F1922" s="68" t="inlineStr">
        <is>
          <t>6.1 总承包工程</t>
        </is>
      </c>
      <c r="G1922" s="68" t="inlineStr">
        <is>
          <t>6.1.1 内部装修工程</t>
        </is>
      </c>
      <c r="H1922" s="68" t="inlineStr">
        <is>
          <t>员休室墙面</t>
        </is>
      </c>
      <c r="I1922" s="69" t="inlineStr">
        <is>
          <t>1000021714</t>
        </is>
      </c>
      <c r="J1922" s="69" t="inlineStr">
        <is>
          <t>墙面多彩板（琛雄，仿木纹效果，含收边条，B1级）</t>
        </is>
      </c>
      <c r="K1922" s="70" t="n"/>
      <c r="L1922" s="70" t="n"/>
      <c r="M1922" s="71" t="inlineStr">
        <is>
          <t>m2</t>
        </is>
      </c>
      <c r="N1922" s="72" t="n">
        <v>288.72</v>
      </c>
      <c r="O1922" s="72">
        <f>ROUND(N1922*(1+$F$10),2)</f>
        <v/>
      </c>
      <c r="P1922" s="73">
        <f>ROUND(K1922*N1922,2)</f>
        <v/>
      </c>
      <c r="Q1922" s="74">
        <f>ROUND(L1922*N1922,2)</f>
        <v/>
      </c>
      <c r="R1922" s="75" t="n"/>
      <c r="S1922" s="76" t="n"/>
      <c r="T1922" s="77">
        <f>K1922-L1922</f>
        <v/>
      </c>
      <c r="U1922" s="77">
        <f>P1922-Q1922</f>
        <v/>
      </c>
      <c r="V1922" s="77">
        <f>ABS(U1922)</f>
        <v/>
      </c>
      <c r="W1922" s="78">
        <f>T1922/L1922</f>
        <v/>
      </c>
      <c r="X1922" s="79">
        <f>ABS(W1922)</f>
        <v/>
      </c>
    </row>
    <row r="1923" ht="11.4" customHeight="1">
      <c r="A1923" s="67" t="inlineStr">
        <is>
          <t>大甜63</t>
        </is>
      </c>
      <c r="B1923" s="67" t="inlineStr">
        <is>
          <t>1061</t>
        </is>
      </c>
      <c r="C1923" s="67" t="inlineStr">
        <is>
          <t>1611</t>
        </is>
      </c>
      <c r="D1923" s="68" t="inlineStr">
        <is>
          <t>03</t>
        </is>
      </c>
      <c r="E1923" s="68" t="inlineStr">
        <is>
          <t>6 物业施工费</t>
        </is>
      </c>
      <c r="F1923" s="68" t="inlineStr">
        <is>
          <t>6.1 总承包工程</t>
        </is>
      </c>
      <c r="G1923" s="68" t="inlineStr">
        <is>
          <t>6.1.1 内部装修工程</t>
        </is>
      </c>
      <c r="H1923" s="68" t="inlineStr">
        <is>
          <t>员休室墙面</t>
        </is>
      </c>
      <c r="I1923" s="69" t="inlineStr">
        <is>
          <t>1000041864</t>
        </is>
      </c>
      <c r="J1923" s="69" t="inlineStr">
        <is>
          <t>墙面多彩板（大生，仿涂料效果，B1级）</t>
        </is>
      </c>
      <c r="K1923" s="70" t="n"/>
      <c r="L1923" s="70" t="n"/>
      <c r="M1923" s="71" t="inlineStr">
        <is>
          <t>m2</t>
        </is>
      </c>
      <c r="N1923" s="72" t="n">
        <v>267.97</v>
      </c>
      <c r="O1923" s="72">
        <f>ROUND(N1923*(1+$F$10),2)</f>
        <v/>
      </c>
      <c r="P1923" s="73">
        <f>ROUND(K1923*N1923,2)</f>
        <v/>
      </c>
      <c r="Q1923" s="74">
        <f>ROUND(L1923*N1923,2)</f>
        <v/>
      </c>
      <c r="R1923" s="75" t="n"/>
      <c r="S1923" s="76" t="n"/>
      <c r="T1923" s="77">
        <f>K1923-L1923</f>
        <v/>
      </c>
      <c r="U1923" s="77">
        <f>P1923-Q1923</f>
        <v/>
      </c>
      <c r="V1923" s="77">
        <f>ABS(U1923)</f>
        <v/>
      </c>
      <c r="W1923" s="78">
        <f>T1923/L1923</f>
        <v/>
      </c>
      <c r="X1923" s="79">
        <f>ABS(W1923)</f>
        <v/>
      </c>
    </row>
    <row r="1924" ht="11.4" customHeight="1">
      <c r="A1924" s="67" t="inlineStr">
        <is>
          <t>大甜63</t>
        </is>
      </c>
      <c r="B1924" s="67" t="inlineStr">
        <is>
          <t>1061</t>
        </is>
      </c>
      <c r="C1924" s="67" t="inlineStr">
        <is>
          <t>1611</t>
        </is>
      </c>
      <c r="D1924" s="68" t="inlineStr">
        <is>
          <t>03</t>
        </is>
      </c>
      <c r="E1924" s="68" t="inlineStr">
        <is>
          <t>6 物业施工费</t>
        </is>
      </c>
      <c r="F1924" s="68" t="inlineStr">
        <is>
          <t>6.1 总承包工程</t>
        </is>
      </c>
      <c r="G1924" s="68" t="inlineStr">
        <is>
          <t>6.1.1 内部装修工程</t>
        </is>
      </c>
      <c r="H1924" s="68" t="inlineStr">
        <is>
          <t>员休室墙面</t>
        </is>
      </c>
      <c r="I1924" s="69" t="inlineStr">
        <is>
          <t>1000041862</t>
        </is>
      </c>
      <c r="J1924" s="69" t="inlineStr">
        <is>
          <t>墙面多彩板（大生，仿木纹效果，含收边条，B1级）</t>
        </is>
      </c>
      <c r="K1924" s="70" t="n"/>
      <c r="L1924" s="70" t="n"/>
      <c r="M1924" s="71" t="inlineStr">
        <is>
          <t>m2</t>
        </is>
      </c>
      <c r="N1924" s="72" t="n">
        <v>288.72</v>
      </c>
      <c r="O1924" s="72">
        <f>ROUND(N1924*(1+$F$10),2)</f>
        <v/>
      </c>
      <c r="P1924" s="73">
        <f>ROUND(K1924*N1924,2)</f>
        <v/>
      </c>
      <c r="Q1924" s="74">
        <f>ROUND(L1924*N1924,2)</f>
        <v/>
      </c>
      <c r="R1924" s="75" t="n"/>
      <c r="S1924" s="76" t="n"/>
      <c r="T1924" s="77">
        <f>K1924-L1924</f>
        <v/>
      </c>
      <c r="U1924" s="77">
        <f>P1924-Q1924</f>
        <v/>
      </c>
      <c r="V1924" s="77">
        <f>ABS(U1924)</f>
        <v/>
      </c>
      <c r="W1924" s="78">
        <f>T1924/L1924</f>
        <v/>
      </c>
      <c r="X1924" s="79">
        <f>ABS(W1924)</f>
        <v/>
      </c>
    </row>
    <row r="1925" ht="11.4" customHeight="1">
      <c r="A1925" s="67" t="inlineStr">
        <is>
          <t>大甜63</t>
        </is>
      </c>
      <c r="B1925" s="67" t="inlineStr">
        <is>
          <t>1061</t>
        </is>
      </c>
      <c r="C1925" s="67" t="inlineStr">
        <is>
          <t>1611</t>
        </is>
      </c>
      <c r="D1925" s="68" t="inlineStr">
        <is>
          <t>03</t>
        </is>
      </c>
      <c r="E1925" s="68" t="inlineStr">
        <is>
          <t>6 物业施工费</t>
        </is>
      </c>
      <c r="F1925" s="68" t="inlineStr">
        <is>
          <t>6.1 总承包工程</t>
        </is>
      </c>
      <c r="G1925" s="68" t="inlineStr">
        <is>
          <t>6.1.1 内部装修工程</t>
        </is>
      </c>
      <c r="H1925" s="68" t="inlineStr">
        <is>
          <t>员休室墙面</t>
        </is>
      </c>
      <c r="I1925" s="69" t="inlineStr">
        <is>
          <t>1000041870</t>
        </is>
      </c>
      <c r="J1925" s="69" t="inlineStr">
        <is>
          <t>墙面多彩板（共荣，仿涂料效果，B1级）</t>
        </is>
      </c>
      <c r="K1925" s="70" t="n"/>
      <c r="L1925" s="70" t="n"/>
      <c r="M1925" s="71" t="inlineStr">
        <is>
          <t>m2</t>
        </is>
      </c>
      <c r="N1925" s="72" t="n">
        <v>250.15</v>
      </c>
      <c r="O1925" s="72">
        <f>ROUND(N1925*(1+$F$10),2)</f>
        <v/>
      </c>
      <c r="P1925" s="73">
        <f>ROUND(K1925*N1925,2)</f>
        <v/>
      </c>
      <c r="Q1925" s="74">
        <f>ROUND(L1925*N1925,2)</f>
        <v/>
      </c>
      <c r="R1925" s="75" t="n"/>
      <c r="S1925" s="76" t="n"/>
      <c r="T1925" s="77">
        <f>K1925-L1925</f>
        <v/>
      </c>
      <c r="U1925" s="77">
        <f>P1925-Q1925</f>
        <v/>
      </c>
      <c r="V1925" s="77">
        <f>ABS(U1925)</f>
        <v/>
      </c>
      <c r="W1925" s="78">
        <f>T1925/L1925</f>
        <v/>
      </c>
      <c r="X1925" s="79">
        <f>ABS(W1925)</f>
        <v/>
      </c>
    </row>
    <row r="1926" ht="11.4" customHeight="1">
      <c r="A1926" s="67" t="inlineStr">
        <is>
          <t>大甜63</t>
        </is>
      </c>
      <c r="B1926" s="67" t="inlineStr">
        <is>
          <t>1061</t>
        </is>
      </c>
      <c r="C1926" s="67" t="inlineStr">
        <is>
          <t>1611</t>
        </is>
      </c>
      <c r="D1926" s="68" t="inlineStr">
        <is>
          <t>03</t>
        </is>
      </c>
      <c r="E1926" s="68" t="inlineStr">
        <is>
          <t>6 物业施工费</t>
        </is>
      </c>
      <c r="F1926" s="68" t="inlineStr">
        <is>
          <t>6.1 总承包工程</t>
        </is>
      </c>
      <c r="G1926" s="68" t="inlineStr">
        <is>
          <t>6.1.1 内部装修工程</t>
        </is>
      </c>
      <c r="H1926" s="68" t="inlineStr">
        <is>
          <t>员休室墙面</t>
        </is>
      </c>
      <c r="I1926" s="69" t="inlineStr">
        <is>
          <t>1000041868</t>
        </is>
      </c>
      <c r="J1926" s="69" t="inlineStr">
        <is>
          <t>墙面多彩板（共荣，仿木纹效果，含收边条，B1级）</t>
        </is>
      </c>
      <c r="K1926" s="70" t="n"/>
      <c r="L1926" s="70" t="n"/>
      <c r="M1926" s="71" t="inlineStr">
        <is>
          <t>m2</t>
        </is>
      </c>
      <c r="N1926" s="72" t="n">
        <v>270.9</v>
      </c>
      <c r="O1926" s="72">
        <f>ROUND(N1926*(1+$F$10),2)</f>
        <v/>
      </c>
      <c r="P1926" s="73">
        <f>ROUND(K1926*N1926,2)</f>
        <v/>
      </c>
      <c r="Q1926" s="74">
        <f>ROUND(L1926*N1926,2)</f>
        <v/>
      </c>
      <c r="R1926" s="75" t="n"/>
      <c r="S1926" s="76" t="n"/>
      <c r="T1926" s="77">
        <f>K1926-L1926</f>
        <v/>
      </c>
      <c r="U1926" s="77">
        <f>P1926-Q1926</f>
        <v/>
      </c>
      <c r="V1926" s="77">
        <f>ABS(U1926)</f>
        <v/>
      </c>
      <c r="W1926" s="78">
        <f>T1926/L1926</f>
        <v/>
      </c>
      <c r="X1926" s="79">
        <f>ABS(W1926)</f>
        <v/>
      </c>
    </row>
    <row r="1927" ht="11.4" customHeight="1">
      <c r="A1927" s="67" t="inlineStr">
        <is>
          <t>大甜63</t>
        </is>
      </c>
      <c r="B1927" s="67" t="inlineStr">
        <is>
          <t>1061</t>
        </is>
      </c>
      <c r="C1927" s="67" t="inlineStr">
        <is>
          <t>1611</t>
        </is>
      </c>
      <c r="D1927" s="68" t="inlineStr">
        <is>
          <t>03</t>
        </is>
      </c>
      <c r="E1927" s="68" t="inlineStr">
        <is>
          <t>6 物业施工费</t>
        </is>
      </c>
      <c r="F1927" s="68" t="inlineStr">
        <is>
          <t>6.1 总承包工程</t>
        </is>
      </c>
      <c r="G1927" s="68" t="inlineStr">
        <is>
          <t>6.1.1 内部装修工程</t>
        </is>
      </c>
      <c r="H1927" s="68" t="inlineStr">
        <is>
          <t>员休室墙面</t>
        </is>
      </c>
      <c r="I1927" s="69" t="inlineStr">
        <is>
          <t>1000041866</t>
        </is>
      </c>
      <c r="J1927" s="69" t="inlineStr">
        <is>
          <t>墙面多彩板（琛雄，仿涂料效果，A级）</t>
        </is>
      </c>
      <c r="K1927" s="70" t="n"/>
      <c r="L1927" s="70" t="n"/>
      <c r="M1927" s="71" t="inlineStr">
        <is>
          <t>m2</t>
        </is>
      </c>
      <c r="N1927" s="72" t="n">
        <v>385.58</v>
      </c>
      <c r="O1927" s="72">
        <f>ROUND(N1927*(1+$F$10),2)</f>
        <v/>
      </c>
      <c r="P1927" s="73">
        <f>ROUND(K1927*N1927,2)</f>
        <v/>
      </c>
      <c r="Q1927" s="74">
        <f>ROUND(L1927*N1927,2)</f>
        <v/>
      </c>
      <c r="R1927" s="75" t="n"/>
      <c r="S1927" s="76" t="n"/>
      <c r="T1927" s="77">
        <f>K1927-L1927</f>
        <v/>
      </c>
      <c r="U1927" s="77">
        <f>P1927-Q1927</f>
        <v/>
      </c>
      <c r="V1927" s="77">
        <f>ABS(U1927)</f>
        <v/>
      </c>
      <c r="W1927" s="78">
        <f>T1927/L1927</f>
        <v/>
      </c>
      <c r="X1927" s="79">
        <f>ABS(W1927)</f>
        <v/>
      </c>
    </row>
    <row r="1928" ht="11.4" customHeight="1">
      <c r="A1928" s="67" t="inlineStr">
        <is>
          <t>大甜63</t>
        </is>
      </c>
      <c r="B1928" s="67" t="inlineStr">
        <is>
          <t>1061</t>
        </is>
      </c>
      <c r="C1928" s="67" t="inlineStr">
        <is>
          <t>1611</t>
        </is>
      </c>
      <c r="D1928" s="68" t="inlineStr">
        <is>
          <t>03</t>
        </is>
      </c>
      <c r="E1928" s="68" t="inlineStr">
        <is>
          <t>6 物业施工费</t>
        </is>
      </c>
      <c r="F1928" s="68" t="inlineStr">
        <is>
          <t>6.1 总承包工程</t>
        </is>
      </c>
      <c r="G1928" s="68" t="inlineStr">
        <is>
          <t>6.1.1 内部装修工程</t>
        </is>
      </c>
      <c r="H1928" s="68" t="inlineStr">
        <is>
          <t>员休室墙面</t>
        </is>
      </c>
      <c r="I1928" s="69" t="inlineStr">
        <is>
          <t>1000041865</t>
        </is>
      </c>
      <c r="J1928" s="69" t="inlineStr">
        <is>
          <t>墙面多彩板（琛雄，仿木纹效果，含收边条，A级）</t>
        </is>
      </c>
      <c r="K1928" s="70" t="n"/>
      <c r="L1928" s="70" t="n"/>
      <c r="M1928" s="71" t="inlineStr">
        <is>
          <t>m2</t>
        </is>
      </c>
      <c r="N1928" s="72" t="n">
        <v>406.33</v>
      </c>
      <c r="O1928" s="72">
        <f>ROUND(N1928*(1+$F$10),2)</f>
        <v/>
      </c>
      <c r="P1928" s="73">
        <f>ROUND(K1928*N1928,2)</f>
        <v/>
      </c>
      <c r="Q1928" s="74">
        <f>ROUND(L1928*N1928,2)</f>
        <v/>
      </c>
      <c r="R1928" s="75" t="n"/>
      <c r="S1928" s="76" t="n"/>
      <c r="T1928" s="77">
        <f>K1928-L1928</f>
        <v/>
      </c>
      <c r="U1928" s="77">
        <f>P1928-Q1928</f>
        <v/>
      </c>
      <c r="V1928" s="77">
        <f>ABS(U1928)</f>
        <v/>
      </c>
      <c r="W1928" s="78">
        <f>T1928/L1928</f>
        <v/>
      </c>
      <c r="X1928" s="79">
        <f>ABS(W1928)</f>
        <v/>
      </c>
    </row>
    <row r="1929" ht="11.4" customHeight="1">
      <c r="A1929" s="67" t="inlineStr">
        <is>
          <t>大甜63</t>
        </is>
      </c>
      <c r="B1929" s="67" t="inlineStr">
        <is>
          <t>1061</t>
        </is>
      </c>
      <c r="C1929" s="67" t="inlineStr">
        <is>
          <t>1611</t>
        </is>
      </c>
      <c r="D1929" s="68" t="inlineStr">
        <is>
          <t>03</t>
        </is>
      </c>
      <c r="E1929" s="68" t="inlineStr">
        <is>
          <t>6 物业施工费</t>
        </is>
      </c>
      <c r="F1929" s="68" t="inlineStr">
        <is>
          <t>6.1 总承包工程</t>
        </is>
      </c>
      <c r="G1929" s="68" t="inlineStr">
        <is>
          <t>6.1.1 内部装修工程</t>
        </is>
      </c>
      <c r="H1929" s="68" t="inlineStr">
        <is>
          <t>员休室墙面</t>
        </is>
      </c>
      <c r="I1929" s="69" t="inlineStr">
        <is>
          <t>1000041863</t>
        </is>
      </c>
      <c r="J1929" s="69" t="inlineStr">
        <is>
          <t>墙面多彩板（大生，仿涂料效果，A级）</t>
        </is>
      </c>
      <c r="K1929" s="70" t="n"/>
      <c r="L1929" s="70" t="n"/>
      <c r="M1929" s="71" t="inlineStr">
        <is>
          <t>m2</t>
        </is>
      </c>
      <c r="N1929" s="72" t="n">
        <v>387.96</v>
      </c>
      <c r="O1929" s="72">
        <f>ROUND(N1929*(1+$F$10),2)</f>
        <v/>
      </c>
      <c r="P1929" s="73">
        <f>ROUND(K1929*N1929,2)</f>
        <v/>
      </c>
      <c r="Q1929" s="74">
        <f>ROUND(L1929*N1929,2)</f>
        <v/>
      </c>
      <c r="R1929" s="75" t="n"/>
      <c r="S1929" s="76" t="n"/>
      <c r="T1929" s="77">
        <f>K1929-L1929</f>
        <v/>
      </c>
      <c r="U1929" s="77">
        <f>P1929-Q1929</f>
        <v/>
      </c>
      <c r="V1929" s="77">
        <f>ABS(U1929)</f>
        <v/>
      </c>
      <c r="W1929" s="78">
        <f>T1929/L1929</f>
        <v/>
      </c>
      <c r="X1929" s="79">
        <f>ABS(W1929)</f>
        <v/>
      </c>
    </row>
    <row r="1930" ht="11.4" customHeight="1">
      <c r="A1930" s="67" t="inlineStr">
        <is>
          <t>大甜63</t>
        </is>
      </c>
      <c r="B1930" s="67" t="inlineStr">
        <is>
          <t>1061</t>
        </is>
      </c>
      <c r="C1930" s="67" t="inlineStr">
        <is>
          <t>1611</t>
        </is>
      </c>
      <c r="D1930" s="68" t="inlineStr">
        <is>
          <t>03</t>
        </is>
      </c>
      <c r="E1930" s="68" t="inlineStr">
        <is>
          <t>6 物业施工费</t>
        </is>
      </c>
      <c r="F1930" s="68" t="inlineStr">
        <is>
          <t>6.1 总承包工程</t>
        </is>
      </c>
      <c r="G1930" s="68" t="inlineStr">
        <is>
          <t>6.1.1 内部装修工程</t>
        </is>
      </c>
      <c r="H1930" s="68" t="inlineStr">
        <is>
          <t>员休室墙面</t>
        </is>
      </c>
      <c r="I1930" s="69" t="inlineStr">
        <is>
          <t>1000041861</t>
        </is>
      </c>
      <c r="J1930" s="69" t="inlineStr">
        <is>
          <t>墙面多彩板（大生，仿木纹效果，含收边条，A级）</t>
        </is>
      </c>
      <c r="K1930" s="70" t="n"/>
      <c r="L1930" s="70" t="n"/>
      <c r="M1930" s="71" t="inlineStr">
        <is>
          <t>m2</t>
        </is>
      </c>
      <c r="N1930" s="72" t="n">
        <v>408.71</v>
      </c>
      <c r="O1930" s="72">
        <f>ROUND(N1930*(1+$F$10),2)</f>
        <v/>
      </c>
      <c r="P1930" s="73">
        <f>ROUND(K1930*N1930,2)</f>
        <v/>
      </c>
      <c r="Q1930" s="74">
        <f>ROUND(L1930*N1930,2)</f>
        <v/>
      </c>
      <c r="R1930" s="75" t="n"/>
      <c r="S1930" s="76" t="n"/>
      <c r="T1930" s="77">
        <f>K1930-L1930</f>
        <v/>
      </c>
      <c r="U1930" s="77">
        <f>P1930-Q1930</f>
        <v/>
      </c>
      <c r="V1930" s="77">
        <f>ABS(U1930)</f>
        <v/>
      </c>
      <c r="W1930" s="78">
        <f>T1930/L1930</f>
        <v/>
      </c>
      <c r="X1930" s="79">
        <f>ABS(W1930)</f>
        <v/>
      </c>
    </row>
    <row r="1931" ht="11.4" customHeight="1">
      <c r="A1931" s="67" t="inlineStr">
        <is>
          <t>大甜63</t>
        </is>
      </c>
      <c r="B1931" s="67" t="inlineStr">
        <is>
          <t>1061</t>
        </is>
      </c>
      <c r="C1931" s="67" t="inlineStr">
        <is>
          <t>1611</t>
        </is>
      </c>
      <c r="D1931" s="68" t="inlineStr">
        <is>
          <t>03</t>
        </is>
      </c>
      <c r="E1931" s="68" t="inlineStr">
        <is>
          <t>6 物业施工费</t>
        </is>
      </c>
      <c r="F1931" s="68" t="inlineStr">
        <is>
          <t>6.1 总承包工程</t>
        </is>
      </c>
      <c r="G1931" s="68" t="inlineStr">
        <is>
          <t>6.1.1 内部装修工程</t>
        </is>
      </c>
      <c r="H1931" s="68" t="inlineStr">
        <is>
          <t>员休室墙面</t>
        </is>
      </c>
      <c r="I1931" s="69" t="inlineStr">
        <is>
          <t>1000041869</t>
        </is>
      </c>
      <c r="J1931" s="69" t="inlineStr">
        <is>
          <t>墙面多彩板（共荣，仿涂料效果，A级）</t>
        </is>
      </c>
      <c r="K1931" s="70" t="n"/>
      <c r="L1931" s="70" t="n"/>
      <c r="M1931" s="71" t="inlineStr">
        <is>
          <t>m2</t>
        </is>
      </c>
      <c r="N1931" s="72" t="n">
        <v>385.58</v>
      </c>
      <c r="O1931" s="72">
        <f>ROUND(N1931*(1+$F$10),2)</f>
        <v/>
      </c>
      <c r="P1931" s="73">
        <f>ROUND(K1931*N1931,2)</f>
        <v/>
      </c>
      <c r="Q1931" s="74">
        <f>ROUND(L1931*N1931,2)</f>
        <v/>
      </c>
      <c r="R1931" s="75" t="n"/>
      <c r="S1931" s="76" t="n"/>
      <c r="T1931" s="77">
        <f>K1931-L1931</f>
        <v/>
      </c>
      <c r="U1931" s="77">
        <f>P1931-Q1931</f>
        <v/>
      </c>
      <c r="V1931" s="77">
        <f>ABS(U1931)</f>
        <v/>
      </c>
      <c r="W1931" s="78">
        <f>T1931/L1931</f>
        <v/>
      </c>
      <c r="X1931" s="79">
        <f>ABS(W1931)</f>
        <v/>
      </c>
    </row>
    <row r="1932" ht="11.4" customHeight="1">
      <c r="A1932" s="67" t="inlineStr">
        <is>
          <t>大甜63</t>
        </is>
      </c>
      <c r="B1932" s="67" t="inlineStr">
        <is>
          <t>1061</t>
        </is>
      </c>
      <c r="C1932" s="67" t="inlineStr">
        <is>
          <t>1611</t>
        </is>
      </c>
      <c r="D1932" s="68" t="inlineStr">
        <is>
          <t>03</t>
        </is>
      </c>
      <c r="E1932" s="68" t="inlineStr">
        <is>
          <t>6 物业施工费</t>
        </is>
      </c>
      <c r="F1932" s="68" t="inlineStr">
        <is>
          <t>6.1 总承包工程</t>
        </is>
      </c>
      <c r="G1932" s="68" t="inlineStr">
        <is>
          <t>6.1.1 内部装修工程</t>
        </is>
      </c>
      <c r="H1932" s="68" t="inlineStr">
        <is>
          <t>员休室墙面</t>
        </is>
      </c>
      <c r="I1932" s="69" t="inlineStr">
        <is>
          <t>1000041867</t>
        </is>
      </c>
      <c r="J1932" s="69" t="inlineStr">
        <is>
          <t>墙面多彩板（共荣，仿木纹效果，含收边条，A级）</t>
        </is>
      </c>
      <c r="K1932" s="70" t="n"/>
      <c r="L1932" s="70" t="n"/>
      <c r="M1932" s="71" t="inlineStr">
        <is>
          <t>m2</t>
        </is>
      </c>
      <c r="N1932" s="72" t="n">
        <v>406.33</v>
      </c>
      <c r="O1932" s="72">
        <f>ROUND(N1932*(1+$F$10),2)</f>
        <v/>
      </c>
      <c r="P1932" s="73">
        <f>ROUND(K1932*N1932,2)</f>
        <v/>
      </c>
      <c r="Q1932" s="74">
        <f>ROUND(L1932*N1932,2)</f>
        <v/>
      </c>
      <c r="R1932" s="75" t="n"/>
      <c r="S1932" s="76" t="n"/>
      <c r="T1932" s="77">
        <f>K1932-L1932</f>
        <v/>
      </c>
      <c r="U1932" s="77">
        <f>P1932-Q1932</f>
        <v/>
      </c>
      <c r="V1932" s="77">
        <f>ABS(U1932)</f>
        <v/>
      </c>
      <c r="W1932" s="78">
        <f>T1932/L1932</f>
        <v/>
      </c>
      <c r="X1932" s="79">
        <f>ABS(W1932)</f>
        <v/>
      </c>
    </row>
    <row r="1933" ht="11.4" customHeight="1">
      <c r="A1933" s="67" t="inlineStr">
        <is>
          <t>大甜63</t>
        </is>
      </c>
      <c r="B1933" s="67" t="inlineStr">
        <is>
          <t>1061</t>
        </is>
      </c>
      <c r="C1933" s="67" t="inlineStr">
        <is>
          <t>1611</t>
        </is>
      </c>
      <c r="D1933" s="68" t="inlineStr">
        <is>
          <t>03</t>
        </is>
      </c>
      <c r="E1933" s="68" t="inlineStr">
        <is>
          <t>6 物业施工费</t>
        </is>
      </c>
      <c r="F1933" s="68" t="inlineStr">
        <is>
          <t>6.1 总承包工程</t>
        </is>
      </c>
      <c r="G1933" s="68" t="inlineStr">
        <is>
          <t>6.1.1 内部装修工程</t>
        </is>
      </c>
      <c r="H1933" s="68" t="inlineStr">
        <is>
          <t>员休室吊顶</t>
        </is>
      </c>
      <c r="I1933" s="69" t="inlineStr">
        <is>
          <t>1000021485</t>
        </is>
      </c>
      <c r="J1933" s="69" t="inlineStr">
        <is>
          <t>600x600烤漆T龙防潮隔音矿棉天花</t>
        </is>
      </c>
      <c r="K1933" s="70" t="n"/>
      <c r="L1933" s="70" t="n"/>
      <c r="M1933" s="71" t="inlineStr">
        <is>
          <t>m2</t>
        </is>
      </c>
      <c r="N1933" s="72" t="n">
        <v>127.36</v>
      </c>
      <c r="O1933" s="72">
        <f>ROUND(N1933*(1+$F$10),2)</f>
        <v/>
      </c>
      <c r="P1933" s="73">
        <f>ROUND(K1933*N1933,2)</f>
        <v/>
      </c>
      <c r="Q1933" s="74">
        <f>ROUND(L1933*N1933,2)</f>
        <v/>
      </c>
      <c r="R1933" s="75" t="n"/>
      <c r="S1933" s="76" t="n"/>
      <c r="T1933" s="77">
        <f>K1933-L1933</f>
        <v/>
      </c>
      <c r="U1933" s="77">
        <f>P1933-Q1933</f>
        <v/>
      </c>
      <c r="V1933" s="77">
        <f>ABS(U1933)</f>
        <v/>
      </c>
      <c r="W1933" s="78">
        <f>T1933/L1933</f>
        <v/>
      </c>
      <c r="X1933" s="79">
        <f>ABS(W1933)</f>
        <v/>
      </c>
    </row>
    <row r="1934" ht="11.4" customHeight="1">
      <c r="A1934" s="67" t="inlineStr">
        <is>
          <t>大甜63</t>
        </is>
      </c>
      <c r="B1934" s="67" t="inlineStr">
        <is>
          <t>1061</t>
        </is>
      </c>
      <c r="C1934" s="67" t="inlineStr">
        <is>
          <t>1611</t>
        </is>
      </c>
      <c r="D1934" s="68" t="inlineStr">
        <is>
          <t>03</t>
        </is>
      </c>
      <c r="E1934" s="68" t="inlineStr">
        <is>
          <t>6 物业施工费</t>
        </is>
      </c>
      <c r="F1934" s="68" t="inlineStr">
        <is>
          <t>6.1 总承包工程</t>
        </is>
      </c>
      <c r="G1934" s="68" t="inlineStr">
        <is>
          <t>6.1.1 内部装修工程</t>
        </is>
      </c>
      <c r="H1934" s="68" t="inlineStr">
        <is>
          <t>员休室吊顶</t>
        </is>
      </c>
      <c r="I1934" s="69" t="inlineStr">
        <is>
          <t>1000021486</t>
        </is>
      </c>
      <c r="J1934" s="69" t="inlineStr">
        <is>
          <t>600*1200烤漆龙骨防潮矿棉板天花</t>
        </is>
      </c>
      <c r="K1934" s="70" t="n"/>
      <c r="L1934" s="70" t="n"/>
      <c r="M1934" s="71" t="inlineStr">
        <is>
          <t>m2</t>
        </is>
      </c>
      <c r="N1934" s="72" t="n">
        <v>138.36</v>
      </c>
      <c r="O1934" s="72">
        <f>ROUND(N1934*(1+$F$10),2)</f>
        <v/>
      </c>
      <c r="P1934" s="73">
        <f>ROUND(K1934*N1934,2)</f>
        <v/>
      </c>
      <c r="Q1934" s="74">
        <f>ROUND(L1934*N1934,2)</f>
        <v/>
      </c>
      <c r="R1934" s="75" t="n"/>
      <c r="S1934" s="76" t="n"/>
      <c r="T1934" s="77">
        <f>K1934-L1934</f>
        <v/>
      </c>
      <c r="U1934" s="77">
        <f>P1934-Q1934</f>
        <v/>
      </c>
      <c r="V1934" s="77">
        <f>ABS(U1934)</f>
        <v/>
      </c>
      <c r="W1934" s="78">
        <f>T1934/L1934</f>
        <v/>
      </c>
      <c r="X1934" s="79">
        <f>ABS(W1934)</f>
        <v/>
      </c>
    </row>
    <row r="1935" ht="11.4" customHeight="1">
      <c r="A1935" s="67" t="inlineStr">
        <is>
          <t>大甜63</t>
        </is>
      </c>
      <c r="B1935" s="67" t="inlineStr">
        <is>
          <t>1061</t>
        </is>
      </c>
      <c r="C1935" s="67" t="inlineStr">
        <is>
          <t>1611</t>
        </is>
      </c>
      <c r="D1935" s="68" t="inlineStr">
        <is>
          <t>03</t>
        </is>
      </c>
      <c r="E1935" s="68" t="inlineStr">
        <is>
          <t>6 物业施工费</t>
        </is>
      </c>
      <c r="F1935" s="68" t="inlineStr">
        <is>
          <t>6.1 总承包工程</t>
        </is>
      </c>
      <c r="G1935" s="68" t="inlineStr">
        <is>
          <t>6.1.1 内部装修工程</t>
        </is>
      </c>
      <c r="H1935" s="68" t="inlineStr">
        <is>
          <t>员休室吊顶</t>
        </is>
      </c>
      <c r="I1935" s="69" t="inlineStr">
        <is>
          <t>1000021519</t>
        </is>
      </c>
      <c r="J1935" s="69" t="inlineStr">
        <is>
          <t>600x600 烤漆龙骨防油石膏板天花</t>
        </is>
      </c>
      <c r="K1935" s="70" t="n"/>
      <c r="L1935" s="70" t="n"/>
      <c r="M1935" s="71" t="inlineStr">
        <is>
          <t>m2</t>
        </is>
      </c>
      <c r="N1935" s="72" t="n">
        <v>132.76</v>
      </c>
      <c r="O1935" s="72">
        <f>ROUND(N1935*(1+$F$10),2)</f>
        <v/>
      </c>
      <c r="P1935" s="73">
        <f>ROUND(K1935*N1935,2)</f>
        <v/>
      </c>
      <c r="Q1935" s="74">
        <f>ROUND(L1935*N1935,2)</f>
        <v/>
      </c>
      <c r="R1935" s="75" t="n"/>
      <c r="S1935" s="76" t="n"/>
      <c r="T1935" s="77">
        <f>K1935-L1935</f>
        <v/>
      </c>
      <c r="U1935" s="77">
        <f>P1935-Q1935</f>
        <v/>
      </c>
      <c r="V1935" s="77">
        <f>ABS(U1935)</f>
        <v/>
      </c>
      <c r="W1935" s="78">
        <f>T1935/L1935</f>
        <v/>
      </c>
      <c r="X1935" s="79">
        <f>ABS(W1935)</f>
        <v/>
      </c>
    </row>
    <row r="1936" ht="11.4" customHeight="1">
      <c r="A1936" s="67" t="inlineStr">
        <is>
          <t>大甜63</t>
        </is>
      </c>
      <c r="B1936" s="67" t="inlineStr">
        <is>
          <t>1061</t>
        </is>
      </c>
      <c r="C1936" s="67" t="inlineStr">
        <is>
          <t>1611</t>
        </is>
      </c>
      <c r="D1936" s="68" t="inlineStr">
        <is>
          <t>03</t>
        </is>
      </c>
      <c r="E1936" s="68" t="inlineStr">
        <is>
          <t>6 物业施工费</t>
        </is>
      </c>
      <c r="F1936" s="68" t="inlineStr">
        <is>
          <t>6.1 总承包工程</t>
        </is>
      </c>
      <c r="G1936" s="68" t="inlineStr">
        <is>
          <t>6.1.1 内部装修工程</t>
        </is>
      </c>
      <c r="H1936" s="68" t="inlineStr">
        <is>
          <t>员休室吊顶</t>
        </is>
      </c>
      <c r="I1936" s="69" t="inlineStr">
        <is>
          <t>1000021782</t>
        </is>
      </c>
      <c r="J1936" s="69" t="inlineStr">
        <is>
          <t>轻钢龙骨石膏板天花</t>
        </is>
      </c>
      <c r="K1936" s="70" t="n"/>
      <c r="L1936" s="70" t="n"/>
      <c r="M1936" s="71" t="inlineStr">
        <is>
          <t>m2</t>
        </is>
      </c>
      <c r="N1936" s="72" t="n">
        <v>139.73</v>
      </c>
      <c r="O1936" s="72">
        <f>ROUND(N1936*(1+$F$10),2)</f>
        <v/>
      </c>
      <c r="P1936" s="73">
        <f>ROUND(K1936*N1936,2)</f>
        <v/>
      </c>
      <c r="Q1936" s="74">
        <f>ROUND(L1936*N1936,2)</f>
        <v/>
      </c>
      <c r="R1936" s="75" t="n"/>
      <c r="S1936" s="76" t="n"/>
      <c r="T1936" s="77">
        <f>K1936-L1936</f>
        <v/>
      </c>
      <c r="U1936" s="77">
        <f>P1936-Q1936</f>
        <v/>
      </c>
      <c r="V1936" s="77">
        <f>ABS(U1936)</f>
        <v/>
      </c>
      <c r="W1936" s="78">
        <f>T1936/L1936</f>
        <v/>
      </c>
      <c r="X1936" s="79">
        <f>ABS(W1936)</f>
        <v/>
      </c>
    </row>
    <row r="1937" ht="11.4" customHeight="1">
      <c r="A1937" s="67" t="inlineStr">
        <is>
          <t>大甜63</t>
        </is>
      </c>
      <c r="B1937" s="67" t="inlineStr">
        <is>
          <t>1061</t>
        </is>
      </c>
      <c r="C1937" s="67" t="inlineStr">
        <is>
          <t>1611</t>
        </is>
      </c>
      <c r="D1937" s="68" t="inlineStr">
        <is>
          <t>03</t>
        </is>
      </c>
      <c r="E1937" s="68" t="inlineStr">
        <is>
          <t>6 物业施工费</t>
        </is>
      </c>
      <c r="F1937" s="68" t="inlineStr">
        <is>
          <t>6.1 总承包工程</t>
        </is>
      </c>
      <c r="G1937" s="68" t="inlineStr">
        <is>
          <t>6.1.1 内部装修工程</t>
        </is>
      </c>
      <c r="H1937" s="68" t="inlineStr">
        <is>
          <t>员休室家具及其他</t>
        </is>
      </c>
      <c r="I1937" s="69" t="inlineStr">
        <is>
          <t>1000021819</t>
        </is>
      </c>
      <c r="J1937" s="69" t="inlineStr">
        <is>
          <t>员工室电视柜/储物格/鞋柜/更衣座板</t>
        </is>
      </c>
      <c r="K1937" s="70" t="n"/>
      <c r="L1937" s="70" t="n"/>
      <c r="M1937" s="71" t="inlineStr">
        <is>
          <t>项</t>
        </is>
      </c>
      <c r="N1937" s="72" t="n">
        <v>10720.16</v>
      </c>
      <c r="O1937" s="72">
        <f>ROUND(N1937*(1+$F$10),2)</f>
        <v/>
      </c>
      <c r="P1937" s="73">
        <f>ROUND(K1937*N1937,2)</f>
        <v/>
      </c>
      <c r="Q1937" s="74">
        <f>ROUND(L1937*N1937,2)</f>
        <v/>
      </c>
      <c r="R1937" s="75" t="n"/>
      <c r="S1937" s="76" t="n"/>
      <c r="T1937" s="77">
        <f>K1937-L1937</f>
        <v/>
      </c>
      <c r="U1937" s="77">
        <f>P1937-Q1937</f>
        <v/>
      </c>
      <c r="V1937" s="77">
        <f>ABS(U1937)</f>
        <v/>
      </c>
      <c r="W1937" s="78">
        <f>T1937/L1937</f>
        <v/>
      </c>
      <c r="X1937" s="79">
        <f>ABS(W1937)</f>
        <v/>
      </c>
    </row>
    <row r="1938" ht="11.4" customHeight="1">
      <c r="A1938" s="67" t="inlineStr">
        <is>
          <t>大甜63</t>
        </is>
      </c>
      <c r="B1938" s="67" t="inlineStr">
        <is>
          <t>1061</t>
        </is>
      </c>
      <c r="C1938" s="67" t="inlineStr">
        <is>
          <t>1611</t>
        </is>
      </c>
      <c r="D1938" s="68" t="inlineStr">
        <is>
          <t>03</t>
        </is>
      </c>
      <c r="E1938" s="68" t="inlineStr">
        <is>
          <t>6 物业施工费</t>
        </is>
      </c>
      <c r="F1938" s="68" t="inlineStr">
        <is>
          <t>6.1 总承包工程</t>
        </is>
      </c>
      <c r="G1938" s="68" t="inlineStr">
        <is>
          <t>6.1.1 内部装修工程</t>
        </is>
      </c>
      <c r="H1938" s="68" t="inlineStr">
        <is>
          <t>员休室家具及其他</t>
        </is>
      </c>
      <c r="I1938" s="69" t="inlineStr">
        <is>
          <t>1000021820</t>
        </is>
      </c>
      <c r="J1938" s="69" t="inlineStr">
        <is>
          <t>员工室仪容镜</t>
        </is>
      </c>
      <c r="K1938" s="70" t="n"/>
      <c r="L1938" s="70" t="n"/>
      <c r="M1938" s="71" t="inlineStr">
        <is>
          <t>块</t>
        </is>
      </c>
      <c r="N1938" s="72" t="n">
        <v>211.97</v>
      </c>
      <c r="O1938" s="72">
        <f>ROUND(N1938*(1+$F$10),2)</f>
        <v/>
      </c>
      <c r="P1938" s="73">
        <f>ROUND(K1938*N1938,2)</f>
        <v/>
      </c>
      <c r="Q1938" s="74">
        <f>ROUND(L1938*N1938,2)</f>
        <v/>
      </c>
      <c r="R1938" s="75" t="n"/>
      <c r="S1938" s="76" t="n"/>
      <c r="T1938" s="77">
        <f>K1938-L1938</f>
        <v/>
      </c>
      <c r="U1938" s="77">
        <f>P1938-Q1938</f>
        <v/>
      </c>
      <c r="V1938" s="77">
        <f>ABS(U1938)</f>
        <v/>
      </c>
      <c r="W1938" s="78">
        <f>T1938/L1938</f>
        <v/>
      </c>
      <c r="X1938" s="79">
        <f>ABS(W1938)</f>
        <v/>
      </c>
    </row>
    <row r="1939" ht="11.4" customHeight="1">
      <c r="A1939" s="67" t="inlineStr">
        <is>
          <t>大甜63</t>
        </is>
      </c>
      <c r="B1939" s="67" t="inlineStr">
        <is>
          <t>1061</t>
        </is>
      </c>
      <c r="C1939" s="67" t="inlineStr">
        <is>
          <t>1611</t>
        </is>
      </c>
      <c r="D1939" s="68" t="inlineStr">
        <is>
          <t>03</t>
        </is>
      </c>
      <c r="E1939" s="68" t="inlineStr">
        <is>
          <t>6 物业施工费</t>
        </is>
      </c>
      <c r="F1939" s="68" t="inlineStr">
        <is>
          <t>6.1 总承包工程</t>
        </is>
      </c>
      <c r="G1939" s="68" t="inlineStr">
        <is>
          <t>6.1.1 内部装修工程</t>
        </is>
      </c>
      <c r="H1939" s="68" t="inlineStr">
        <is>
          <t>员休室家具及其他</t>
        </is>
      </c>
      <c r="I1939" s="69" t="inlineStr">
        <is>
          <t>1000021821</t>
        </is>
      </c>
      <c r="J1939" s="69" t="inlineStr">
        <is>
          <t>员工室熨衣板</t>
        </is>
      </c>
      <c r="K1939" s="70" t="n"/>
      <c r="L1939" s="70" t="n"/>
      <c r="M1939" s="71" t="inlineStr">
        <is>
          <t>块</t>
        </is>
      </c>
      <c r="N1939" s="72" t="n">
        <v>191.29</v>
      </c>
      <c r="O1939" s="72">
        <f>ROUND(N1939*(1+$F$10),2)</f>
        <v/>
      </c>
      <c r="P1939" s="73">
        <f>ROUND(K1939*N1939,2)</f>
        <v/>
      </c>
      <c r="Q1939" s="74">
        <f>ROUND(L1939*N1939,2)</f>
        <v/>
      </c>
      <c r="R1939" s="75" t="n"/>
      <c r="S1939" s="76" t="n"/>
      <c r="T1939" s="77">
        <f>K1939-L1939</f>
        <v/>
      </c>
      <c r="U1939" s="77">
        <f>P1939-Q1939</f>
        <v/>
      </c>
      <c r="V1939" s="77">
        <f>ABS(U1939)</f>
        <v/>
      </c>
      <c r="W1939" s="78">
        <f>T1939/L1939</f>
        <v/>
      </c>
      <c r="X1939" s="79">
        <f>ABS(W1939)</f>
        <v/>
      </c>
    </row>
    <row r="1940" ht="11.4" customHeight="1">
      <c r="A1940" s="67" t="inlineStr">
        <is>
          <t>大甜63</t>
        </is>
      </c>
      <c r="B1940" s="67" t="inlineStr">
        <is>
          <t>1061</t>
        </is>
      </c>
      <c r="C1940" s="67" t="inlineStr">
        <is>
          <t>1611</t>
        </is>
      </c>
      <c r="D1940" s="68" t="inlineStr">
        <is>
          <t>03</t>
        </is>
      </c>
      <c r="E1940" s="68" t="inlineStr">
        <is>
          <t>6 物业施工费</t>
        </is>
      </c>
      <c r="F1940" s="68" t="inlineStr">
        <is>
          <t>6.1 总承包工程</t>
        </is>
      </c>
      <c r="G1940" s="68" t="inlineStr">
        <is>
          <t>6.1.1 内部装修工程</t>
        </is>
      </c>
      <c r="H1940" s="68" t="inlineStr">
        <is>
          <t>员休室家具及其他</t>
        </is>
      </c>
      <c r="I1940" s="69" t="inlineStr">
        <is>
          <t>1000021822</t>
        </is>
      </c>
      <c r="J1940" s="69" t="inlineStr">
        <is>
          <t>挂衣杆</t>
        </is>
      </c>
      <c r="K1940" s="70" t="n"/>
      <c r="L1940" s="70" t="n"/>
      <c r="M1940" s="71" t="inlineStr">
        <is>
          <t>项</t>
        </is>
      </c>
      <c r="N1940" s="72" t="n">
        <v>404.91</v>
      </c>
      <c r="O1940" s="72">
        <f>ROUND(N1940*(1+$F$10),2)</f>
        <v/>
      </c>
      <c r="P1940" s="73">
        <f>ROUND(K1940*N1940,2)</f>
        <v/>
      </c>
      <c r="Q1940" s="74">
        <f>ROUND(L1940*N1940,2)</f>
        <v/>
      </c>
      <c r="R1940" s="75" t="n"/>
      <c r="S1940" s="76" t="n"/>
      <c r="T1940" s="77">
        <f>K1940-L1940</f>
        <v/>
      </c>
      <c r="U1940" s="77">
        <f>P1940-Q1940</f>
        <v/>
      </c>
      <c r="V1940" s="77">
        <f>ABS(U1940)</f>
        <v/>
      </c>
      <c r="W1940" s="78">
        <f>T1940/L1940</f>
        <v/>
      </c>
      <c r="X1940" s="79">
        <f>ABS(W1940)</f>
        <v/>
      </c>
    </row>
    <row r="1941" ht="11.4" customHeight="1">
      <c r="A1941" s="67" t="inlineStr">
        <is>
          <t>大甜63</t>
        </is>
      </c>
      <c r="B1941" s="67" t="inlineStr">
        <is>
          <t>1061</t>
        </is>
      </c>
      <c r="C1941" s="67" t="inlineStr">
        <is>
          <t>1611</t>
        </is>
      </c>
      <c r="D1941" s="68" t="inlineStr">
        <is>
          <t>03</t>
        </is>
      </c>
      <c r="E1941" s="68" t="inlineStr">
        <is>
          <t>6 物业施工费</t>
        </is>
      </c>
      <c r="F1941" s="68" t="inlineStr">
        <is>
          <t>6.1 总承包工程</t>
        </is>
      </c>
      <c r="G1941" s="68" t="inlineStr">
        <is>
          <t>6.1.1 内部装修工程</t>
        </is>
      </c>
      <c r="H1941" s="68" t="inlineStr">
        <is>
          <t>员休室家具及其他</t>
        </is>
      </c>
      <c r="I1941" s="69" t="inlineStr">
        <is>
          <t>1000085742</t>
        </is>
      </c>
      <c r="J1941" s="69" t="inlineStr">
        <is>
          <t>员休室隔断及全部配件</t>
        </is>
      </c>
      <c r="K1941" s="70" t="n"/>
      <c r="L1941" s="70" t="n"/>
      <c r="M1941" s="71" t="inlineStr">
        <is>
          <t>m2</t>
        </is>
      </c>
      <c r="N1941" s="72" t="n">
        <v>645.8</v>
      </c>
      <c r="O1941" s="72">
        <f>ROUND(N1941*(1+$F$10),2)</f>
        <v/>
      </c>
      <c r="P1941" s="73">
        <f>ROUND(K1941*N1941,2)</f>
        <v/>
      </c>
      <c r="Q1941" s="74">
        <f>ROUND(L1941*N1941,2)</f>
        <v/>
      </c>
      <c r="R1941" s="75" t="n"/>
      <c r="S1941" s="76" t="n"/>
      <c r="T1941" s="77">
        <f>K1941-L1941</f>
        <v/>
      </c>
      <c r="U1941" s="77">
        <f>P1941-Q1941</f>
        <v/>
      </c>
      <c r="V1941" s="77">
        <f>ABS(U1941)</f>
        <v/>
      </c>
      <c r="W1941" s="78">
        <f>T1941/L1941</f>
        <v/>
      </c>
      <c r="X1941" s="79">
        <f>ABS(W1941)</f>
        <v/>
      </c>
    </row>
    <row r="1942" ht="11.4" customHeight="1">
      <c r="A1942" s="67" t="inlineStr">
        <is>
          <t>大甜63</t>
        </is>
      </c>
      <c r="B1942" s="67" t="inlineStr">
        <is>
          <t>1061</t>
        </is>
      </c>
      <c r="C1942" s="67" t="inlineStr">
        <is>
          <t>1611</t>
        </is>
      </c>
      <c r="D1942" s="68" t="inlineStr">
        <is>
          <t>03</t>
        </is>
      </c>
      <c r="E1942" s="68" t="inlineStr">
        <is>
          <t>6 物业施工费</t>
        </is>
      </c>
      <c r="F1942" s="68" t="inlineStr">
        <is>
          <t>6.1 总承包工程</t>
        </is>
      </c>
      <c r="G1942" s="68" t="inlineStr">
        <is>
          <t>6.1.1 内部装修工程</t>
        </is>
      </c>
      <c r="H1942" s="68" t="inlineStr">
        <is>
          <t>员休室家具及其他</t>
        </is>
      </c>
      <c r="I1942" s="69" t="inlineStr">
        <is>
          <t>1000021823</t>
        </is>
      </c>
      <c r="J1942" s="69" t="inlineStr">
        <is>
          <t>防火板面刨花板隔断及全部配件</t>
        </is>
      </c>
      <c r="K1942" s="70" t="n"/>
      <c r="L1942" s="70" t="n"/>
      <c r="M1942" s="71" t="inlineStr">
        <is>
          <t>m2</t>
        </is>
      </c>
      <c r="N1942" s="72" t="n"/>
      <c r="O1942" s="72">
        <f>ROUND(N1942*(1+$F$10),2)</f>
        <v/>
      </c>
      <c r="P1942" s="73">
        <f>ROUND(K1942*N1942,2)</f>
        <v/>
      </c>
      <c r="Q1942" s="74">
        <f>ROUND(L1942*N1942,2)</f>
        <v/>
      </c>
      <c r="R1942" s="75" t="n"/>
      <c r="S1942" s="76" t="n"/>
      <c r="T1942" s="77">
        <f>K1942-L1942</f>
        <v/>
      </c>
      <c r="U1942" s="77">
        <f>P1942-Q1942</f>
        <v/>
      </c>
      <c r="V1942" s="77">
        <f>ABS(U1942)</f>
        <v/>
      </c>
      <c r="W1942" s="78">
        <f>T1942/L1942</f>
        <v/>
      </c>
      <c r="X1942" s="79">
        <f>ABS(W1942)</f>
        <v/>
      </c>
    </row>
    <row r="1943" ht="11.4" customHeight="1">
      <c r="A1943" s="67" t="inlineStr">
        <is>
          <t>大甜63</t>
        </is>
      </c>
      <c r="B1943" s="67" t="inlineStr">
        <is>
          <t>1061</t>
        </is>
      </c>
      <c r="C1943" s="67" t="inlineStr">
        <is>
          <t>1611</t>
        </is>
      </c>
      <c r="D1943" s="68" t="inlineStr">
        <is>
          <t>03</t>
        </is>
      </c>
      <c r="E1943" s="68" t="inlineStr">
        <is>
          <t>6 物业施工费</t>
        </is>
      </c>
      <c r="F1943" s="68" t="inlineStr">
        <is>
          <t>6.1 总承包工程</t>
        </is>
      </c>
      <c r="G1943" s="68" t="inlineStr">
        <is>
          <t>6.1.1 内部装修工程</t>
        </is>
      </c>
      <c r="H1943" s="68" t="inlineStr">
        <is>
          <t>员休室家具及其他</t>
        </is>
      </c>
      <c r="I1943" s="69" t="inlineStr">
        <is>
          <t>1000040109</t>
        </is>
      </c>
      <c r="J1943" s="69" t="inlineStr">
        <is>
          <t>员休室翻新</t>
        </is>
      </c>
      <c r="K1943" s="70" t="n"/>
      <c r="L1943" s="70" t="n"/>
      <c r="M1943" s="71" t="inlineStr">
        <is>
          <t>项</t>
        </is>
      </c>
      <c r="N1943" s="72" t="n"/>
      <c r="O1943" s="72">
        <f>ROUND(N1943*(1+$F$10),2)</f>
        <v/>
      </c>
      <c r="P1943" s="73">
        <f>ROUND(K1943*N1943,2)</f>
        <v/>
      </c>
      <c r="Q1943" s="74">
        <f>ROUND(L1943*N1943,2)</f>
        <v/>
      </c>
      <c r="R1943" s="75" t="n"/>
      <c r="S1943" s="76" t="n"/>
      <c r="T1943" s="77">
        <f>K1943-L1943</f>
        <v/>
      </c>
      <c r="U1943" s="77">
        <f>P1943-Q1943</f>
        <v/>
      </c>
      <c r="V1943" s="77">
        <f>ABS(U1943)</f>
        <v/>
      </c>
      <c r="W1943" s="78">
        <f>T1943/L1943</f>
        <v/>
      </c>
      <c r="X1943" s="79">
        <f>ABS(W1943)</f>
        <v/>
      </c>
    </row>
    <row r="1944" ht="11.4" customHeight="1">
      <c r="A1944" s="67" t="inlineStr">
        <is>
          <t>大甜55</t>
        </is>
      </c>
      <c r="B1944" s="67" t="inlineStr">
        <is>
          <t>1053</t>
        </is>
      </c>
      <c r="C1944" s="67" t="inlineStr">
        <is>
          <t>1611</t>
        </is>
      </c>
      <c r="D1944" s="68" t="inlineStr">
        <is>
          <t>03</t>
        </is>
      </c>
      <c r="E1944" s="68" t="inlineStr">
        <is>
          <t>6 物业施工费</t>
        </is>
      </c>
      <c r="F1944" s="68" t="inlineStr">
        <is>
          <t>6.1 总承包工程</t>
        </is>
      </c>
      <c r="G1944" s="68" t="inlineStr">
        <is>
          <t>6.1.1 内部装修工程</t>
        </is>
      </c>
      <c r="H1944" s="68" t="inlineStr">
        <is>
          <t>厨房地面(含不超过50mm厚的找平层)</t>
        </is>
      </c>
      <c r="I1944" s="69" t="inlineStr">
        <is>
          <t>1000021454</t>
        </is>
      </c>
      <c r="J1944" s="69" t="inlineStr">
        <is>
          <t>150x150mm灰色砖地面（琛雄，含不超过50mm厚的找平层）</t>
        </is>
      </c>
      <c r="K1944" s="70" t="n"/>
      <c r="L1944" s="70" t="n"/>
      <c r="M1944" s="71" t="inlineStr">
        <is>
          <t>m2</t>
        </is>
      </c>
      <c r="N1944" s="72" t="n">
        <v>203.87</v>
      </c>
      <c r="O1944" s="72">
        <f>ROUND(N1944*(1+$F$10),2)</f>
        <v/>
      </c>
      <c r="P1944" s="73">
        <f>ROUND(K1944*N1944,2)</f>
        <v/>
      </c>
      <c r="Q1944" s="74">
        <f>ROUND(L1944*N1944,2)</f>
        <v/>
      </c>
      <c r="R1944" s="75" t="n"/>
      <c r="S1944" s="76" t="n"/>
      <c r="T1944" s="77">
        <f>K1944-L1944</f>
        <v/>
      </c>
      <c r="U1944" s="77">
        <f>P1944-Q1944</f>
        <v/>
      </c>
      <c r="V1944" s="77">
        <f>ABS(U1944)</f>
        <v/>
      </c>
      <c r="W1944" s="78">
        <f>T1944/L1944</f>
        <v/>
      </c>
      <c r="X1944" s="79">
        <f>ABS(W1944)</f>
        <v/>
      </c>
    </row>
    <row r="1945" ht="11.4" customHeight="1">
      <c r="A1945" s="67" t="inlineStr">
        <is>
          <t>大甜55</t>
        </is>
      </c>
      <c r="B1945" s="67" t="inlineStr">
        <is>
          <t>1053</t>
        </is>
      </c>
      <c r="C1945" s="67" t="inlineStr">
        <is>
          <t>1611</t>
        </is>
      </c>
      <c r="D1945" s="68" t="inlineStr">
        <is>
          <t>03</t>
        </is>
      </c>
      <c r="E1945" s="68" t="inlineStr">
        <is>
          <t>6 物业施工费</t>
        </is>
      </c>
      <c r="F1945" s="68" t="inlineStr">
        <is>
          <t>6.1 总承包工程</t>
        </is>
      </c>
      <c r="G1945" s="68" t="inlineStr">
        <is>
          <t>6.1.1 内部装修工程</t>
        </is>
      </c>
      <c r="H1945" s="68" t="inlineStr">
        <is>
          <t>厨房地面(含不超过50mm厚的找平层)</t>
        </is>
      </c>
      <c r="I1945" s="69" t="inlineStr">
        <is>
          <t>1000021455</t>
        </is>
      </c>
      <c r="J1945" s="69" t="inlineStr">
        <is>
          <t>灰色砖踢脚（琛雄，含阴阳角）</t>
        </is>
      </c>
      <c r="K1945" s="70" t="n"/>
      <c r="L1945" s="70" t="n"/>
      <c r="M1945" s="71" t="inlineStr">
        <is>
          <t>米</t>
        </is>
      </c>
      <c r="N1945" s="72" t="n">
        <v>101.27</v>
      </c>
      <c r="O1945" s="72">
        <f>ROUND(N1945*(1+$F$10),2)</f>
        <v/>
      </c>
      <c r="P1945" s="73">
        <f>ROUND(K1945*N1945,2)</f>
        <v/>
      </c>
      <c r="Q1945" s="74">
        <f>ROUND(L1945*N1945,2)</f>
        <v/>
      </c>
      <c r="R1945" s="75" t="n"/>
      <c r="S1945" s="76" t="n"/>
      <c r="T1945" s="77">
        <f>K1945-L1945</f>
        <v/>
      </c>
      <c r="U1945" s="77">
        <f>P1945-Q1945</f>
        <v/>
      </c>
      <c r="V1945" s="77">
        <f>ABS(U1945)</f>
        <v/>
      </c>
      <c r="W1945" s="78">
        <f>T1945/L1945</f>
        <v/>
      </c>
      <c r="X1945" s="79">
        <f>ABS(W1945)</f>
        <v/>
      </c>
    </row>
    <row r="1946" ht="11.4" customHeight="1">
      <c r="A1946" s="67" t="inlineStr">
        <is>
          <t>大甜55</t>
        </is>
      </c>
      <c r="B1946" s="67" t="inlineStr">
        <is>
          <t>1053</t>
        </is>
      </c>
      <c r="C1946" s="67" t="inlineStr">
        <is>
          <t>1611</t>
        </is>
      </c>
      <c r="D1946" s="68" t="inlineStr">
        <is>
          <t>03</t>
        </is>
      </c>
      <c r="E1946" s="68" t="inlineStr">
        <is>
          <t>6 物业施工费</t>
        </is>
      </c>
      <c r="F1946" s="68" t="inlineStr">
        <is>
          <t>6.1 总承包工程</t>
        </is>
      </c>
      <c r="G1946" s="68" t="inlineStr">
        <is>
          <t>6.1.1 内部装修工程</t>
        </is>
      </c>
      <c r="H1946" s="68" t="inlineStr">
        <is>
          <t>厨房地面(含不超过50mm厚的找平层)</t>
        </is>
      </c>
      <c r="I1946" s="69" t="inlineStr">
        <is>
          <t>1000021654</t>
        </is>
      </c>
      <c r="J1946" s="69" t="inlineStr">
        <is>
          <t>150x150mm灰色砖地面（共荣，含不超过50mm厚的找平层）</t>
        </is>
      </c>
      <c r="K1946" s="70" t="n"/>
      <c r="L1946" s="70" t="n"/>
      <c r="M1946" s="71" t="inlineStr">
        <is>
          <t>m2</t>
        </is>
      </c>
      <c r="N1946" s="72" t="n">
        <v>194.19</v>
      </c>
      <c r="O1946" s="72">
        <f>ROUND(N1946*(1+$F$10),2)</f>
        <v/>
      </c>
      <c r="P1946" s="73">
        <f>ROUND(K1946*N1946,2)</f>
        <v/>
      </c>
      <c r="Q1946" s="74">
        <f>ROUND(L1946*N1946,2)</f>
        <v/>
      </c>
      <c r="R1946" s="75" t="n"/>
      <c r="S1946" s="76" t="n"/>
      <c r="T1946" s="77">
        <f>K1946-L1946</f>
        <v/>
      </c>
      <c r="U1946" s="77">
        <f>P1946-Q1946</f>
        <v/>
      </c>
      <c r="V1946" s="77">
        <f>ABS(U1946)</f>
        <v/>
      </c>
      <c r="W1946" s="78">
        <f>T1946/L1946</f>
        <v/>
      </c>
      <c r="X1946" s="79">
        <f>ABS(W1946)</f>
        <v/>
      </c>
    </row>
    <row r="1947" ht="11.4" customHeight="1">
      <c r="A1947" s="67" t="inlineStr">
        <is>
          <t>大甜55</t>
        </is>
      </c>
      <c r="B1947" s="67" t="inlineStr">
        <is>
          <t>1053</t>
        </is>
      </c>
      <c r="C1947" s="67" t="inlineStr">
        <is>
          <t>1611</t>
        </is>
      </c>
      <c r="D1947" s="68" t="inlineStr">
        <is>
          <t>03</t>
        </is>
      </c>
      <c r="E1947" s="68" t="inlineStr">
        <is>
          <t>6 物业施工费</t>
        </is>
      </c>
      <c r="F1947" s="68" t="inlineStr">
        <is>
          <t>6.1 总承包工程</t>
        </is>
      </c>
      <c r="G1947" s="68" t="inlineStr">
        <is>
          <t>6.1.1 内部装修工程</t>
        </is>
      </c>
      <c r="H1947" s="68" t="inlineStr">
        <is>
          <t>厨房地面(含不超过50mm厚的找平层)</t>
        </is>
      </c>
      <c r="I1947" s="69" t="inlineStr">
        <is>
          <t>1000021655</t>
        </is>
      </c>
      <c r="J1947" s="69" t="inlineStr">
        <is>
          <t>灰色砖踢脚（共荣，含阴阳角）</t>
        </is>
      </c>
      <c r="K1947" s="70" t="n"/>
      <c r="L1947" s="70" t="n"/>
      <c r="M1947" s="71" t="inlineStr">
        <is>
          <t>米</t>
        </is>
      </c>
      <c r="N1947" s="72" t="n">
        <v>83.12</v>
      </c>
      <c r="O1947" s="72">
        <f>ROUND(N1947*(1+$F$10),2)</f>
        <v/>
      </c>
      <c r="P1947" s="73">
        <f>ROUND(K1947*N1947,2)</f>
        <v/>
      </c>
      <c r="Q1947" s="74">
        <f>ROUND(L1947*N1947,2)</f>
        <v/>
      </c>
      <c r="R1947" s="75" t="n"/>
      <c r="S1947" s="76" t="n"/>
      <c r="T1947" s="77">
        <f>K1947-L1947</f>
        <v/>
      </c>
      <c r="U1947" s="77">
        <f>P1947-Q1947</f>
        <v/>
      </c>
      <c r="V1947" s="77">
        <f>ABS(U1947)</f>
        <v/>
      </c>
      <c r="W1947" s="78">
        <f>T1947/L1947</f>
        <v/>
      </c>
      <c r="X1947" s="79">
        <f>ABS(W1947)</f>
        <v/>
      </c>
    </row>
    <row r="1948" ht="11.4" customHeight="1">
      <c r="A1948" s="67" t="inlineStr">
        <is>
          <t>大甜55</t>
        </is>
      </c>
      <c r="B1948" s="67" t="inlineStr">
        <is>
          <t>1053</t>
        </is>
      </c>
      <c r="C1948" s="67" t="inlineStr">
        <is>
          <t>1611</t>
        </is>
      </c>
      <c r="D1948" s="68" t="inlineStr">
        <is>
          <t>03</t>
        </is>
      </c>
      <c r="E1948" s="68" t="inlineStr">
        <is>
          <t>6 物业施工费</t>
        </is>
      </c>
      <c r="F1948" s="68" t="inlineStr">
        <is>
          <t>6.1 总承包工程</t>
        </is>
      </c>
      <c r="G1948" s="68" t="inlineStr">
        <is>
          <t>6.1.1 内部装修工程</t>
        </is>
      </c>
      <c r="H1948" s="68" t="inlineStr">
        <is>
          <t>厨房地面(含不超过50mm厚的找平层)</t>
        </is>
      </c>
      <c r="I1948" s="69" t="inlineStr">
        <is>
          <t>1000021676</t>
        </is>
      </c>
      <c r="J1948" s="69" t="inlineStr">
        <is>
          <t>150x150mm灰色砖地面（冠军，含不超过50mm厚的找平层）</t>
        </is>
      </c>
      <c r="K1948" s="70" t="n"/>
      <c r="L1948" s="70" t="n"/>
      <c r="M1948" s="71" t="inlineStr">
        <is>
          <t>m2</t>
        </is>
      </c>
      <c r="N1948" s="72" t="n">
        <v>202.66</v>
      </c>
      <c r="O1948" s="72">
        <f>ROUND(N1948*(1+$F$10),2)</f>
        <v/>
      </c>
      <c r="P1948" s="73">
        <f>ROUND(K1948*N1948,2)</f>
        <v/>
      </c>
      <c r="Q1948" s="74">
        <f>ROUND(L1948*N1948,2)</f>
        <v/>
      </c>
      <c r="R1948" s="75" t="n"/>
      <c r="S1948" s="76" t="n"/>
      <c r="T1948" s="77">
        <f>K1948-L1948</f>
        <v/>
      </c>
      <c r="U1948" s="77">
        <f>P1948-Q1948</f>
        <v/>
      </c>
      <c r="V1948" s="77">
        <f>ABS(U1948)</f>
        <v/>
      </c>
      <c r="W1948" s="78">
        <f>T1948/L1948</f>
        <v/>
      </c>
      <c r="X1948" s="79">
        <f>ABS(W1948)</f>
        <v/>
      </c>
    </row>
    <row r="1949" ht="11.4" customHeight="1">
      <c r="A1949" s="67" t="inlineStr">
        <is>
          <t>大甜55</t>
        </is>
      </c>
      <c r="B1949" s="67" t="inlineStr">
        <is>
          <t>1053</t>
        </is>
      </c>
      <c r="C1949" s="67" t="inlineStr">
        <is>
          <t>1611</t>
        </is>
      </c>
      <c r="D1949" s="68" t="inlineStr">
        <is>
          <t>03</t>
        </is>
      </c>
      <c r="E1949" s="68" t="inlineStr">
        <is>
          <t>6 物业施工费</t>
        </is>
      </c>
      <c r="F1949" s="68" t="inlineStr">
        <is>
          <t>6.1 总承包工程</t>
        </is>
      </c>
      <c r="G1949" s="68" t="inlineStr">
        <is>
          <t>6.1.1 内部装修工程</t>
        </is>
      </c>
      <c r="H1949" s="68" t="inlineStr">
        <is>
          <t>厨房地面(含不超过50mm厚的找平层)</t>
        </is>
      </c>
      <c r="I1949" s="69" t="inlineStr">
        <is>
          <t>1000021677</t>
        </is>
      </c>
      <c r="J1949" s="69" t="inlineStr">
        <is>
          <t>灰色砖踢脚（冠军，含阴阳角）</t>
        </is>
      </c>
      <c r="K1949" s="70" t="n"/>
      <c r="L1949" s="70" t="n"/>
      <c r="M1949" s="71" t="inlineStr">
        <is>
          <t>米</t>
        </is>
      </c>
      <c r="N1949" s="72" t="n">
        <v>101.27</v>
      </c>
      <c r="O1949" s="72">
        <f>ROUND(N1949*(1+$F$10),2)</f>
        <v/>
      </c>
      <c r="P1949" s="73">
        <f>ROUND(K1949*N1949,2)</f>
        <v/>
      </c>
      <c r="Q1949" s="74">
        <f>ROUND(L1949*N1949,2)</f>
        <v/>
      </c>
      <c r="R1949" s="75" t="n"/>
      <c r="S1949" s="76" t="n"/>
      <c r="T1949" s="77">
        <f>K1949-L1949</f>
        <v/>
      </c>
      <c r="U1949" s="77">
        <f>P1949-Q1949</f>
        <v/>
      </c>
      <c r="V1949" s="77">
        <f>ABS(U1949)</f>
        <v/>
      </c>
      <c r="W1949" s="78">
        <f>T1949/L1949</f>
        <v/>
      </c>
      <c r="X1949" s="79">
        <f>ABS(W1949)</f>
        <v/>
      </c>
    </row>
    <row r="1950" ht="11.4" customHeight="1">
      <c r="A1950" s="67" t="inlineStr">
        <is>
          <t>大甜55</t>
        </is>
      </c>
      <c r="B1950" s="67" t="inlineStr">
        <is>
          <t>1053</t>
        </is>
      </c>
      <c r="C1950" s="67" t="inlineStr">
        <is>
          <t>1611</t>
        </is>
      </c>
      <c r="D1950" s="68" t="inlineStr">
        <is>
          <t>03</t>
        </is>
      </c>
      <c r="E1950" s="68" t="inlineStr">
        <is>
          <t>6 物业施工费</t>
        </is>
      </c>
      <c r="F1950" s="68" t="inlineStr">
        <is>
          <t>6.1 总承包工程</t>
        </is>
      </c>
      <c r="G1950" s="68" t="inlineStr">
        <is>
          <t>6.1.1 内部装修工程</t>
        </is>
      </c>
      <c r="H1950" s="68" t="inlineStr">
        <is>
          <t>厨房地面(含不超过50mm厚的找平层)</t>
        </is>
      </c>
      <c r="I1950" s="69" t="inlineStr">
        <is>
          <t>1000021456</t>
        </is>
      </c>
      <c r="J1950" s="69" t="inlineStr">
        <is>
          <t>国产同质砖（琛雄，含不超过50mm厚的找平层）</t>
        </is>
      </c>
      <c r="K1950" s="70" t="n"/>
      <c r="L1950" s="70" t="n"/>
      <c r="M1950" s="71" t="inlineStr">
        <is>
          <t>m2</t>
        </is>
      </c>
      <c r="N1950" s="72" t="n">
        <v>180.78</v>
      </c>
      <c r="O1950" s="72">
        <f>ROUND(N1950*(1+$F$10),2)</f>
        <v/>
      </c>
      <c r="P1950" s="73">
        <f>ROUND(K1950*N1950,2)</f>
        <v/>
      </c>
      <c r="Q1950" s="74">
        <f>ROUND(L1950*N1950,2)</f>
        <v/>
      </c>
      <c r="R1950" s="75" t="n"/>
      <c r="S1950" s="76" t="n"/>
      <c r="T1950" s="77">
        <f>K1950-L1950</f>
        <v/>
      </c>
      <c r="U1950" s="77">
        <f>P1950-Q1950</f>
        <v/>
      </c>
      <c r="V1950" s="77">
        <f>ABS(U1950)</f>
        <v/>
      </c>
      <c r="W1950" s="78">
        <f>T1950/L1950</f>
        <v/>
      </c>
      <c r="X1950" s="79">
        <f>ABS(W1950)</f>
        <v/>
      </c>
    </row>
    <row r="1951" ht="11.4" customHeight="1">
      <c r="A1951" s="67" t="inlineStr">
        <is>
          <t>大甜55</t>
        </is>
      </c>
      <c r="B1951" s="67" t="inlineStr">
        <is>
          <t>1053</t>
        </is>
      </c>
      <c r="C1951" s="67" t="inlineStr">
        <is>
          <t>1611</t>
        </is>
      </c>
      <c r="D1951" s="68" t="inlineStr">
        <is>
          <t>03</t>
        </is>
      </c>
      <c r="E1951" s="68" t="inlineStr">
        <is>
          <t>6 物业施工费</t>
        </is>
      </c>
      <c r="F1951" s="68" t="inlineStr">
        <is>
          <t>6.1 总承包工程</t>
        </is>
      </c>
      <c r="G1951" s="68" t="inlineStr">
        <is>
          <t>6.1.1 内部装修工程</t>
        </is>
      </c>
      <c r="H1951" s="68" t="inlineStr">
        <is>
          <t>厨房地面(含不超过50mm厚的找平层)</t>
        </is>
      </c>
      <c r="I1951" s="69" t="inlineStr">
        <is>
          <t>1000021457</t>
        </is>
      </c>
      <c r="J1951" s="69" t="inlineStr">
        <is>
          <t>国产同质砖踢脚（琛雄）</t>
        </is>
      </c>
      <c r="K1951" s="70" t="n"/>
      <c r="L1951" s="70" t="n"/>
      <c r="M1951" s="71" t="inlineStr">
        <is>
          <t>米</t>
        </is>
      </c>
      <c r="N1951" s="72" t="n">
        <v>41.36</v>
      </c>
      <c r="O1951" s="72">
        <f>ROUND(N1951*(1+$F$10),2)</f>
        <v/>
      </c>
      <c r="P1951" s="73">
        <f>ROUND(K1951*N1951,2)</f>
        <v/>
      </c>
      <c r="Q1951" s="74">
        <f>ROUND(L1951*N1951,2)</f>
        <v/>
      </c>
      <c r="R1951" s="75" t="n"/>
      <c r="S1951" s="76" t="n"/>
      <c r="T1951" s="77">
        <f>K1951-L1951</f>
        <v/>
      </c>
      <c r="U1951" s="77">
        <f>P1951-Q1951</f>
        <v/>
      </c>
      <c r="V1951" s="77">
        <f>ABS(U1951)</f>
        <v/>
      </c>
      <c r="W1951" s="78">
        <f>T1951/L1951</f>
        <v/>
      </c>
      <c r="X1951" s="79">
        <f>ABS(W1951)</f>
        <v/>
      </c>
    </row>
    <row r="1952" ht="11.4" customHeight="1">
      <c r="A1952" s="67" t="inlineStr">
        <is>
          <t>大甜55</t>
        </is>
      </c>
      <c r="B1952" s="67" t="inlineStr">
        <is>
          <t>1053</t>
        </is>
      </c>
      <c r="C1952" s="67" t="inlineStr">
        <is>
          <t>1611</t>
        </is>
      </c>
      <c r="D1952" s="68" t="inlineStr">
        <is>
          <t>03</t>
        </is>
      </c>
      <c r="E1952" s="68" t="inlineStr">
        <is>
          <t>6 物业施工费</t>
        </is>
      </c>
      <c r="F1952" s="68" t="inlineStr">
        <is>
          <t>6.1 总承包工程</t>
        </is>
      </c>
      <c r="G1952" s="68" t="inlineStr">
        <is>
          <t>6.1.1 内部装修工程</t>
        </is>
      </c>
      <c r="H1952" s="68" t="inlineStr">
        <is>
          <t>厨房地面(含不超过50mm厚的找平层)</t>
        </is>
      </c>
      <c r="I1952" s="69" t="inlineStr">
        <is>
          <t>1000021643</t>
        </is>
      </c>
      <c r="J1952" s="69" t="inlineStr">
        <is>
          <t>国产同质砖（共荣，含不超过50mm厚的找平层）</t>
        </is>
      </c>
      <c r="K1952" s="70" t="n"/>
      <c r="L1952" s="70" t="n"/>
      <c r="M1952" s="71" t="inlineStr">
        <is>
          <t>m2</t>
        </is>
      </c>
      <c r="N1952" s="72" t="n">
        <v>160.21</v>
      </c>
      <c r="O1952" s="72">
        <f>ROUND(N1952*(1+$F$10),2)</f>
        <v/>
      </c>
      <c r="P1952" s="73">
        <f>ROUND(K1952*N1952,2)</f>
        <v/>
      </c>
      <c r="Q1952" s="74">
        <f>ROUND(L1952*N1952,2)</f>
        <v/>
      </c>
      <c r="R1952" s="75" t="n"/>
      <c r="S1952" s="76" t="n"/>
      <c r="T1952" s="77">
        <f>K1952-L1952</f>
        <v/>
      </c>
      <c r="U1952" s="77">
        <f>P1952-Q1952</f>
        <v/>
      </c>
      <c r="V1952" s="77">
        <f>ABS(U1952)</f>
        <v/>
      </c>
      <c r="W1952" s="78">
        <f>T1952/L1952</f>
        <v/>
      </c>
      <c r="X1952" s="79">
        <f>ABS(W1952)</f>
        <v/>
      </c>
    </row>
    <row r="1953" ht="11.4" customHeight="1">
      <c r="A1953" s="67" t="inlineStr">
        <is>
          <t>大甜55</t>
        </is>
      </c>
      <c r="B1953" s="67" t="inlineStr">
        <is>
          <t>1053</t>
        </is>
      </c>
      <c r="C1953" s="67" t="inlineStr">
        <is>
          <t>1611</t>
        </is>
      </c>
      <c r="D1953" s="68" t="inlineStr">
        <is>
          <t>03</t>
        </is>
      </c>
      <c r="E1953" s="68" t="inlineStr">
        <is>
          <t>6 物业施工费</t>
        </is>
      </c>
      <c r="F1953" s="68" t="inlineStr">
        <is>
          <t>6.1 总承包工程</t>
        </is>
      </c>
      <c r="G1953" s="68" t="inlineStr">
        <is>
          <t>6.1.1 内部装修工程</t>
        </is>
      </c>
      <c r="H1953" s="68" t="inlineStr">
        <is>
          <t>厨房地面(含不超过50mm厚的找平层)</t>
        </is>
      </c>
      <c r="I1953" s="69" t="inlineStr">
        <is>
          <t>1000021644</t>
        </is>
      </c>
      <c r="J1953" s="69" t="inlineStr">
        <is>
          <t>国产同质砖踢脚（共荣）</t>
        </is>
      </c>
      <c r="K1953" s="70" t="n"/>
      <c r="L1953" s="70" t="n"/>
      <c r="M1953" s="71" t="inlineStr">
        <is>
          <t>米</t>
        </is>
      </c>
      <c r="N1953" s="72" t="n">
        <v>38.94</v>
      </c>
      <c r="O1953" s="72">
        <f>ROUND(N1953*(1+$F$10),2)</f>
        <v/>
      </c>
      <c r="P1953" s="73">
        <f>ROUND(K1953*N1953,2)</f>
        <v/>
      </c>
      <c r="Q1953" s="74">
        <f>ROUND(L1953*N1953,2)</f>
        <v/>
      </c>
      <c r="R1953" s="75" t="n"/>
      <c r="S1953" s="76" t="n"/>
      <c r="T1953" s="77">
        <f>K1953-L1953</f>
        <v/>
      </c>
      <c r="U1953" s="77">
        <f>P1953-Q1953</f>
        <v/>
      </c>
      <c r="V1953" s="77">
        <f>ABS(U1953)</f>
        <v/>
      </c>
      <c r="W1953" s="78">
        <f>T1953/L1953</f>
        <v/>
      </c>
      <c r="X1953" s="79">
        <f>ABS(W1953)</f>
        <v/>
      </c>
    </row>
    <row r="1954" ht="11.4" customHeight="1">
      <c r="A1954" s="67" t="inlineStr">
        <is>
          <t>大甜55</t>
        </is>
      </c>
      <c r="B1954" s="67" t="inlineStr">
        <is>
          <t>1053</t>
        </is>
      </c>
      <c r="C1954" s="67" t="inlineStr">
        <is>
          <t>1611</t>
        </is>
      </c>
      <c r="D1954" s="68" t="inlineStr">
        <is>
          <t>03</t>
        </is>
      </c>
      <c r="E1954" s="68" t="inlineStr">
        <is>
          <t>6 物业施工费</t>
        </is>
      </c>
      <c r="F1954" s="68" t="inlineStr">
        <is>
          <t>6.1 总承包工程</t>
        </is>
      </c>
      <c r="G1954" s="68" t="inlineStr">
        <is>
          <t>6.1.1 内部装修工程</t>
        </is>
      </c>
      <c r="H1954" s="68" t="inlineStr">
        <is>
          <t>厨房地面(含不超过50mm厚的找平层)</t>
        </is>
      </c>
      <c r="I1954" s="69" t="inlineStr">
        <is>
          <t>1000021622</t>
        </is>
      </c>
      <c r="J1954" s="69" t="inlineStr">
        <is>
          <t>国产同质砖（冠军，含不超过50mm厚的找平层）</t>
        </is>
      </c>
      <c r="K1954" s="70" t="n"/>
      <c r="L1954" s="70" t="n"/>
      <c r="M1954" s="71" t="inlineStr">
        <is>
          <t>m2</t>
        </is>
      </c>
      <c r="N1954" s="72" t="n">
        <v>181.99</v>
      </c>
      <c r="O1954" s="72">
        <f>ROUND(N1954*(1+$F$10),2)</f>
        <v/>
      </c>
      <c r="P1954" s="73">
        <f>ROUND(K1954*N1954,2)</f>
        <v/>
      </c>
      <c r="Q1954" s="74">
        <f>ROUND(L1954*N1954,2)</f>
        <v/>
      </c>
      <c r="R1954" s="75" t="n"/>
      <c r="S1954" s="76" t="n"/>
      <c r="T1954" s="77">
        <f>K1954-L1954</f>
        <v/>
      </c>
      <c r="U1954" s="77">
        <f>P1954-Q1954</f>
        <v/>
      </c>
      <c r="V1954" s="77">
        <f>ABS(U1954)</f>
        <v/>
      </c>
      <c r="W1954" s="78">
        <f>T1954/L1954</f>
        <v/>
      </c>
      <c r="X1954" s="79">
        <f>ABS(W1954)</f>
        <v/>
      </c>
    </row>
    <row r="1955" ht="11.4" customHeight="1">
      <c r="A1955" s="67" t="inlineStr">
        <is>
          <t>大甜55</t>
        </is>
      </c>
      <c r="B1955" s="67" t="inlineStr">
        <is>
          <t>1053</t>
        </is>
      </c>
      <c r="C1955" s="67" t="inlineStr">
        <is>
          <t>1611</t>
        </is>
      </c>
      <c r="D1955" s="68" t="inlineStr">
        <is>
          <t>03</t>
        </is>
      </c>
      <c r="E1955" s="68" t="inlineStr">
        <is>
          <t>6 物业施工费</t>
        </is>
      </c>
      <c r="F1955" s="68" t="inlineStr">
        <is>
          <t>6.1 总承包工程</t>
        </is>
      </c>
      <c r="G1955" s="68" t="inlineStr">
        <is>
          <t>6.1.1 内部装修工程</t>
        </is>
      </c>
      <c r="H1955" s="68" t="inlineStr">
        <is>
          <t>厨房地面(含不超过50mm厚的找平层)</t>
        </is>
      </c>
      <c r="I1955" s="69" t="inlineStr">
        <is>
          <t>1000021623</t>
        </is>
      </c>
      <c r="J1955" s="69" t="inlineStr">
        <is>
          <t>国产同质砖踢脚（冠军）</t>
        </is>
      </c>
      <c r="K1955" s="70" t="n"/>
      <c r="L1955" s="70" t="n"/>
      <c r="M1955" s="71" t="inlineStr">
        <is>
          <t>米</t>
        </is>
      </c>
      <c r="N1955" s="72" t="n">
        <v>42.57</v>
      </c>
      <c r="O1955" s="72">
        <f>ROUND(N1955*(1+$F$10),2)</f>
        <v/>
      </c>
      <c r="P1955" s="73">
        <f>ROUND(K1955*N1955,2)</f>
        <v/>
      </c>
      <c r="Q1955" s="74">
        <f>ROUND(L1955*N1955,2)</f>
        <v/>
      </c>
      <c r="R1955" s="75" t="n"/>
      <c r="S1955" s="76" t="n"/>
      <c r="T1955" s="77">
        <f>K1955-L1955</f>
        <v/>
      </c>
      <c r="U1955" s="77">
        <f>P1955-Q1955</f>
        <v/>
      </c>
      <c r="V1955" s="77">
        <f>ABS(U1955)</f>
        <v/>
      </c>
      <c r="W1955" s="78">
        <f>T1955/L1955</f>
        <v/>
      </c>
      <c r="X1955" s="79">
        <f>ABS(W1955)</f>
        <v/>
      </c>
    </row>
    <row r="1956" ht="11.4" customHeight="1">
      <c r="A1956" s="67" t="inlineStr">
        <is>
          <t>大甜55</t>
        </is>
      </c>
      <c r="B1956" s="67" t="inlineStr">
        <is>
          <t>1053</t>
        </is>
      </c>
      <c r="C1956" s="67" t="inlineStr">
        <is>
          <t>1611</t>
        </is>
      </c>
      <c r="D1956" s="68" t="inlineStr">
        <is>
          <t>03</t>
        </is>
      </c>
      <c r="E1956" s="68" t="inlineStr">
        <is>
          <t>6 物业施工费</t>
        </is>
      </c>
      <c r="F1956" s="68" t="inlineStr">
        <is>
          <t>6.1 总承包工程</t>
        </is>
      </c>
      <c r="G1956" s="68" t="inlineStr">
        <is>
          <t>6.1.1 内部装修工程</t>
        </is>
      </c>
      <c r="H1956" s="68" t="inlineStr">
        <is>
          <t>厨房地面(含不超过50mm厚的找平层)</t>
        </is>
      </c>
      <c r="I1956" s="69" t="inlineStr">
        <is>
          <t>1000051755</t>
        </is>
      </c>
      <c r="J1956" s="69" t="inlineStr">
        <is>
          <t>600*600mm灰色水泥地砖（琛雄，含不超过50mm厚的找平层）</t>
        </is>
      </c>
      <c r="K1956" s="70" t="n"/>
      <c r="L1956" s="70" t="n"/>
      <c r="M1956" s="71" t="inlineStr">
        <is>
          <t>m2</t>
        </is>
      </c>
      <c r="N1956" s="72" t="n">
        <v>187.98</v>
      </c>
      <c r="O1956" s="72">
        <f>ROUND(N1956*(1+$F$10),2)</f>
        <v/>
      </c>
      <c r="P1956" s="73">
        <f>ROUND(K1956*N1956,2)</f>
        <v/>
      </c>
      <c r="Q1956" s="74">
        <f>ROUND(L1956*N1956,2)</f>
        <v/>
      </c>
      <c r="R1956" s="75" t="n"/>
      <c r="S1956" s="76" t="n"/>
      <c r="T1956" s="77">
        <f>K1956-L1956</f>
        <v/>
      </c>
      <c r="U1956" s="77">
        <f>P1956-Q1956</f>
        <v/>
      </c>
      <c r="V1956" s="77">
        <f>ABS(U1956)</f>
        <v/>
      </c>
      <c r="W1956" s="78">
        <f>T1956/L1956</f>
        <v/>
      </c>
      <c r="X1956" s="79">
        <f>ABS(W1956)</f>
        <v/>
      </c>
    </row>
    <row r="1957" ht="11.4" customHeight="1">
      <c r="A1957" s="67" t="inlineStr">
        <is>
          <t>大甜55</t>
        </is>
      </c>
      <c r="B1957" s="67" t="inlineStr">
        <is>
          <t>1053</t>
        </is>
      </c>
      <c r="C1957" s="67" t="inlineStr">
        <is>
          <t>1611</t>
        </is>
      </c>
      <c r="D1957" s="68" t="inlineStr">
        <is>
          <t>03</t>
        </is>
      </c>
      <c r="E1957" s="68" t="inlineStr">
        <is>
          <t>6 物业施工费</t>
        </is>
      </c>
      <c r="F1957" s="68" t="inlineStr">
        <is>
          <t>6.1 总承包工程</t>
        </is>
      </c>
      <c r="G1957" s="68" t="inlineStr">
        <is>
          <t>6.1.1 内部装修工程</t>
        </is>
      </c>
      <c r="H1957" s="68" t="inlineStr">
        <is>
          <t>厨房地面(含不超过50mm厚的找平层)</t>
        </is>
      </c>
      <c r="I1957" s="69" t="inlineStr">
        <is>
          <t>1000051756</t>
        </is>
      </c>
      <c r="J1957" s="69" t="inlineStr">
        <is>
          <t>600*600mm灰色水泥地砖（共荣，含不超过50mm厚的找平层）</t>
        </is>
      </c>
      <c r="K1957" s="70" t="n"/>
      <c r="L1957" s="70" t="n"/>
      <c r="M1957" s="71" t="inlineStr">
        <is>
          <t>m2</t>
        </is>
      </c>
      <c r="N1957" s="72" t="n">
        <v>171.66</v>
      </c>
      <c r="O1957" s="72">
        <f>ROUND(N1957*(1+$F$10),2)</f>
        <v/>
      </c>
      <c r="P1957" s="73">
        <f>ROUND(K1957*N1957,2)</f>
        <v/>
      </c>
      <c r="Q1957" s="74">
        <f>ROUND(L1957*N1957,2)</f>
        <v/>
      </c>
      <c r="R1957" s="75" t="n"/>
      <c r="S1957" s="76" t="n"/>
      <c r="T1957" s="77">
        <f>K1957-L1957</f>
        <v/>
      </c>
      <c r="U1957" s="77">
        <f>P1957-Q1957</f>
        <v/>
      </c>
      <c r="V1957" s="77">
        <f>ABS(U1957)</f>
        <v/>
      </c>
      <c r="W1957" s="78">
        <f>T1957/L1957</f>
        <v/>
      </c>
      <c r="X1957" s="79">
        <f>ABS(W1957)</f>
        <v/>
      </c>
    </row>
    <row r="1958" ht="11.4" customHeight="1">
      <c r="A1958" s="67" t="inlineStr">
        <is>
          <t>大甜55</t>
        </is>
      </c>
      <c r="B1958" s="67" t="inlineStr">
        <is>
          <t>1053</t>
        </is>
      </c>
      <c r="C1958" s="67" t="inlineStr">
        <is>
          <t>1611</t>
        </is>
      </c>
      <c r="D1958" s="68" t="inlineStr">
        <is>
          <t>03</t>
        </is>
      </c>
      <c r="E1958" s="68" t="inlineStr">
        <is>
          <t>6 物业施工费</t>
        </is>
      </c>
      <c r="F1958" s="68" t="inlineStr">
        <is>
          <t>6.1 总承包工程</t>
        </is>
      </c>
      <c r="G1958" s="68" t="inlineStr">
        <is>
          <t>6.1.1 内部装修工程</t>
        </is>
      </c>
      <c r="H1958" s="68" t="inlineStr">
        <is>
          <t>厨房地面(含不超过50mm厚的找平层)</t>
        </is>
      </c>
      <c r="I1958" s="69" t="inlineStr">
        <is>
          <t>1000051757</t>
        </is>
      </c>
      <c r="J1958" s="69" t="inlineStr">
        <is>
          <t>600*600mm灰色水泥地砖（冠军，含不超过50mm厚的找平层）</t>
        </is>
      </c>
      <c r="K1958" s="70" t="n"/>
      <c r="L1958" s="70" t="n"/>
      <c r="M1958" s="71" t="inlineStr">
        <is>
          <t>m2</t>
        </is>
      </c>
      <c r="N1958" s="72" t="n">
        <v>189.15</v>
      </c>
      <c r="O1958" s="72">
        <f>ROUND(N1958*(1+$F$10),2)</f>
        <v/>
      </c>
      <c r="P1958" s="73">
        <f>ROUND(K1958*N1958,2)</f>
        <v/>
      </c>
      <c r="Q1958" s="74">
        <f>ROUND(L1958*N1958,2)</f>
        <v/>
      </c>
      <c r="R1958" s="75" t="n"/>
      <c r="S1958" s="76" t="n"/>
      <c r="T1958" s="77">
        <f>K1958-L1958</f>
        <v/>
      </c>
      <c r="U1958" s="77">
        <f>P1958-Q1958</f>
        <v/>
      </c>
      <c r="V1958" s="77">
        <f>ABS(U1958)</f>
        <v/>
      </c>
      <c r="W1958" s="78">
        <f>T1958/L1958</f>
        <v/>
      </c>
      <c r="X1958" s="79">
        <f>ABS(W1958)</f>
        <v/>
      </c>
    </row>
    <row r="1959" ht="11.4" customHeight="1">
      <c r="A1959" s="67" t="inlineStr">
        <is>
          <t>大甜55</t>
        </is>
      </c>
      <c r="B1959" s="67" t="inlineStr">
        <is>
          <t>1053</t>
        </is>
      </c>
      <c r="C1959" s="67" t="inlineStr">
        <is>
          <t>1611</t>
        </is>
      </c>
      <c r="D1959" s="68" t="inlineStr">
        <is>
          <t>03</t>
        </is>
      </c>
      <c r="E1959" s="68" t="inlineStr">
        <is>
          <t>6 物业施工费</t>
        </is>
      </c>
      <c r="F1959" s="68" t="inlineStr">
        <is>
          <t>6.1 总承包工程</t>
        </is>
      </c>
      <c r="G1959" s="68" t="inlineStr">
        <is>
          <t>6.1.1 内部装修工程</t>
        </is>
      </c>
      <c r="H1959" s="68" t="inlineStr">
        <is>
          <t>厨房地面(含不超过50mm厚的找平层)</t>
        </is>
      </c>
      <c r="I1959" s="69" t="inlineStr">
        <is>
          <t>1000053612</t>
        </is>
      </c>
      <c r="J1959" s="69" t="inlineStr">
        <is>
          <t>灰色水泥纹踢脚（琛雄）</t>
        </is>
      </c>
      <c r="K1959" s="70" t="n"/>
      <c r="L1959" s="70" t="n"/>
      <c r="M1959" s="71" t="inlineStr">
        <is>
          <t>米</t>
        </is>
      </c>
      <c r="N1959" s="72" t="n">
        <v>41.36</v>
      </c>
      <c r="O1959" s="72">
        <f>ROUND(N1959*(1+$F$10),2)</f>
        <v/>
      </c>
      <c r="P1959" s="73">
        <f>ROUND(K1959*N1959,2)</f>
        <v/>
      </c>
      <c r="Q1959" s="74">
        <f>ROUND(L1959*N1959,2)</f>
        <v/>
      </c>
      <c r="R1959" s="75" t="n"/>
      <c r="S1959" s="76" t="n"/>
      <c r="T1959" s="77">
        <f>K1959-L1959</f>
        <v/>
      </c>
      <c r="U1959" s="77">
        <f>P1959-Q1959</f>
        <v/>
      </c>
      <c r="V1959" s="77">
        <f>ABS(U1959)</f>
        <v/>
      </c>
      <c r="W1959" s="78">
        <f>T1959/L1959</f>
        <v/>
      </c>
      <c r="X1959" s="79">
        <f>ABS(W1959)</f>
        <v/>
      </c>
    </row>
    <row r="1960" ht="11.4" customHeight="1">
      <c r="A1960" s="67" t="inlineStr">
        <is>
          <t>大甜55</t>
        </is>
      </c>
      <c r="B1960" s="67" t="inlineStr">
        <is>
          <t>1053</t>
        </is>
      </c>
      <c r="C1960" s="67" t="inlineStr">
        <is>
          <t>1611</t>
        </is>
      </c>
      <c r="D1960" s="68" t="inlineStr">
        <is>
          <t>03</t>
        </is>
      </c>
      <c r="E1960" s="68" t="inlineStr">
        <is>
          <t>6 物业施工费</t>
        </is>
      </c>
      <c r="F1960" s="68" t="inlineStr">
        <is>
          <t>6.1 总承包工程</t>
        </is>
      </c>
      <c r="G1960" s="68" t="inlineStr">
        <is>
          <t>6.1.1 内部装修工程</t>
        </is>
      </c>
      <c r="H1960" s="68" t="inlineStr">
        <is>
          <t>厨房地面(含不超过50mm厚的找平层)</t>
        </is>
      </c>
      <c r="I1960" s="69" t="inlineStr">
        <is>
          <t>1000053613</t>
        </is>
      </c>
      <c r="J1960" s="69" t="inlineStr">
        <is>
          <t>灰色水泥纹踢脚（共荣）</t>
        </is>
      </c>
      <c r="K1960" s="70" t="n"/>
      <c r="L1960" s="70" t="n"/>
      <c r="M1960" s="71" t="inlineStr">
        <is>
          <t>米</t>
        </is>
      </c>
      <c r="N1960" s="72" t="n">
        <v>38.94</v>
      </c>
      <c r="O1960" s="72">
        <f>ROUND(N1960*(1+$F$10),2)</f>
        <v/>
      </c>
      <c r="P1960" s="73">
        <f>ROUND(K1960*N1960,2)</f>
        <v/>
      </c>
      <c r="Q1960" s="74">
        <f>ROUND(L1960*N1960,2)</f>
        <v/>
      </c>
      <c r="R1960" s="75" t="n"/>
      <c r="S1960" s="76" t="n"/>
      <c r="T1960" s="77">
        <f>K1960-L1960</f>
        <v/>
      </c>
      <c r="U1960" s="77">
        <f>P1960-Q1960</f>
        <v/>
      </c>
      <c r="V1960" s="77">
        <f>ABS(U1960)</f>
        <v/>
      </c>
      <c r="W1960" s="78">
        <f>T1960/L1960</f>
        <v/>
      </c>
      <c r="X1960" s="79">
        <f>ABS(W1960)</f>
        <v/>
      </c>
    </row>
    <row r="1961" ht="11.4" customHeight="1">
      <c r="A1961" s="67" t="inlineStr">
        <is>
          <t>大甜55</t>
        </is>
      </c>
      <c r="B1961" s="67" t="inlineStr">
        <is>
          <t>1053</t>
        </is>
      </c>
      <c r="C1961" s="67" t="inlineStr">
        <is>
          <t>1611</t>
        </is>
      </c>
      <c r="D1961" s="68" t="inlineStr">
        <is>
          <t>03</t>
        </is>
      </c>
      <c r="E1961" s="68" t="inlineStr">
        <is>
          <t>6 物业施工费</t>
        </is>
      </c>
      <c r="F1961" s="68" t="inlineStr">
        <is>
          <t>6.1 总承包工程</t>
        </is>
      </c>
      <c r="G1961" s="68" t="inlineStr">
        <is>
          <t>6.1.1 内部装修工程</t>
        </is>
      </c>
      <c r="H1961" s="68" t="inlineStr">
        <is>
          <t>厨房地面(含不超过50mm厚的找平层)</t>
        </is>
      </c>
      <c r="I1961" s="69" t="inlineStr">
        <is>
          <t>1000053614</t>
        </is>
      </c>
      <c r="J1961" s="69" t="inlineStr">
        <is>
          <t>灰色水泥纹踢脚（冠军）</t>
        </is>
      </c>
      <c r="K1961" s="70" t="n"/>
      <c r="L1961" s="70" t="n"/>
      <c r="M1961" s="71" t="inlineStr">
        <is>
          <t>米</t>
        </is>
      </c>
      <c r="N1961" s="72" t="n">
        <v>40.15</v>
      </c>
      <c r="O1961" s="72">
        <f>ROUND(N1961*(1+$F$10),2)</f>
        <v/>
      </c>
      <c r="P1961" s="73">
        <f>ROUND(K1961*N1961,2)</f>
        <v/>
      </c>
      <c r="Q1961" s="74">
        <f>ROUND(L1961*N1961,2)</f>
        <v/>
      </c>
      <c r="R1961" s="75" t="n"/>
      <c r="S1961" s="76" t="n"/>
      <c r="T1961" s="77">
        <f>K1961-L1961</f>
        <v/>
      </c>
      <c r="U1961" s="77">
        <f>P1961-Q1961</f>
        <v/>
      </c>
      <c r="V1961" s="77">
        <f>ABS(U1961)</f>
        <v/>
      </c>
      <c r="W1961" s="78">
        <f>T1961/L1961</f>
        <v/>
      </c>
      <c r="X1961" s="79">
        <f>ABS(W1961)</f>
        <v/>
      </c>
    </row>
    <row r="1962" ht="11.4" customHeight="1">
      <c r="A1962" s="67" t="inlineStr">
        <is>
          <t>大甜55</t>
        </is>
      </c>
      <c r="B1962" s="67" t="inlineStr">
        <is>
          <t>1053</t>
        </is>
      </c>
      <c r="C1962" s="67" t="inlineStr">
        <is>
          <t>1611</t>
        </is>
      </c>
      <c r="D1962" s="68" t="inlineStr">
        <is>
          <t>03</t>
        </is>
      </c>
      <c r="E1962" s="68" t="inlineStr">
        <is>
          <t>6 物业施工费</t>
        </is>
      </c>
      <c r="F1962" s="68" t="inlineStr">
        <is>
          <t>6.1 总承包工程</t>
        </is>
      </c>
      <c r="G1962" s="68" t="inlineStr">
        <is>
          <t>6.1.1 内部装修工程</t>
        </is>
      </c>
      <c r="H1962" s="68" t="inlineStr">
        <is>
          <t>厨房地面(含不超过50mm厚的找平层)</t>
        </is>
      </c>
      <c r="I1962" s="69" t="inlineStr">
        <is>
          <t>1000021666</t>
        </is>
      </c>
      <c r="J1962" s="69" t="inlineStr">
        <is>
          <t>600*600mm水磨石地砖（琛雄，含不超过50mm厚的找平层）</t>
        </is>
      </c>
      <c r="K1962" s="70" t="n"/>
      <c r="L1962" s="70" t="n"/>
      <c r="M1962" s="71" t="inlineStr">
        <is>
          <t>m2</t>
        </is>
      </c>
      <c r="N1962" s="72" t="n">
        <v>196.14</v>
      </c>
      <c r="O1962" s="72">
        <f>ROUND(N1962*(1+$F$10),2)</f>
        <v/>
      </c>
      <c r="P1962" s="73">
        <f>ROUND(K1962*N1962,2)</f>
        <v/>
      </c>
      <c r="Q1962" s="74">
        <f>ROUND(L1962*N1962,2)</f>
        <v/>
      </c>
      <c r="R1962" s="75" t="n"/>
      <c r="S1962" s="76" t="n"/>
      <c r="T1962" s="77">
        <f>K1962-L1962</f>
        <v/>
      </c>
      <c r="U1962" s="77">
        <f>P1962-Q1962</f>
        <v/>
      </c>
      <c r="V1962" s="77">
        <f>ABS(U1962)</f>
        <v/>
      </c>
      <c r="W1962" s="78">
        <f>T1962/L1962</f>
        <v/>
      </c>
      <c r="X1962" s="79">
        <f>ABS(W1962)</f>
        <v/>
      </c>
    </row>
    <row r="1963" ht="11.4" customHeight="1">
      <c r="A1963" s="67" t="inlineStr">
        <is>
          <t>大甜55</t>
        </is>
      </c>
      <c r="B1963" s="67" t="inlineStr">
        <is>
          <t>1053</t>
        </is>
      </c>
      <c r="C1963" s="67" t="inlineStr">
        <is>
          <t>1611</t>
        </is>
      </c>
      <c r="D1963" s="68" t="inlineStr">
        <is>
          <t>03</t>
        </is>
      </c>
      <c r="E1963" s="68" t="inlineStr">
        <is>
          <t>6 物业施工费</t>
        </is>
      </c>
      <c r="F1963" s="68" t="inlineStr">
        <is>
          <t>6.1 总承包工程</t>
        </is>
      </c>
      <c r="G1963" s="68" t="inlineStr">
        <is>
          <t>6.1.1 内部装修工程</t>
        </is>
      </c>
      <c r="H1963" s="68" t="inlineStr">
        <is>
          <t>厨房地面(含不超过50mm厚的找平层)</t>
        </is>
      </c>
      <c r="I1963" s="69" t="inlineStr">
        <is>
          <t>1000021667</t>
        </is>
      </c>
      <c r="J1963" s="69" t="inlineStr">
        <is>
          <t>琛雄水磨石踢脚</t>
        </is>
      </c>
      <c r="K1963" s="70" t="n"/>
      <c r="L1963" s="70" t="n"/>
      <c r="M1963" s="71" t="inlineStr">
        <is>
          <t>米</t>
        </is>
      </c>
      <c r="N1963" s="72" t="n">
        <v>41.47</v>
      </c>
      <c r="O1963" s="72">
        <f>ROUND(N1963*(1+$F$10),2)</f>
        <v/>
      </c>
      <c r="P1963" s="73">
        <f>ROUND(K1963*N1963,2)</f>
        <v/>
      </c>
      <c r="Q1963" s="74">
        <f>ROUND(L1963*N1963,2)</f>
        <v/>
      </c>
      <c r="R1963" s="75" t="n"/>
      <c r="S1963" s="76" t="n"/>
      <c r="T1963" s="77">
        <f>K1963-L1963</f>
        <v/>
      </c>
      <c r="U1963" s="77">
        <f>P1963-Q1963</f>
        <v/>
      </c>
      <c r="V1963" s="77">
        <f>ABS(U1963)</f>
        <v/>
      </c>
      <c r="W1963" s="78">
        <f>T1963/L1963</f>
        <v/>
      </c>
      <c r="X1963" s="79">
        <f>ABS(W1963)</f>
        <v/>
      </c>
    </row>
    <row r="1964" ht="11.4" customHeight="1">
      <c r="A1964" s="67" t="inlineStr">
        <is>
          <t>大甜55</t>
        </is>
      </c>
      <c r="B1964" s="67" t="inlineStr">
        <is>
          <t>1053</t>
        </is>
      </c>
      <c r="C1964" s="67" t="inlineStr">
        <is>
          <t>1611</t>
        </is>
      </c>
      <c r="D1964" s="68" t="inlineStr">
        <is>
          <t>03</t>
        </is>
      </c>
      <c r="E1964" s="68" t="inlineStr">
        <is>
          <t>6 物业施工费</t>
        </is>
      </c>
      <c r="F1964" s="68" t="inlineStr">
        <is>
          <t>6.1 总承包工程</t>
        </is>
      </c>
      <c r="G1964" s="68" t="inlineStr">
        <is>
          <t>6.1.1 内部装修工程</t>
        </is>
      </c>
      <c r="H1964" s="68" t="inlineStr">
        <is>
          <t>厨房地面(含不超过50mm厚的找平层)</t>
        </is>
      </c>
      <c r="I1964" s="69" t="inlineStr">
        <is>
          <t>1000021462</t>
        </is>
      </c>
      <c r="J1964" s="69" t="inlineStr">
        <is>
          <t>600*600mm水磨石地砖（共荣，含不超过50mm厚的找平层）</t>
        </is>
      </c>
      <c r="K1964" s="70" t="n"/>
      <c r="L1964" s="70" t="n"/>
      <c r="M1964" s="71" t="inlineStr">
        <is>
          <t>m2</t>
        </is>
      </c>
      <c r="N1964" s="72" t="n">
        <v>179.82</v>
      </c>
      <c r="O1964" s="72">
        <f>ROUND(N1964*(1+$F$10),2)</f>
        <v/>
      </c>
      <c r="P1964" s="73">
        <f>ROUND(K1964*N1964,2)</f>
        <v/>
      </c>
      <c r="Q1964" s="74">
        <f>ROUND(L1964*N1964,2)</f>
        <v/>
      </c>
      <c r="R1964" s="75" t="n"/>
      <c r="S1964" s="76" t="n"/>
      <c r="T1964" s="77">
        <f>K1964-L1964</f>
        <v/>
      </c>
      <c r="U1964" s="77">
        <f>P1964-Q1964</f>
        <v/>
      </c>
      <c r="V1964" s="77">
        <f>ABS(U1964)</f>
        <v/>
      </c>
      <c r="W1964" s="78">
        <f>T1964/L1964</f>
        <v/>
      </c>
      <c r="X1964" s="79">
        <f>ABS(W1964)</f>
        <v/>
      </c>
    </row>
    <row r="1965" ht="11.4" customHeight="1">
      <c r="A1965" s="67" t="inlineStr">
        <is>
          <t>大甜55</t>
        </is>
      </c>
      <c r="B1965" s="67" t="inlineStr">
        <is>
          <t>1053</t>
        </is>
      </c>
      <c r="C1965" s="67" t="inlineStr">
        <is>
          <t>1611</t>
        </is>
      </c>
      <c r="D1965" s="68" t="inlineStr">
        <is>
          <t>03</t>
        </is>
      </c>
      <c r="E1965" s="68" t="inlineStr">
        <is>
          <t>6 物业施工费</t>
        </is>
      </c>
      <c r="F1965" s="68" t="inlineStr">
        <is>
          <t>6.1 总承包工程</t>
        </is>
      </c>
      <c r="G1965" s="68" t="inlineStr">
        <is>
          <t>6.1.1 内部装修工程</t>
        </is>
      </c>
      <c r="H1965" s="68" t="inlineStr">
        <is>
          <t>厨房地面(含不超过50mm厚的找平层)</t>
        </is>
      </c>
      <c r="I1965" s="69" t="inlineStr">
        <is>
          <t>1000021463</t>
        </is>
      </c>
      <c r="J1965" s="69" t="inlineStr">
        <is>
          <t>共荣水磨石踢脚</t>
        </is>
      </c>
      <c r="K1965" s="70" t="n"/>
      <c r="L1965" s="70" t="n"/>
      <c r="M1965" s="71" t="inlineStr">
        <is>
          <t>米</t>
        </is>
      </c>
      <c r="N1965" s="72" t="n">
        <v>37.84</v>
      </c>
      <c r="O1965" s="72">
        <f>ROUND(N1965*(1+$F$10),2)</f>
        <v/>
      </c>
      <c r="P1965" s="73">
        <f>ROUND(K1965*N1965,2)</f>
        <v/>
      </c>
      <c r="Q1965" s="74">
        <f>ROUND(L1965*N1965,2)</f>
        <v/>
      </c>
      <c r="R1965" s="75" t="n"/>
      <c r="S1965" s="76" t="n"/>
      <c r="T1965" s="77">
        <f>K1965-L1965</f>
        <v/>
      </c>
      <c r="U1965" s="77">
        <f>P1965-Q1965</f>
        <v/>
      </c>
      <c r="V1965" s="77">
        <f>ABS(U1965)</f>
        <v/>
      </c>
      <c r="W1965" s="78">
        <f>T1965/L1965</f>
        <v/>
      </c>
      <c r="X1965" s="79">
        <f>ABS(W1965)</f>
        <v/>
      </c>
    </row>
    <row r="1966" ht="11.4" customHeight="1">
      <c r="A1966" s="67" t="inlineStr">
        <is>
          <t>大甜55</t>
        </is>
      </c>
      <c r="B1966" s="67" t="inlineStr">
        <is>
          <t>1053</t>
        </is>
      </c>
      <c r="C1966" s="67" t="inlineStr">
        <is>
          <t>1611</t>
        </is>
      </c>
      <c r="D1966" s="68" t="inlineStr">
        <is>
          <t>03</t>
        </is>
      </c>
      <c r="E1966" s="68" t="inlineStr">
        <is>
          <t>6 物业施工费</t>
        </is>
      </c>
      <c r="F1966" s="68" t="inlineStr">
        <is>
          <t>6.1 总承包工程</t>
        </is>
      </c>
      <c r="G1966" s="68" t="inlineStr">
        <is>
          <t>6.1.1 内部装修工程</t>
        </is>
      </c>
      <c r="H1966" s="68" t="inlineStr">
        <is>
          <t>厨房地面(含不超过50mm厚的找平层)</t>
        </is>
      </c>
      <c r="I1966" s="69" t="inlineStr">
        <is>
          <t>1000021668</t>
        </is>
      </c>
      <c r="J1966" s="69" t="inlineStr">
        <is>
          <t>600*600mm水磨石地砖（冠军，含不超过50mm厚的找平层）</t>
        </is>
      </c>
      <c r="K1966" s="70" t="n"/>
      <c r="L1966" s="70" t="n"/>
      <c r="M1966" s="71" t="inlineStr">
        <is>
          <t>m2</t>
        </is>
      </c>
      <c r="N1966" s="72" t="n">
        <v>193.81</v>
      </c>
      <c r="O1966" s="72">
        <f>ROUND(N1966*(1+$F$10),2)</f>
        <v/>
      </c>
      <c r="P1966" s="73">
        <f>ROUND(K1966*N1966,2)</f>
        <v/>
      </c>
      <c r="Q1966" s="74">
        <f>ROUND(L1966*N1966,2)</f>
        <v/>
      </c>
      <c r="R1966" s="75" t="n"/>
      <c r="S1966" s="76" t="n"/>
      <c r="T1966" s="77">
        <f>K1966-L1966</f>
        <v/>
      </c>
      <c r="U1966" s="77">
        <f>P1966-Q1966</f>
        <v/>
      </c>
      <c r="V1966" s="77">
        <f>ABS(U1966)</f>
        <v/>
      </c>
      <c r="W1966" s="78">
        <f>T1966/L1966</f>
        <v/>
      </c>
      <c r="X1966" s="79">
        <f>ABS(W1966)</f>
        <v/>
      </c>
    </row>
    <row r="1967" ht="11.4" customHeight="1">
      <c r="A1967" s="67" t="inlineStr">
        <is>
          <t>大甜55</t>
        </is>
      </c>
      <c r="B1967" s="67" t="inlineStr">
        <is>
          <t>1053</t>
        </is>
      </c>
      <c r="C1967" s="67" t="inlineStr">
        <is>
          <t>1611</t>
        </is>
      </c>
      <c r="D1967" s="68" t="inlineStr">
        <is>
          <t>03</t>
        </is>
      </c>
      <c r="E1967" s="68" t="inlineStr">
        <is>
          <t>6 物业施工费</t>
        </is>
      </c>
      <c r="F1967" s="68" t="inlineStr">
        <is>
          <t>6.1 总承包工程</t>
        </is>
      </c>
      <c r="G1967" s="68" t="inlineStr">
        <is>
          <t>6.1.1 内部装修工程</t>
        </is>
      </c>
      <c r="H1967" s="68" t="inlineStr">
        <is>
          <t>厨房地面(含不超过50mm厚的找平层)</t>
        </is>
      </c>
      <c r="I1967" s="69" t="inlineStr">
        <is>
          <t>1000021669</t>
        </is>
      </c>
      <c r="J1967" s="69" t="inlineStr">
        <is>
          <t>冠军水磨石踢脚</t>
        </is>
      </c>
      <c r="K1967" s="70" t="n"/>
      <c r="L1967" s="70" t="n"/>
      <c r="M1967" s="71" t="inlineStr">
        <is>
          <t>米</t>
        </is>
      </c>
      <c r="N1967" s="72" t="n">
        <v>39.05</v>
      </c>
      <c r="O1967" s="72">
        <f>ROUND(N1967*(1+$F$10),2)</f>
        <v/>
      </c>
      <c r="P1967" s="73">
        <f>ROUND(K1967*N1967,2)</f>
        <v/>
      </c>
      <c r="Q1967" s="74">
        <f>ROUND(L1967*N1967,2)</f>
        <v/>
      </c>
      <c r="R1967" s="75" t="n"/>
      <c r="S1967" s="76" t="n"/>
      <c r="T1967" s="77">
        <f>K1967-L1967</f>
        <v/>
      </c>
      <c r="U1967" s="77">
        <f>P1967-Q1967</f>
        <v/>
      </c>
      <c r="V1967" s="77">
        <f>ABS(U1967)</f>
        <v/>
      </c>
      <c r="W1967" s="78">
        <f>T1967/L1967</f>
        <v/>
      </c>
      <c r="X1967" s="79">
        <f>ABS(W1967)</f>
        <v/>
      </c>
    </row>
    <row r="1968" ht="11.4" customHeight="1">
      <c r="A1968" s="67" t="inlineStr">
        <is>
          <t>大甜55</t>
        </is>
      </c>
      <c r="B1968" s="67" t="inlineStr">
        <is>
          <t>1053</t>
        </is>
      </c>
      <c r="C1968" s="67" t="inlineStr">
        <is>
          <t>1611</t>
        </is>
      </c>
      <c r="D1968" s="68" t="inlineStr">
        <is>
          <t>03</t>
        </is>
      </c>
      <c r="E1968" s="68" t="inlineStr">
        <is>
          <t>6 物业施工费</t>
        </is>
      </c>
      <c r="F1968" s="68" t="inlineStr">
        <is>
          <t>6.1 总承包工程</t>
        </is>
      </c>
      <c r="G1968" s="68" t="inlineStr">
        <is>
          <t>6.1.1 内部装修工程</t>
        </is>
      </c>
      <c r="H1968" s="68" t="inlineStr">
        <is>
          <t>厨房地面(含不超过50mm厚的找平层)</t>
        </is>
      </c>
      <c r="I1968" s="69" t="inlineStr">
        <is>
          <t>1000021824</t>
        </is>
      </c>
      <c r="J1968" s="69" t="inlineStr">
        <is>
          <t>冷库水泥地面</t>
        </is>
      </c>
      <c r="K1968" s="70" t="n"/>
      <c r="L1968" s="70" t="n"/>
      <c r="M1968" s="71" t="inlineStr">
        <is>
          <t>m2</t>
        </is>
      </c>
      <c r="N1968" s="72" t="n">
        <v>46.31</v>
      </c>
      <c r="O1968" s="72">
        <f>ROUND(N1968*(1+$F$10),2)</f>
        <v/>
      </c>
      <c r="P1968" s="73">
        <f>ROUND(K1968*N1968,2)</f>
        <v/>
      </c>
      <c r="Q1968" s="74">
        <f>ROUND(L1968*N1968,2)</f>
        <v/>
      </c>
      <c r="R1968" s="75" t="n"/>
      <c r="S1968" s="76" t="n"/>
      <c r="T1968" s="77">
        <f>K1968-L1968</f>
        <v/>
      </c>
      <c r="U1968" s="77">
        <f>P1968-Q1968</f>
        <v/>
      </c>
      <c r="V1968" s="77">
        <f>ABS(U1968)</f>
        <v/>
      </c>
      <c r="W1968" s="78">
        <f>T1968/L1968</f>
        <v/>
      </c>
      <c r="X1968" s="79">
        <f>ABS(W1968)</f>
        <v/>
      </c>
    </row>
    <row r="1969" ht="11.4" customHeight="1">
      <c r="A1969" s="67" t="inlineStr">
        <is>
          <t>大甜55</t>
        </is>
      </c>
      <c r="B1969" s="67" t="inlineStr">
        <is>
          <t>1053</t>
        </is>
      </c>
      <c r="C1969" s="67" t="inlineStr">
        <is>
          <t>1611</t>
        </is>
      </c>
      <c r="D1969" s="68" t="inlineStr">
        <is>
          <t>03</t>
        </is>
      </c>
      <c r="E1969" s="68" t="inlineStr">
        <is>
          <t>6 物业施工费</t>
        </is>
      </c>
      <c r="F1969" s="68" t="inlineStr">
        <is>
          <t>6.1 总承包工程</t>
        </is>
      </c>
      <c r="G1969" s="68" t="inlineStr">
        <is>
          <t>6.1.1 内部装修工程</t>
        </is>
      </c>
      <c r="H1969" s="68" t="inlineStr">
        <is>
          <t>厨房墙面（不含员休室）</t>
        </is>
      </c>
      <c r="I1969" s="69" t="inlineStr">
        <is>
          <t>1000021518</t>
        </is>
      </c>
      <c r="J1969" s="69" t="inlineStr">
        <is>
          <t>200x200x8mm白瓷砖（琛雄）</t>
        </is>
      </c>
      <c r="K1969" s="70" t="n"/>
      <c r="L1969" s="70" t="n"/>
      <c r="M1969" s="71" t="inlineStr">
        <is>
          <t>m2</t>
        </is>
      </c>
      <c r="N1969" s="72" t="n">
        <v>118.11</v>
      </c>
      <c r="O1969" s="72">
        <f>ROUND(N1969*(1+$F$10),2)</f>
        <v/>
      </c>
      <c r="P1969" s="73">
        <f>ROUND(K1969*N1969,2)</f>
        <v/>
      </c>
      <c r="Q1969" s="74">
        <f>ROUND(L1969*N1969,2)</f>
        <v/>
      </c>
      <c r="R1969" s="75" t="n"/>
      <c r="S1969" s="76" t="n"/>
      <c r="T1969" s="77">
        <f>K1969-L1969</f>
        <v/>
      </c>
      <c r="U1969" s="77">
        <f>P1969-Q1969</f>
        <v/>
      </c>
      <c r="V1969" s="77">
        <f>ABS(U1969)</f>
        <v/>
      </c>
      <c r="W1969" s="78">
        <f>T1969/L1969</f>
        <v/>
      </c>
      <c r="X1969" s="79">
        <f>ABS(W1969)</f>
        <v/>
      </c>
    </row>
    <row r="1970" ht="11.4" customHeight="1">
      <c r="A1970" s="67" t="inlineStr">
        <is>
          <t>大甜55</t>
        </is>
      </c>
      <c r="B1970" s="67" t="inlineStr">
        <is>
          <t>1053</t>
        </is>
      </c>
      <c r="C1970" s="67" t="inlineStr">
        <is>
          <t>1611</t>
        </is>
      </c>
      <c r="D1970" s="68" t="inlineStr">
        <is>
          <t>03</t>
        </is>
      </c>
      <c r="E1970" s="68" t="inlineStr">
        <is>
          <t>6 物业施工费</t>
        </is>
      </c>
      <c r="F1970" s="68" t="inlineStr">
        <is>
          <t>6.1 总承包工程</t>
        </is>
      </c>
      <c r="G1970" s="68" t="inlineStr">
        <is>
          <t>6.1.1 内部装修工程</t>
        </is>
      </c>
      <c r="H1970" s="68" t="inlineStr">
        <is>
          <t>厨房墙面（不含员休室）</t>
        </is>
      </c>
      <c r="I1970" s="69" t="inlineStr">
        <is>
          <t>1000021656</t>
        </is>
      </c>
      <c r="J1970" s="69" t="inlineStr">
        <is>
          <t>200x200x8mm白瓷砖（共荣）</t>
        </is>
      </c>
      <c r="K1970" s="70" t="n"/>
      <c r="L1970" s="70" t="n"/>
      <c r="M1970" s="71" t="inlineStr">
        <is>
          <t>m2</t>
        </is>
      </c>
      <c r="N1970" s="72" t="n">
        <v>113.49</v>
      </c>
      <c r="O1970" s="72">
        <f>ROUND(N1970*(1+$F$10),2)</f>
        <v/>
      </c>
      <c r="P1970" s="73">
        <f>ROUND(K1970*N1970,2)</f>
        <v/>
      </c>
      <c r="Q1970" s="74">
        <f>ROUND(L1970*N1970,2)</f>
        <v/>
      </c>
      <c r="R1970" s="75" t="n"/>
      <c r="S1970" s="76" t="n"/>
      <c r="T1970" s="77">
        <f>K1970-L1970</f>
        <v/>
      </c>
      <c r="U1970" s="77">
        <f>P1970-Q1970</f>
        <v/>
      </c>
      <c r="V1970" s="77">
        <f>ABS(U1970)</f>
        <v/>
      </c>
      <c r="W1970" s="78">
        <f>T1970/L1970</f>
        <v/>
      </c>
      <c r="X1970" s="79">
        <f>ABS(W1970)</f>
        <v/>
      </c>
    </row>
    <row r="1971" ht="11.4" customHeight="1">
      <c r="A1971" s="67" t="inlineStr">
        <is>
          <t>大甜55</t>
        </is>
      </c>
      <c r="B1971" s="67" t="inlineStr">
        <is>
          <t>1053</t>
        </is>
      </c>
      <c r="C1971" s="67" t="inlineStr">
        <is>
          <t>1611</t>
        </is>
      </c>
      <c r="D1971" s="68" t="inlineStr">
        <is>
          <t>03</t>
        </is>
      </c>
      <c r="E1971" s="68" t="inlineStr">
        <is>
          <t>6 物业施工费</t>
        </is>
      </c>
      <c r="F1971" s="68" t="inlineStr">
        <is>
          <t>6.1 总承包工程</t>
        </is>
      </c>
      <c r="G1971" s="68" t="inlineStr">
        <is>
          <t>6.1.1 内部装修工程</t>
        </is>
      </c>
      <c r="H1971" s="68" t="inlineStr">
        <is>
          <t>厨房墙面（不含员休室）</t>
        </is>
      </c>
      <c r="I1971" s="69" t="inlineStr">
        <is>
          <t>1000021703</t>
        </is>
      </c>
      <c r="J1971" s="69" t="inlineStr">
        <is>
          <t>200x200x8mm白瓷砖（冠军）</t>
        </is>
      </c>
      <c r="K1971" s="70" t="n"/>
      <c r="L1971" s="70" t="n"/>
      <c r="M1971" s="71" t="inlineStr">
        <is>
          <t>m2</t>
        </is>
      </c>
      <c r="N1971" s="72" t="n">
        <v>118.11</v>
      </c>
      <c r="O1971" s="72">
        <f>ROUND(N1971*(1+$F$10),2)</f>
        <v/>
      </c>
      <c r="P1971" s="73">
        <f>ROUND(K1971*N1971,2)</f>
        <v/>
      </c>
      <c r="Q1971" s="74">
        <f>ROUND(L1971*N1971,2)</f>
        <v/>
      </c>
      <c r="R1971" s="75" t="n"/>
      <c r="S1971" s="76" t="n"/>
      <c r="T1971" s="77">
        <f>K1971-L1971</f>
        <v/>
      </c>
      <c r="U1971" s="77">
        <f>P1971-Q1971</f>
        <v/>
      </c>
      <c r="V1971" s="77">
        <f>ABS(U1971)</f>
        <v/>
      </c>
      <c r="W1971" s="78">
        <f>T1971/L1971</f>
        <v/>
      </c>
      <c r="X1971" s="79">
        <f>ABS(W1971)</f>
        <v/>
      </c>
    </row>
    <row r="1972" ht="11.4" customHeight="1">
      <c r="A1972" s="67" t="inlineStr">
        <is>
          <t>大甜55</t>
        </is>
      </c>
      <c r="B1972" s="67" t="inlineStr">
        <is>
          <t>1053</t>
        </is>
      </c>
      <c r="C1972" s="67" t="inlineStr">
        <is>
          <t>1611</t>
        </is>
      </c>
      <c r="D1972" s="68" t="inlineStr">
        <is>
          <t>03</t>
        </is>
      </c>
      <c r="E1972" s="68" t="inlineStr">
        <is>
          <t>6 物业施工费</t>
        </is>
      </c>
      <c r="F1972" s="68" t="inlineStr">
        <is>
          <t>6.1 总承包工程</t>
        </is>
      </c>
      <c r="G1972" s="68" t="inlineStr">
        <is>
          <t>6.1.1 内部装修工程</t>
        </is>
      </c>
      <c r="H1972" s="68" t="inlineStr">
        <is>
          <t>厨房墙面（不含员休室）</t>
        </is>
      </c>
      <c r="I1972" s="69" t="inlineStr">
        <is>
          <t>1000021825</t>
        </is>
      </c>
      <c r="J1972" s="69" t="inlineStr">
        <is>
          <t>后区墙面贴发丝不锈钢</t>
        </is>
      </c>
      <c r="K1972" s="70" t="n"/>
      <c r="L1972" s="70" t="n"/>
      <c r="M1972" s="71" t="inlineStr">
        <is>
          <t>m2</t>
        </is>
      </c>
      <c r="N1972" s="72" t="n">
        <v>467.36</v>
      </c>
      <c r="O1972" s="72">
        <f>ROUND(N1972*(1+$F$10),2)</f>
        <v/>
      </c>
      <c r="P1972" s="73">
        <f>ROUND(K1972*N1972,2)</f>
        <v/>
      </c>
      <c r="Q1972" s="74">
        <f>ROUND(L1972*N1972,2)</f>
        <v/>
      </c>
      <c r="R1972" s="75" t="n"/>
      <c r="S1972" s="76" t="n"/>
      <c r="T1972" s="77">
        <f>K1972-L1972</f>
        <v/>
      </c>
      <c r="U1972" s="77">
        <f>P1972-Q1972</f>
        <v/>
      </c>
      <c r="V1972" s="77">
        <f>ABS(U1972)</f>
        <v/>
      </c>
      <c r="W1972" s="78">
        <f>T1972/L1972</f>
        <v/>
      </c>
      <c r="X1972" s="79">
        <f>ABS(W1972)</f>
        <v/>
      </c>
    </row>
    <row r="1973" ht="11.4" customHeight="1">
      <c r="A1973" s="67" t="inlineStr">
        <is>
          <t>大甜55</t>
        </is>
      </c>
      <c r="B1973" s="67" t="inlineStr">
        <is>
          <t>1053</t>
        </is>
      </c>
      <c r="C1973" s="67" t="inlineStr">
        <is>
          <t>1611</t>
        </is>
      </c>
      <c r="D1973" s="68" t="inlineStr">
        <is>
          <t>03</t>
        </is>
      </c>
      <c r="E1973" s="68" t="inlineStr">
        <is>
          <t>6 物业施工费</t>
        </is>
      </c>
      <c r="F1973" s="68" t="inlineStr">
        <is>
          <t>6.1 总承包工程</t>
        </is>
      </c>
      <c r="G1973" s="68" t="inlineStr">
        <is>
          <t>6.1.1 内部装修工程</t>
        </is>
      </c>
      <c r="H1973" s="68" t="inlineStr">
        <is>
          <t>厨房墙面（不含员休室）</t>
        </is>
      </c>
      <c r="I1973" s="69" t="inlineStr">
        <is>
          <t>1000021826</t>
        </is>
      </c>
      <c r="J1973" s="69" t="inlineStr">
        <is>
          <t>60x60x2.5 发丝不锈钢护角</t>
        </is>
      </c>
      <c r="K1973" s="70" t="n"/>
      <c r="L1973" s="70" t="n"/>
      <c r="M1973" s="71" t="inlineStr">
        <is>
          <t>件</t>
        </is>
      </c>
      <c r="N1973" s="72" t="n">
        <v>184.69</v>
      </c>
      <c r="O1973" s="72">
        <f>ROUND(N1973*(1+$F$10),2)</f>
        <v/>
      </c>
      <c r="P1973" s="73">
        <f>ROUND(K1973*N1973,2)</f>
        <v/>
      </c>
      <c r="Q1973" s="74">
        <f>ROUND(L1973*N1973,2)</f>
        <v/>
      </c>
      <c r="R1973" s="75" t="n"/>
      <c r="S1973" s="76" t="n"/>
      <c r="T1973" s="77">
        <f>K1973-L1973</f>
        <v/>
      </c>
      <c r="U1973" s="77">
        <f>P1973-Q1973</f>
        <v/>
      </c>
      <c r="V1973" s="77">
        <f>ABS(U1973)</f>
        <v/>
      </c>
      <c r="W1973" s="78">
        <f>T1973/L1973</f>
        <v/>
      </c>
      <c r="X1973" s="79">
        <f>ABS(W1973)</f>
        <v/>
      </c>
    </row>
    <row r="1974" ht="11.4" customHeight="1">
      <c r="A1974" s="67" t="inlineStr">
        <is>
          <t>大甜55</t>
        </is>
      </c>
      <c r="B1974" s="67" t="inlineStr">
        <is>
          <t>1053</t>
        </is>
      </c>
      <c r="C1974" s="67" t="inlineStr">
        <is>
          <t>1611</t>
        </is>
      </c>
      <c r="D1974" s="68" t="inlineStr">
        <is>
          <t>03</t>
        </is>
      </c>
      <c r="E1974" s="68" t="inlineStr">
        <is>
          <t>6 物业施工费</t>
        </is>
      </c>
      <c r="F1974" s="68" t="inlineStr">
        <is>
          <t>6.1 总承包工程</t>
        </is>
      </c>
      <c r="G1974" s="68" t="inlineStr">
        <is>
          <t>6.1.1 内部装修工程</t>
        </is>
      </c>
      <c r="H1974" s="68" t="inlineStr">
        <is>
          <t>厨房墙面（不含员休室）</t>
        </is>
      </c>
      <c r="I1974" s="69" t="inlineStr">
        <is>
          <t>1000021827</t>
        </is>
      </c>
      <c r="J1974" s="69" t="inlineStr">
        <is>
          <t>60x180x60x2.5 U型发丝不锈钢护角</t>
        </is>
      </c>
      <c r="K1974" s="70" t="n"/>
      <c r="L1974" s="70" t="n"/>
      <c r="M1974" s="71" t="inlineStr">
        <is>
          <t>件</t>
        </is>
      </c>
      <c r="N1974" s="72" t="n">
        <v>374.99</v>
      </c>
      <c r="O1974" s="72">
        <f>ROUND(N1974*(1+$F$10),2)</f>
        <v/>
      </c>
      <c r="P1974" s="73">
        <f>ROUND(K1974*N1974,2)</f>
        <v/>
      </c>
      <c r="Q1974" s="74">
        <f>ROUND(L1974*N1974,2)</f>
        <v/>
      </c>
      <c r="R1974" s="75" t="n"/>
      <c r="S1974" s="76" t="n"/>
      <c r="T1974" s="77">
        <f>K1974-L1974</f>
        <v/>
      </c>
      <c r="U1974" s="77">
        <f>P1974-Q1974</f>
        <v/>
      </c>
      <c r="V1974" s="77">
        <f>ABS(U1974)</f>
        <v/>
      </c>
      <c r="W1974" s="78">
        <f>T1974/L1974</f>
        <v/>
      </c>
      <c r="X1974" s="79">
        <f>ABS(W1974)</f>
        <v/>
      </c>
    </row>
    <row r="1975" ht="11.4" customHeight="1">
      <c r="A1975" s="67" t="inlineStr">
        <is>
          <t>大甜55</t>
        </is>
      </c>
      <c r="B1975" s="67" t="inlineStr">
        <is>
          <t>1053</t>
        </is>
      </c>
      <c r="C1975" s="67" t="inlineStr">
        <is>
          <t>1611</t>
        </is>
      </c>
      <c r="D1975" s="68" t="inlineStr">
        <is>
          <t>03</t>
        </is>
      </c>
      <c r="E1975" s="68" t="inlineStr">
        <is>
          <t>6 物业施工费</t>
        </is>
      </c>
      <c r="F1975" s="68" t="inlineStr">
        <is>
          <t>6.1 总承包工程</t>
        </is>
      </c>
      <c r="G1975" s="68" t="inlineStr">
        <is>
          <t>6.1.1 内部装修工程</t>
        </is>
      </c>
      <c r="H1975" s="68" t="inlineStr">
        <is>
          <t>厨房墙面（不含员休室）</t>
        </is>
      </c>
      <c r="I1975" s="69" t="inlineStr">
        <is>
          <t>1000021635</t>
        </is>
      </c>
      <c r="J1975" s="69" t="inlineStr">
        <is>
          <t>墙面其它面砖（琛雄）</t>
        </is>
      </c>
      <c r="K1975" s="70" t="n"/>
      <c r="L1975" s="70" t="n"/>
      <c r="M1975" s="71" t="inlineStr">
        <is>
          <t>m2</t>
        </is>
      </c>
      <c r="N1975" s="72" t="n">
        <v>167.98</v>
      </c>
      <c r="O1975" s="72">
        <f>ROUND(N1975*(1+$F$10),2)</f>
        <v/>
      </c>
      <c r="P1975" s="73">
        <f>ROUND(K1975*N1975,2)</f>
        <v/>
      </c>
      <c r="Q1975" s="74">
        <f>ROUND(L1975*N1975,2)</f>
        <v/>
      </c>
      <c r="R1975" s="75" t="n"/>
      <c r="S1975" s="76" t="n"/>
      <c r="T1975" s="77">
        <f>K1975-L1975</f>
        <v/>
      </c>
      <c r="U1975" s="77">
        <f>P1975-Q1975</f>
        <v/>
      </c>
      <c r="V1975" s="77">
        <f>ABS(U1975)</f>
        <v/>
      </c>
      <c r="W1975" s="78">
        <f>T1975/L1975</f>
        <v/>
      </c>
      <c r="X1975" s="79">
        <f>ABS(W1975)</f>
        <v/>
      </c>
    </row>
    <row r="1976" ht="11.4" customHeight="1">
      <c r="A1976" s="67" t="inlineStr">
        <is>
          <t>大甜55</t>
        </is>
      </c>
      <c r="B1976" s="67" t="inlineStr">
        <is>
          <t>1053</t>
        </is>
      </c>
      <c r="C1976" s="67" t="inlineStr">
        <is>
          <t>1611</t>
        </is>
      </c>
      <c r="D1976" s="68" t="inlineStr">
        <is>
          <t>03</t>
        </is>
      </c>
      <c r="E1976" s="68" t="inlineStr">
        <is>
          <t>6 物业施工费</t>
        </is>
      </c>
      <c r="F1976" s="68" t="inlineStr">
        <is>
          <t>6.1 总承包工程</t>
        </is>
      </c>
      <c r="G1976" s="68" t="inlineStr">
        <is>
          <t>6.1.1 内部装修工程</t>
        </is>
      </c>
      <c r="H1976" s="68" t="inlineStr">
        <is>
          <t>厨房墙面（不含员休室）</t>
        </is>
      </c>
      <c r="I1976" s="69" t="inlineStr">
        <is>
          <t>1000021657</t>
        </is>
      </c>
      <c r="J1976" s="69" t="inlineStr">
        <is>
          <t>墙面其它面砖（共荣）</t>
        </is>
      </c>
      <c r="K1976" s="70" t="n"/>
      <c r="L1976" s="70" t="n"/>
      <c r="M1976" s="71" t="inlineStr">
        <is>
          <t>m2</t>
        </is>
      </c>
      <c r="N1976" s="72" t="n">
        <v>147.41</v>
      </c>
      <c r="O1976" s="72">
        <f>ROUND(N1976*(1+$F$10),2)</f>
        <v/>
      </c>
      <c r="P1976" s="73">
        <f>ROUND(K1976*N1976,2)</f>
        <v/>
      </c>
      <c r="Q1976" s="74">
        <f>ROUND(L1976*N1976,2)</f>
        <v/>
      </c>
      <c r="R1976" s="75" t="n"/>
      <c r="S1976" s="76" t="n"/>
      <c r="T1976" s="77">
        <f>K1976-L1976</f>
        <v/>
      </c>
      <c r="U1976" s="77">
        <f>P1976-Q1976</f>
        <v/>
      </c>
      <c r="V1976" s="77">
        <f>ABS(U1976)</f>
        <v/>
      </c>
      <c r="W1976" s="78">
        <f>T1976/L1976</f>
        <v/>
      </c>
      <c r="X1976" s="79">
        <f>ABS(W1976)</f>
        <v/>
      </c>
    </row>
    <row r="1977" ht="11.4" customHeight="1">
      <c r="A1977" s="67" t="inlineStr">
        <is>
          <t>大甜55</t>
        </is>
      </c>
      <c r="B1977" s="67" t="inlineStr">
        <is>
          <t>1053</t>
        </is>
      </c>
      <c r="C1977" s="67" t="inlineStr">
        <is>
          <t>1611</t>
        </is>
      </c>
      <c r="D1977" s="68" t="inlineStr">
        <is>
          <t>03</t>
        </is>
      </c>
      <c r="E1977" s="68" t="inlineStr">
        <is>
          <t>6 物业施工费</t>
        </is>
      </c>
      <c r="F1977" s="68" t="inlineStr">
        <is>
          <t>6.1 总承包工程</t>
        </is>
      </c>
      <c r="G1977" s="68" t="inlineStr">
        <is>
          <t>6.1.1 内部装修工程</t>
        </is>
      </c>
      <c r="H1977" s="68" t="inlineStr">
        <is>
          <t>厨房墙面（不含员休室）</t>
        </is>
      </c>
      <c r="I1977" s="69" t="inlineStr">
        <is>
          <t>1000021626</t>
        </is>
      </c>
      <c r="J1977" s="69" t="inlineStr">
        <is>
          <t>墙面贴面砖（冠军）</t>
        </is>
      </c>
      <c r="K1977" s="70" t="n"/>
      <c r="L1977" s="70" t="n"/>
      <c r="M1977" s="71" t="inlineStr">
        <is>
          <t>m2</t>
        </is>
      </c>
      <c r="N1977" s="72" t="n">
        <v>169.19</v>
      </c>
      <c r="O1977" s="72">
        <f>ROUND(N1977*(1+$F$10),2)</f>
        <v/>
      </c>
      <c r="P1977" s="73">
        <f>ROUND(K1977*N1977,2)</f>
        <v/>
      </c>
      <c r="Q1977" s="74">
        <f>ROUND(L1977*N1977,2)</f>
        <v/>
      </c>
      <c r="R1977" s="75" t="n"/>
      <c r="S1977" s="76" t="n"/>
      <c r="T1977" s="77">
        <f>K1977-L1977</f>
        <v/>
      </c>
      <c r="U1977" s="77">
        <f>P1977-Q1977</f>
        <v/>
      </c>
      <c r="V1977" s="77">
        <f>ABS(U1977)</f>
        <v/>
      </c>
      <c r="W1977" s="78">
        <f>T1977/L1977</f>
        <v/>
      </c>
      <c r="X1977" s="79">
        <f>ABS(W1977)</f>
        <v/>
      </c>
    </row>
    <row r="1978" ht="11.4" customHeight="1">
      <c r="A1978" s="67" t="inlineStr">
        <is>
          <t>大甜55</t>
        </is>
      </c>
      <c r="B1978" s="67" t="inlineStr">
        <is>
          <t>1053</t>
        </is>
      </c>
      <c r="C1978" s="67" t="inlineStr">
        <is>
          <t>1611</t>
        </is>
      </c>
      <c r="D1978" s="68" t="inlineStr">
        <is>
          <t>03</t>
        </is>
      </c>
      <c r="E1978" s="68" t="inlineStr">
        <is>
          <t>6 物业施工费</t>
        </is>
      </c>
      <c r="F1978" s="68" t="inlineStr">
        <is>
          <t>6.1 总承包工程</t>
        </is>
      </c>
      <c r="G1978" s="68" t="inlineStr">
        <is>
          <t>6.1.1 内部装修工程</t>
        </is>
      </c>
      <c r="H1978" s="68" t="inlineStr">
        <is>
          <t>厨房墙面（不含员休室）</t>
        </is>
      </c>
      <c r="I1978" s="69" t="inlineStr">
        <is>
          <t>1000021481</t>
        </is>
      </c>
      <c r="J1978" s="69" t="inlineStr">
        <is>
          <t>100*300mm黑色哑光面砖（琛雄）</t>
        </is>
      </c>
      <c r="K1978" s="70" t="n"/>
      <c r="L1978" s="70" t="n"/>
      <c r="M1978" s="71" t="inlineStr">
        <is>
          <t>m2</t>
        </is>
      </c>
      <c r="N1978" s="72" t="n">
        <v>179.53</v>
      </c>
      <c r="O1978" s="72">
        <f>ROUND(N1978*(1+$F$10),2)</f>
        <v/>
      </c>
      <c r="P1978" s="73">
        <f>ROUND(K1978*N1978,2)</f>
        <v/>
      </c>
      <c r="Q1978" s="74">
        <f>ROUND(L1978*N1978,2)</f>
        <v/>
      </c>
      <c r="R1978" s="75" t="n"/>
      <c r="S1978" s="76" t="n"/>
      <c r="T1978" s="77">
        <f>K1978-L1978</f>
        <v/>
      </c>
      <c r="U1978" s="77">
        <f>P1978-Q1978</f>
        <v/>
      </c>
      <c r="V1978" s="77">
        <f>ABS(U1978)</f>
        <v/>
      </c>
      <c r="W1978" s="78">
        <f>T1978/L1978</f>
        <v/>
      </c>
      <c r="X1978" s="79">
        <f>ABS(W1978)</f>
        <v/>
      </c>
    </row>
    <row r="1979" ht="11.4" customHeight="1">
      <c r="A1979" s="67" t="inlineStr">
        <is>
          <t>大甜55</t>
        </is>
      </c>
      <c r="B1979" s="67" t="inlineStr">
        <is>
          <t>1053</t>
        </is>
      </c>
      <c r="C1979" s="67" t="inlineStr">
        <is>
          <t>1611</t>
        </is>
      </c>
      <c r="D1979" s="68" t="inlineStr">
        <is>
          <t>03</t>
        </is>
      </c>
      <c r="E1979" s="68" t="inlineStr">
        <is>
          <t>6 物业施工费</t>
        </is>
      </c>
      <c r="F1979" s="68" t="inlineStr">
        <is>
          <t>6.1 总承包工程</t>
        </is>
      </c>
      <c r="G1979" s="68" t="inlineStr">
        <is>
          <t>6.1.1 内部装修工程</t>
        </is>
      </c>
      <c r="H1979" s="68" t="inlineStr">
        <is>
          <t>厨房墙面（不含员休室）</t>
        </is>
      </c>
      <c r="I1979" s="69" t="inlineStr">
        <is>
          <t>1000021672</t>
        </is>
      </c>
      <c r="J1979" s="69" t="inlineStr">
        <is>
          <t>100*300mm黑色哑光面砖（共荣）</t>
        </is>
      </c>
      <c r="K1979" s="70" t="n"/>
      <c r="L1979" s="70" t="n"/>
      <c r="M1979" s="71" t="inlineStr">
        <is>
          <t>m2</t>
        </is>
      </c>
      <c r="N1979" s="72" t="n">
        <v>168.64</v>
      </c>
      <c r="O1979" s="72">
        <f>ROUND(N1979*(1+$F$10),2)</f>
        <v/>
      </c>
      <c r="P1979" s="73">
        <f>ROUND(K1979*N1979,2)</f>
        <v/>
      </c>
      <c r="Q1979" s="74">
        <f>ROUND(L1979*N1979,2)</f>
        <v/>
      </c>
      <c r="R1979" s="75" t="n"/>
      <c r="S1979" s="76" t="n"/>
      <c r="T1979" s="77">
        <f>K1979-L1979</f>
        <v/>
      </c>
      <c r="U1979" s="77">
        <f>P1979-Q1979</f>
        <v/>
      </c>
      <c r="V1979" s="77">
        <f>ABS(U1979)</f>
        <v/>
      </c>
      <c r="W1979" s="78">
        <f>T1979/L1979</f>
        <v/>
      </c>
      <c r="X1979" s="79">
        <f>ABS(W1979)</f>
        <v/>
      </c>
    </row>
    <row r="1980" ht="11.4" customHeight="1">
      <c r="A1980" s="67" t="inlineStr">
        <is>
          <t>大甜55</t>
        </is>
      </c>
      <c r="B1980" s="67" t="inlineStr">
        <is>
          <t>1053</t>
        </is>
      </c>
      <c r="C1980" s="67" t="inlineStr">
        <is>
          <t>1611</t>
        </is>
      </c>
      <c r="D1980" s="68" t="inlineStr">
        <is>
          <t>03</t>
        </is>
      </c>
      <c r="E1980" s="68" t="inlineStr">
        <is>
          <t>6 物业施工费</t>
        </is>
      </c>
      <c r="F1980" s="68" t="inlineStr">
        <is>
          <t>6.1 总承包工程</t>
        </is>
      </c>
      <c r="G1980" s="68" t="inlineStr">
        <is>
          <t>6.1.1 内部装修工程</t>
        </is>
      </c>
      <c r="H1980" s="68" t="inlineStr">
        <is>
          <t>厨房墙面（不含员休室）</t>
        </is>
      </c>
      <c r="I1980" s="69" t="inlineStr">
        <is>
          <t>1000021698</t>
        </is>
      </c>
      <c r="J1980" s="69" t="inlineStr">
        <is>
          <t>100*300mm黑色哑光面砖（冠军）</t>
        </is>
      </c>
      <c r="K1980" s="70" t="n"/>
      <c r="L1980" s="70" t="n"/>
      <c r="M1980" s="71" t="inlineStr">
        <is>
          <t>m2</t>
        </is>
      </c>
      <c r="N1980" s="72" t="n">
        <v>179.53</v>
      </c>
      <c r="O1980" s="72">
        <f>ROUND(N1980*(1+$F$10),2)</f>
        <v/>
      </c>
      <c r="P1980" s="73">
        <f>ROUND(K1980*N1980,2)</f>
        <v/>
      </c>
      <c r="Q1980" s="74">
        <f>ROUND(L1980*N1980,2)</f>
        <v/>
      </c>
      <c r="R1980" s="75" t="n"/>
      <c r="S1980" s="76" t="n"/>
      <c r="T1980" s="77">
        <f>K1980-L1980</f>
        <v/>
      </c>
      <c r="U1980" s="77">
        <f>P1980-Q1980</f>
        <v/>
      </c>
      <c r="V1980" s="77">
        <f>ABS(U1980)</f>
        <v/>
      </c>
      <c r="W1980" s="78">
        <f>T1980/L1980</f>
        <v/>
      </c>
      <c r="X1980" s="79">
        <f>ABS(W1980)</f>
        <v/>
      </c>
    </row>
    <row r="1981" ht="11.4" customHeight="1">
      <c r="A1981" s="67" t="inlineStr">
        <is>
          <t>大甜55</t>
        </is>
      </c>
      <c r="B1981" s="67" t="inlineStr">
        <is>
          <t>1053</t>
        </is>
      </c>
      <c r="C1981" s="67" t="inlineStr">
        <is>
          <t>1611</t>
        </is>
      </c>
      <c r="D1981" s="68" t="inlineStr">
        <is>
          <t>03</t>
        </is>
      </c>
      <c r="E1981" s="68" t="inlineStr">
        <is>
          <t>6 物业施工费</t>
        </is>
      </c>
      <c r="F1981" s="68" t="inlineStr">
        <is>
          <t>6.1 总承包工程</t>
        </is>
      </c>
      <c r="G1981" s="68" t="inlineStr">
        <is>
          <t>6.1.1 内部装修工程</t>
        </is>
      </c>
      <c r="H1981" s="68" t="inlineStr">
        <is>
          <t>厨房墙面（不含员休室）</t>
        </is>
      </c>
      <c r="I1981" s="69" t="inlineStr">
        <is>
          <t>1000021773</t>
        </is>
      </c>
      <c r="J1981" s="69" t="inlineStr">
        <is>
          <t>墙面基层（木工板或硅酸钙板）</t>
        </is>
      </c>
      <c r="K1981" s="70" t="n"/>
      <c r="L1981" s="70" t="n"/>
      <c r="M1981" s="71" t="inlineStr">
        <is>
          <t>m2</t>
        </is>
      </c>
      <c r="N1981" s="72" t="n">
        <v>114.06</v>
      </c>
      <c r="O1981" s="72">
        <f>ROUND(N1981*(1+$F$10),2)</f>
        <v/>
      </c>
      <c r="P1981" s="73">
        <f>ROUND(K1981*N1981,2)</f>
        <v/>
      </c>
      <c r="Q1981" s="74">
        <f>ROUND(L1981*N1981,2)</f>
        <v/>
      </c>
      <c r="R1981" s="75" t="n"/>
      <c r="S1981" s="76" t="n"/>
      <c r="T1981" s="77">
        <f>K1981-L1981</f>
        <v/>
      </c>
      <c r="U1981" s="77">
        <f>P1981-Q1981</f>
        <v/>
      </c>
      <c r="V1981" s="77">
        <f>ABS(U1981)</f>
        <v/>
      </c>
      <c r="W1981" s="78">
        <f>T1981/L1981</f>
        <v/>
      </c>
      <c r="X1981" s="79">
        <f>ABS(W1981)</f>
        <v/>
      </c>
    </row>
    <row r="1982" ht="11.4" customHeight="1">
      <c r="A1982" s="67" t="inlineStr">
        <is>
          <t>大甜55</t>
        </is>
      </c>
      <c r="B1982" s="67" t="inlineStr">
        <is>
          <t>1053</t>
        </is>
      </c>
      <c r="C1982" s="67" t="inlineStr">
        <is>
          <t>1611</t>
        </is>
      </c>
      <c r="D1982" s="68" t="inlineStr">
        <is>
          <t>03</t>
        </is>
      </c>
      <c r="E1982" s="68" t="inlineStr">
        <is>
          <t>6 物业施工费</t>
        </is>
      </c>
      <c r="F1982" s="68" t="inlineStr">
        <is>
          <t>6.1 总承包工程</t>
        </is>
      </c>
      <c r="G1982" s="68" t="inlineStr">
        <is>
          <t>6.1.1 内部装修工程</t>
        </is>
      </c>
      <c r="H1982" s="68" t="inlineStr">
        <is>
          <t>厨房墙面（不含员休室）</t>
        </is>
      </c>
      <c r="I1982" s="69" t="inlineStr">
        <is>
          <t>1000021465</t>
        </is>
      </c>
      <c r="J1982" s="69" t="inlineStr">
        <is>
          <t>墙面 /富美家木纹色防火板（不含基层）</t>
        </is>
      </c>
      <c r="K1982" s="70" t="n"/>
      <c r="L1982" s="70" t="n"/>
      <c r="M1982" s="71" t="inlineStr">
        <is>
          <t>m2</t>
        </is>
      </c>
      <c r="N1982" s="72" t="n">
        <v>197.83</v>
      </c>
      <c r="O1982" s="72">
        <f>ROUND(N1982*(1+$F$10),2)</f>
        <v/>
      </c>
      <c r="P1982" s="73">
        <f>ROUND(K1982*N1982,2)</f>
        <v/>
      </c>
      <c r="Q1982" s="74">
        <f>ROUND(L1982*N1982,2)</f>
        <v/>
      </c>
      <c r="R1982" s="75" t="n"/>
      <c r="S1982" s="76" t="n"/>
      <c r="T1982" s="77">
        <f>K1982-L1982</f>
        <v/>
      </c>
      <c r="U1982" s="77">
        <f>P1982-Q1982</f>
        <v/>
      </c>
      <c r="V1982" s="77">
        <f>ABS(U1982)</f>
        <v/>
      </c>
      <c r="W1982" s="78">
        <f>T1982/L1982</f>
        <v/>
      </c>
      <c r="X1982" s="79">
        <f>ABS(W1982)</f>
        <v/>
      </c>
    </row>
    <row r="1983" ht="11.4" customHeight="1">
      <c r="A1983" s="67" t="inlineStr">
        <is>
          <t>大甜55</t>
        </is>
      </c>
      <c r="B1983" s="67" t="inlineStr">
        <is>
          <t>1053</t>
        </is>
      </c>
      <c r="C1983" s="67" t="inlineStr">
        <is>
          <t>1611</t>
        </is>
      </c>
      <c r="D1983" s="68" t="inlineStr">
        <is>
          <t>03</t>
        </is>
      </c>
      <c r="E1983" s="68" t="inlineStr">
        <is>
          <t>6 物业施工费</t>
        </is>
      </c>
      <c r="F1983" s="68" t="inlineStr">
        <is>
          <t>6.1 总承包工程</t>
        </is>
      </c>
      <c r="G1983" s="68" t="inlineStr">
        <is>
          <t>6.1.1 内部装修工程</t>
        </is>
      </c>
      <c r="H1983" s="68" t="inlineStr">
        <is>
          <t>厨房墙面（不含员休室）</t>
        </is>
      </c>
      <c r="I1983" s="69" t="inlineStr">
        <is>
          <t>1000040124</t>
        </is>
      </c>
      <c r="J1983" s="69" t="inlineStr">
        <is>
          <t>墙面 /富美家深灰色防火板（不含基层）</t>
        </is>
      </c>
      <c r="K1983" s="70" t="n"/>
      <c r="L1983" s="70" t="n"/>
      <c r="M1983" s="71" t="inlineStr">
        <is>
          <t>m2</t>
        </is>
      </c>
      <c r="N1983" s="72" t="n">
        <v>182.9</v>
      </c>
      <c r="O1983" s="72">
        <f>ROUND(N1983*(1+$F$10),2)</f>
        <v/>
      </c>
      <c r="P1983" s="73">
        <f>ROUND(K1983*N1983,2)</f>
        <v/>
      </c>
      <c r="Q1983" s="74">
        <f>ROUND(L1983*N1983,2)</f>
        <v/>
      </c>
      <c r="R1983" s="75" t="n"/>
      <c r="S1983" s="76" t="n"/>
      <c r="T1983" s="77">
        <f>K1983-L1983</f>
        <v/>
      </c>
      <c r="U1983" s="77">
        <f>P1983-Q1983</f>
        <v/>
      </c>
      <c r="V1983" s="77">
        <f>ABS(U1983)</f>
        <v/>
      </c>
      <c r="W1983" s="78">
        <f>T1983/L1983</f>
        <v/>
      </c>
      <c r="X1983" s="79">
        <f>ABS(W1983)</f>
        <v/>
      </c>
    </row>
    <row r="1984" ht="11.4" customHeight="1">
      <c r="A1984" s="67" t="inlineStr">
        <is>
          <t>大甜55</t>
        </is>
      </c>
      <c r="B1984" s="67" t="inlineStr">
        <is>
          <t>1053</t>
        </is>
      </c>
      <c r="C1984" s="67" t="inlineStr">
        <is>
          <t>1611</t>
        </is>
      </c>
      <c r="D1984" s="68" t="inlineStr">
        <is>
          <t>03</t>
        </is>
      </c>
      <c r="E1984" s="68" t="inlineStr">
        <is>
          <t>6 物业施工费</t>
        </is>
      </c>
      <c r="F1984" s="68" t="inlineStr">
        <is>
          <t>6.1 总承包工程</t>
        </is>
      </c>
      <c r="G1984" s="68" t="inlineStr">
        <is>
          <t>6.1.1 内部装修工程</t>
        </is>
      </c>
      <c r="H1984" s="68" t="inlineStr">
        <is>
          <t>厨房墙面（不含员休室）</t>
        </is>
      </c>
      <c r="I1984" s="69" t="inlineStr">
        <is>
          <t>1000021625</t>
        </is>
      </c>
      <c r="J1984" s="69" t="inlineStr">
        <is>
          <t>墙面 /威盛亚木纹色防火板（不含基层）</t>
        </is>
      </c>
      <c r="K1984" s="70" t="n"/>
      <c r="L1984" s="70" t="n"/>
      <c r="M1984" s="71" t="inlineStr">
        <is>
          <t>m2</t>
        </is>
      </c>
      <c r="N1984" s="72" t="n">
        <v>186.66</v>
      </c>
      <c r="O1984" s="72">
        <f>ROUND(N1984*(1+$F$10),2)</f>
        <v/>
      </c>
      <c r="P1984" s="73">
        <f>ROUND(K1984*N1984,2)</f>
        <v/>
      </c>
      <c r="Q1984" s="74">
        <f>ROUND(L1984*N1984,2)</f>
        <v/>
      </c>
      <c r="R1984" s="75" t="n"/>
      <c r="S1984" s="76" t="n"/>
      <c r="T1984" s="77">
        <f>K1984-L1984</f>
        <v/>
      </c>
      <c r="U1984" s="77">
        <f>P1984-Q1984</f>
        <v/>
      </c>
      <c r="V1984" s="77">
        <f>ABS(U1984)</f>
        <v/>
      </c>
      <c r="W1984" s="78">
        <f>T1984/L1984</f>
        <v/>
      </c>
      <c r="X1984" s="79">
        <f>ABS(W1984)</f>
        <v/>
      </c>
    </row>
    <row r="1985" ht="11.4" customHeight="1">
      <c r="A1985" s="67" t="inlineStr">
        <is>
          <t>大甜55</t>
        </is>
      </c>
      <c r="B1985" s="67" t="inlineStr">
        <is>
          <t>1053</t>
        </is>
      </c>
      <c r="C1985" s="67" t="inlineStr">
        <is>
          <t>1611</t>
        </is>
      </c>
      <c r="D1985" s="68" t="inlineStr">
        <is>
          <t>03</t>
        </is>
      </c>
      <c r="E1985" s="68" t="inlineStr">
        <is>
          <t>6 物业施工费</t>
        </is>
      </c>
      <c r="F1985" s="68" t="inlineStr">
        <is>
          <t>6.1 总承包工程</t>
        </is>
      </c>
      <c r="G1985" s="68" t="inlineStr">
        <is>
          <t>6.1.1 内部装修工程</t>
        </is>
      </c>
      <c r="H1985" s="68" t="inlineStr">
        <is>
          <t>厨房墙面（不含员休室）</t>
        </is>
      </c>
      <c r="I1985" s="69" t="inlineStr">
        <is>
          <t>1000021624</t>
        </is>
      </c>
      <c r="J1985" s="69" t="inlineStr">
        <is>
          <t>墙面 /威盛亚深灰色防火板（不含基层）</t>
        </is>
      </c>
      <c r="K1985" s="70" t="n"/>
      <c r="L1985" s="70" t="n"/>
      <c r="M1985" s="71" t="inlineStr">
        <is>
          <t>m2</t>
        </is>
      </c>
      <c r="N1985" s="72" t="n">
        <v>174.35</v>
      </c>
      <c r="O1985" s="72">
        <f>ROUND(N1985*(1+$F$10),2)</f>
        <v/>
      </c>
      <c r="P1985" s="73">
        <f>ROUND(K1985*N1985,2)</f>
        <v/>
      </c>
      <c r="Q1985" s="74">
        <f>ROUND(L1985*N1985,2)</f>
        <v/>
      </c>
      <c r="R1985" s="75" t="n"/>
      <c r="S1985" s="76" t="n"/>
      <c r="T1985" s="77">
        <f>K1985-L1985</f>
        <v/>
      </c>
      <c r="U1985" s="77">
        <f>P1985-Q1985</f>
        <v/>
      </c>
      <c r="V1985" s="77">
        <f>ABS(U1985)</f>
        <v/>
      </c>
      <c r="W1985" s="78">
        <f>T1985/L1985</f>
        <v/>
      </c>
      <c r="X1985" s="79">
        <f>ABS(W1985)</f>
        <v/>
      </c>
    </row>
    <row r="1986" ht="11.4" customHeight="1">
      <c r="A1986" s="67" t="inlineStr">
        <is>
          <t>大甜55</t>
        </is>
      </c>
      <c r="B1986" s="67" t="inlineStr">
        <is>
          <t>1053</t>
        </is>
      </c>
      <c r="C1986" s="67" t="inlineStr">
        <is>
          <t>1611</t>
        </is>
      </c>
      <c r="D1986" s="68" t="inlineStr">
        <is>
          <t>03</t>
        </is>
      </c>
      <c r="E1986" s="68" t="inlineStr">
        <is>
          <t>6 物业施工费</t>
        </is>
      </c>
      <c r="F1986" s="68" t="inlineStr">
        <is>
          <t>6.1 总承包工程</t>
        </is>
      </c>
      <c r="G1986" s="68" t="inlineStr">
        <is>
          <t>6.1.1 内部装修工程</t>
        </is>
      </c>
      <c r="H1986" s="68" t="inlineStr">
        <is>
          <t>厨房墙面（不含员休室）</t>
        </is>
      </c>
      <c r="I1986" s="69" t="inlineStr">
        <is>
          <t>1000021774</t>
        </is>
      </c>
      <c r="J1986" s="69" t="inlineStr">
        <is>
          <t>A级防火铝型材墙板-墙面基层（方管龙骨）</t>
        </is>
      </c>
      <c r="K1986" s="70" t="n"/>
      <c r="L1986" s="70" t="n"/>
      <c r="M1986" s="71" t="inlineStr">
        <is>
          <t>m2</t>
        </is>
      </c>
      <c r="N1986" s="72" t="n">
        <v>70.84999999999999</v>
      </c>
      <c r="O1986" s="72">
        <f>ROUND(N1986*(1+$F$10),2)</f>
        <v/>
      </c>
      <c r="P1986" s="73">
        <f>ROUND(K1986*N1986,2)</f>
        <v/>
      </c>
      <c r="Q1986" s="74">
        <f>ROUND(L1986*N1986,2)</f>
        <v/>
      </c>
      <c r="R1986" s="75" t="n"/>
      <c r="S1986" s="76" t="n"/>
      <c r="T1986" s="77">
        <f>K1986-L1986</f>
        <v/>
      </c>
      <c r="U1986" s="77">
        <f>P1986-Q1986</f>
        <v/>
      </c>
      <c r="V1986" s="77">
        <f>ABS(U1986)</f>
        <v/>
      </c>
      <c r="W1986" s="78">
        <f>T1986/L1986</f>
        <v/>
      </c>
      <c r="X1986" s="79">
        <f>ABS(W1986)</f>
        <v/>
      </c>
    </row>
    <row r="1987" ht="11.4" customHeight="1">
      <c r="A1987" s="67" t="inlineStr">
        <is>
          <t>大甜55</t>
        </is>
      </c>
      <c r="B1987" s="67" t="inlineStr">
        <is>
          <t>1053</t>
        </is>
      </c>
      <c r="C1987" s="67" t="inlineStr">
        <is>
          <t>1611</t>
        </is>
      </c>
      <c r="D1987" s="68" t="inlineStr">
        <is>
          <t>03</t>
        </is>
      </c>
      <c r="E1987" s="68" t="inlineStr">
        <is>
          <t>6 物业施工费</t>
        </is>
      </c>
      <c r="F1987" s="68" t="inlineStr">
        <is>
          <t>6.1 总承包工程</t>
        </is>
      </c>
      <c r="G1987" s="68" t="inlineStr">
        <is>
          <t>6.1.1 内部装修工程</t>
        </is>
      </c>
      <c r="H1987" s="68" t="inlineStr">
        <is>
          <t>厨房墙面（不含员休室）</t>
        </is>
      </c>
      <c r="I1987" s="69" t="inlineStr">
        <is>
          <t>1000021775</t>
        </is>
      </c>
      <c r="J1987" s="69" t="inlineStr">
        <is>
          <t>A级防火铝型材墙板-主材</t>
        </is>
      </c>
      <c r="K1987" s="70" t="n"/>
      <c r="L1987" s="70" t="n"/>
      <c r="M1987" s="71" t="inlineStr">
        <is>
          <t>m2</t>
        </is>
      </c>
      <c r="N1987" s="72" t="n">
        <v>307.56</v>
      </c>
      <c r="O1987" s="72">
        <f>ROUND(N1987*(1+$F$10),2)</f>
        <v/>
      </c>
      <c r="P1987" s="73">
        <f>ROUND(K1987*N1987,2)</f>
        <v/>
      </c>
      <c r="Q1987" s="74">
        <f>ROUND(L1987*N1987,2)</f>
        <v/>
      </c>
      <c r="R1987" s="75" t="n"/>
      <c r="S1987" s="76" t="n"/>
      <c r="T1987" s="77">
        <f>K1987-L1987</f>
        <v/>
      </c>
      <c r="U1987" s="77">
        <f>P1987-Q1987</f>
        <v/>
      </c>
      <c r="V1987" s="77">
        <f>ABS(U1987)</f>
        <v/>
      </c>
      <c r="W1987" s="78">
        <f>T1987/L1987</f>
        <v/>
      </c>
      <c r="X1987" s="79">
        <f>ABS(W1987)</f>
        <v/>
      </c>
    </row>
    <row r="1988" ht="11.4" customHeight="1">
      <c r="A1988" s="67" t="inlineStr">
        <is>
          <t>大甜55</t>
        </is>
      </c>
      <c r="B1988" s="67" t="inlineStr">
        <is>
          <t>1053</t>
        </is>
      </c>
      <c r="C1988" s="67" t="inlineStr">
        <is>
          <t>1611</t>
        </is>
      </c>
      <c r="D1988" s="68" t="inlineStr">
        <is>
          <t>03</t>
        </is>
      </c>
      <c r="E1988" s="68" t="inlineStr">
        <is>
          <t>6 物业施工费</t>
        </is>
      </c>
      <c r="F1988" s="68" t="inlineStr">
        <is>
          <t>6.1 总承包工程</t>
        </is>
      </c>
      <c r="G1988" s="68" t="inlineStr">
        <is>
          <t>6.1.1 内部装修工程</t>
        </is>
      </c>
      <c r="H1988" s="68" t="inlineStr">
        <is>
          <t>厨房墙面（不含员休室）</t>
        </is>
      </c>
      <c r="I1988" s="69" t="inlineStr">
        <is>
          <t>1000021776</t>
        </is>
      </c>
      <c r="J1988" s="69" t="inlineStr">
        <is>
          <t>A级防火铝型材墙板--安装</t>
        </is>
      </c>
      <c r="K1988" s="70" t="n"/>
      <c r="L1988" s="70" t="n"/>
      <c r="M1988" s="71" t="inlineStr">
        <is>
          <t>m2</t>
        </is>
      </c>
      <c r="N1988" s="72" t="n">
        <v>39.59</v>
      </c>
      <c r="O1988" s="72">
        <f>ROUND(N1988*(1+$F$10),2)</f>
        <v/>
      </c>
      <c r="P1988" s="73">
        <f>ROUND(K1988*N1988,2)</f>
        <v/>
      </c>
      <c r="Q1988" s="74">
        <f>ROUND(L1988*N1988,2)</f>
        <v/>
      </c>
      <c r="R1988" s="75" t="n"/>
      <c r="S1988" s="76" t="n"/>
      <c r="T1988" s="77">
        <f>K1988-L1988</f>
        <v/>
      </c>
      <c r="U1988" s="77">
        <f>P1988-Q1988</f>
        <v/>
      </c>
      <c r="V1988" s="77">
        <f>ABS(U1988)</f>
        <v/>
      </c>
      <c r="W1988" s="78">
        <f>T1988/L1988</f>
        <v/>
      </c>
      <c r="X1988" s="79">
        <f>ABS(W1988)</f>
        <v/>
      </c>
    </row>
    <row r="1989" ht="11.4" customHeight="1">
      <c r="A1989" s="67" t="inlineStr">
        <is>
          <t>大甜55</t>
        </is>
      </c>
      <c r="B1989" s="67" t="inlineStr">
        <is>
          <t>1053</t>
        </is>
      </c>
      <c r="C1989" s="67" t="inlineStr">
        <is>
          <t>1611</t>
        </is>
      </c>
      <c r="D1989" s="68" t="inlineStr">
        <is>
          <t>03</t>
        </is>
      </c>
      <c r="E1989" s="68" t="inlineStr">
        <is>
          <t>6 物业施工费</t>
        </is>
      </c>
      <c r="F1989" s="68" t="inlineStr">
        <is>
          <t>6.1 总承包工程</t>
        </is>
      </c>
      <c r="G1989" s="68" t="inlineStr">
        <is>
          <t>6.1.1 内部装修工程</t>
        </is>
      </c>
      <c r="H1989" s="68" t="inlineStr">
        <is>
          <t>厨房墙面（不含员休室）</t>
        </is>
      </c>
      <c r="I1989" s="69" t="inlineStr">
        <is>
          <t>1000021517</t>
        </is>
      </c>
      <c r="J1989" s="69" t="inlineStr">
        <is>
          <t>室内浅色乳胶漆（含批搪，遮盖）</t>
        </is>
      </c>
      <c r="K1989" s="70" t="n"/>
      <c r="L1989" s="70" t="n"/>
      <c r="M1989" s="71" t="inlineStr">
        <is>
          <t>m2</t>
        </is>
      </c>
      <c r="N1989" s="72" t="n">
        <v>58.39</v>
      </c>
      <c r="O1989" s="72">
        <f>ROUND(N1989*(1+$F$10),2)</f>
        <v/>
      </c>
      <c r="P1989" s="73">
        <f>ROUND(K1989*N1989,2)</f>
        <v/>
      </c>
      <c r="Q1989" s="74">
        <f>ROUND(L1989*N1989,2)</f>
        <v/>
      </c>
      <c r="R1989" s="75" t="n"/>
      <c r="S1989" s="76" t="n"/>
      <c r="T1989" s="77">
        <f>K1989-L1989</f>
        <v/>
      </c>
      <c r="U1989" s="77">
        <f>P1989-Q1989</f>
        <v/>
      </c>
      <c r="V1989" s="77">
        <f>ABS(U1989)</f>
        <v/>
      </c>
      <c r="W1989" s="78">
        <f>T1989/L1989</f>
        <v/>
      </c>
      <c r="X1989" s="79">
        <f>ABS(W1989)</f>
        <v/>
      </c>
    </row>
    <row r="1990" ht="11.4" customHeight="1">
      <c r="A1990" s="67" t="inlineStr">
        <is>
          <t>大甜55</t>
        </is>
      </c>
      <c r="B1990" s="67" t="inlineStr">
        <is>
          <t>1053</t>
        </is>
      </c>
      <c r="C1990" s="67" t="inlineStr">
        <is>
          <t>1611</t>
        </is>
      </c>
      <c r="D1990" s="68" t="inlineStr">
        <is>
          <t>03</t>
        </is>
      </c>
      <c r="E1990" s="68" t="inlineStr">
        <is>
          <t>6 物业施工费</t>
        </is>
      </c>
      <c r="F1990" s="68" t="inlineStr">
        <is>
          <t>6.1 总承包工程</t>
        </is>
      </c>
      <c r="G1990" s="68" t="inlineStr">
        <is>
          <t>6.1.1 内部装修工程</t>
        </is>
      </c>
      <c r="H1990" s="68" t="inlineStr">
        <is>
          <t>厨房墙面（不含员休室）</t>
        </is>
      </c>
      <c r="I1990" s="69" t="inlineStr">
        <is>
          <t>1000021777</t>
        </is>
      </c>
      <c r="J1990" s="69" t="inlineStr">
        <is>
          <t>墙面抹平压光</t>
        </is>
      </c>
      <c r="K1990" s="70" t="n"/>
      <c r="L1990" s="70" t="n"/>
      <c r="M1990" s="71" t="inlineStr">
        <is>
          <t>m2</t>
        </is>
      </c>
      <c r="N1990" s="72" t="n">
        <v>17.39</v>
      </c>
      <c r="O1990" s="72">
        <f>ROUND(N1990*(1+$F$10),2)</f>
        <v/>
      </c>
      <c r="P1990" s="73">
        <f>ROUND(K1990*N1990,2)</f>
        <v/>
      </c>
      <c r="Q1990" s="74">
        <f>ROUND(L1990*N1990,2)</f>
        <v/>
      </c>
      <c r="R1990" s="75" t="n"/>
      <c r="S1990" s="76" t="n"/>
      <c r="T1990" s="77">
        <f>K1990-L1990</f>
        <v/>
      </c>
      <c r="U1990" s="77">
        <f>P1990-Q1990</f>
        <v/>
      </c>
      <c r="V1990" s="77">
        <f>ABS(U1990)</f>
        <v/>
      </c>
      <c r="W1990" s="78">
        <f>T1990/L1990</f>
        <v/>
      </c>
      <c r="X1990" s="79">
        <f>ABS(W1990)</f>
        <v/>
      </c>
    </row>
    <row r="1991" ht="11.4" customHeight="1">
      <c r="A1991" s="67" t="inlineStr">
        <is>
          <t>大甜55</t>
        </is>
      </c>
      <c r="B1991" s="67" t="inlineStr">
        <is>
          <t>1053</t>
        </is>
      </c>
      <c r="C1991" s="67" t="inlineStr">
        <is>
          <t>1611</t>
        </is>
      </c>
      <c r="D1991" s="68" t="inlineStr">
        <is>
          <t>03</t>
        </is>
      </c>
      <c r="E1991" s="68" t="inlineStr">
        <is>
          <t>6 物业施工费</t>
        </is>
      </c>
      <c r="F1991" s="68" t="inlineStr">
        <is>
          <t>6.1 总承包工程</t>
        </is>
      </c>
      <c r="G1991" s="68" t="inlineStr">
        <is>
          <t>6.1.1 内部装修工程</t>
        </is>
      </c>
      <c r="H1991" s="68" t="inlineStr">
        <is>
          <t>厨房吊顶（不含员休室）</t>
        </is>
      </c>
      <c r="I1991" s="69" t="inlineStr">
        <is>
          <t>1000021519</t>
        </is>
      </c>
      <c r="J1991" s="69" t="inlineStr">
        <is>
          <t>600x600 烤漆龙骨防油石膏板天花</t>
        </is>
      </c>
      <c r="K1991" s="70" t="n"/>
      <c r="L1991" s="70" t="n"/>
      <c r="M1991" s="71" t="inlineStr">
        <is>
          <t>m2</t>
        </is>
      </c>
      <c r="N1991" s="72" t="n">
        <v>132.76</v>
      </c>
      <c r="O1991" s="72">
        <f>ROUND(N1991*(1+$F$10),2)</f>
        <v/>
      </c>
      <c r="P1991" s="73">
        <f>ROUND(K1991*N1991,2)</f>
        <v/>
      </c>
      <c r="Q1991" s="74">
        <f>ROUND(L1991*N1991,2)</f>
        <v/>
      </c>
      <c r="R1991" s="75" t="n"/>
      <c r="S1991" s="76" t="n"/>
      <c r="T1991" s="77">
        <f>K1991-L1991</f>
        <v/>
      </c>
      <c r="U1991" s="77">
        <f>P1991-Q1991</f>
        <v/>
      </c>
      <c r="V1991" s="77">
        <f>ABS(U1991)</f>
        <v/>
      </c>
      <c r="W1991" s="78">
        <f>T1991/L1991</f>
        <v/>
      </c>
      <c r="X1991" s="79">
        <f>ABS(W1991)</f>
        <v/>
      </c>
    </row>
    <row r="1992" ht="11.4" customHeight="1">
      <c r="A1992" s="67" t="inlineStr">
        <is>
          <t>大甜55</t>
        </is>
      </c>
      <c r="B1992" s="67" t="inlineStr">
        <is>
          <t>1053</t>
        </is>
      </c>
      <c r="C1992" s="67" t="inlineStr">
        <is>
          <t>1611</t>
        </is>
      </c>
      <c r="D1992" s="68" t="inlineStr">
        <is>
          <t>03</t>
        </is>
      </c>
      <c r="E1992" s="68" t="inlineStr">
        <is>
          <t>6 物业施工费</t>
        </is>
      </c>
      <c r="F1992" s="68" t="inlineStr">
        <is>
          <t>6.1 总承包工程</t>
        </is>
      </c>
      <c r="G1992" s="68" t="inlineStr">
        <is>
          <t>6.1.1 内部装修工程</t>
        </is>
      </c>
      <c r="H1992" s="68" t="inlineStr">
        <is>
          <t>厨房吊顶（不含员休室）</t>
        </is>
      </c>
      <c r="I1992" s="69" t="inlineStr">
        <is>
          <t>1000022181</t>
        </is>
      </c>
      <c r="J1992" s="69" t="inlineStr">
        <is>
          <t>轻钢龙骨石膏板天花 (干仓/清洁间/礼品房等)</t>
        </is>
      </c>
      <c r="K1992" s="70" t="n"/>
      <c r="L1992" s="70" t="n"/>
      <c r="M1992" s="71" t="inlineStr">
        <is>
          <t>m2</t>
        </is>
      </c>
      <c r="N1992" s="72" t="n">
        <v>139.73</v>
      </c>
      <c r="O1992" s="72">
        <f>ROUND(N1992*(1+$F$10),2)</f>
        <v/>
      </c>
      <c r="P1992" s="73">
        <f>ROUND(K1992*N1992,2)</f>
        <v/>
      </c>
      <c r="Q1992" s="74">
        <f>ROUND(L1992*N1992,2)</f>
        <v/>
      </c>
      <c r="R1992" s="75" t="n"/>
      <c r="S1992" s="76" t="n"/>
      <c r="T1992" s="77">
        <f>K1992-L1992</f>
        <v/>
      </c>
      <c r="U1992" s="77">
        <f>P1992-Q1992</f>
        <v/>
      </c>
      <c r="V1992" s="77">
        <f>ABS(U1992)</f>
        <v/>
      </c>
      <c r="W1992" s="78">
        <f>T1992/L1992</f>
        <v/>
      </c>
      <c r="X1992" s="79">
        <f>ABS(W1992)</f>
        <v/>
      </c>
    </row>
    <row r="1993" ht="11.4" customHeight="1">
      <c r="A1993" s="67" t="inlineStr">
        <is>
          <t>大甜55</t>
        </is>
      </c>
      <c r="B1993" s="67" t="inlineStr">
        <is>
          <t>1053</t>
        </is>
      </c>
      <c r="C1993" s="67" t="inlineStr">
        <is>
          <t>1611</t>
        </is>
      </c>
      <c r="D1993" s="68" t="inlineStr">
        <is>
          <t>03</t>
        </is>
      </c>
      <c r="E1993" s="68" t="inlineStr">
        <is>
          <t>6 物业施工费</t>
        </is>
      </c>
      <c r="F1993" s="68" t="inlineStr">
        <is>
          <t>6.1 总承包工程</t>
        </is>
      </c>
      <c r="G1993" s="68" t="inlineStr">
        <is>
          <t>6.1.1 内部装修工程</t>
        </is>
      </c>
      <c r="H1993" s="68" t="inlineStr">
        <is>
          <t>厨房吊顶（不含员休室）</t>
        </is>
      </c>
      <c r="I1993" s="69" t="inlineStr">
        <is>
          <t>1000021485</t>
        </is>
      </c>
      <c r="J1993" s="69" t="inlineStr">
        <is>
          <t>600x600烤漆T龙防潮隔音矿棉天花</t>
        </is>
      </c>
      <c r="K1993" s="70" t="n"/>
      <c r="L1993" s="70" t="n"/>
      <c r="M1993" s="71" t="inlineStr">
        <is>
          <t>m2</t>
        </is>
      </c>
      <c r="N1993" s="72" t="n">
        <v>127.36</v>
      </c>
      <c r="O1993" s="72">
        <f>ROUND(N1993*(1+$F$10),2)</f>
        <v/>
      </c>
      <c r="P1993" s="73">
        <f>ROUND(K1993*N1993,2)</f>
        <v/>
      </c>
      <c r="Q1993" s="74">
        <f>ROUND(L1993*N1993,2)</f>
        <v/>
      </c>
      <c r="R1993" s="75" t="n"/>
      <c r="S1993" s="76" t="n"/>
      <c r="T1993" s="77">
        <f>K1993-L1993</f>
        <v/>
      </c>
      <c r="U1993" s="77">
        <f>P1993-Q1993</f>
        <v/>
      </c>
      <c r="V1993" s="77">
        <f>ABS(U1993)</f>
        <v/>
      </c>
      <c r="W1993" s="78">
        <f>T1993/L1993</f>
        <v/>
      </c>
      <c r="X1993" s="79">
        <f>ABS(W1993)</f>
        <v/>
      </c>
    </row>
    <row r="1994" ht="11.4" customHeight="1">
      <c r="A1994" s="67" t="inlineStr">
        <is>
          <t>大甜55</t>
        </is>
      </c>
      <c r="B1994" s="67" t="inlineStr">
        <is>
          <t>1053</t>
        </is>
      </c>
      <c r="C1994" s="67" t="inlineStr">
        <is>
          <t>1611</t>
        </is>
      </c>
      <c r="D1994" s="68" t="inlineStr">
        <is>
          <t>03</t>
        </is>
      </c>
      <c r="E1994" s="68" t="inlineStr">
        <is>
          <t>6 物业施工费</t>
        </is>
      </c>
      <c r="F1994" s="68" t="inlineStr">
        <is>
          <t>6.1 总承包工程</t>
        </is>
      </c>
      <c r="G1994" s="68" t="inlineStr">
        <is>
          <t>6.1.1 内部装修工程</t>
        </is>
      </c>
      <c r="H1994" s="68" t="inlineStr">
        <is>
          <t>厨房吊顶（不含员休室）</t>
        </is>
      </c>
      <c r="I1994" s="69" t="inlineStr">
        <is>
          <t>1000021486</t>
        </is>
      </c>
      <c r="J1994" s="69" t="inlineStr">
        <is>
          <t>600*1200烤漆龙骨防潮矿棉板天花</t>
        </is>
      </c>
      <c r="K1994" s="70" t="n"/>
      <c r="L1994" s="70" t="n"/>
      <c r="M1994" s="71" t="inlineStr">
        <is>
          <t>m2</t>
        </is>
      </c>
      <c r="N1994" s="72" t="n">
        <v>138.36</v>
      </c>
      <c r="O1994" s="72">
        <f>ROUND(N1994*(1+$F$10),2)</f>
        <v/>
      </c>
      <c r="P1994" s="73">
        <f>ROUND(K1994*N1994,2)</f>
        <v/>
      </c>
      <c r="Q1994" s="74">
        <f>ROUND(L1994*N1994,2)</f>
        <v/>
      </c>
      <c r="R1994" s="75" t="n"/>
      <c r="S1994" s="76" t="n"/>
      <c r="T1994" s="77">
        <f>K1994-L1994</f>
        <v/>
      </c>
      <c r="U1994" s="77">
        <f>P1994-Q1994</f>
        <v/>
      </c>
      <c r="V1994" s="77">
        <f>ABS(U1994)</f>
        <v/>
      </c>
      <c r="W1994" s="78">
        <f>T1994/L1994</f>
        <v/>
      </c>
      <c r="X1994" s="79">
        <f>ABS(W1994)</f>
        <v/>
      </c>
    </row>
    <row r="1995" ht="11.4" customHeight="1">
      <c r="A1995" s="67" t="inlineStr">
        <is>
          <t>大甜55</t>
        </is>
      </c>
      <c r="B1995" s="67" t="inlineStr">
        <is>
          <t>1053</t>
        </is>
      </c>
      <c r="C1995" s="67" t="inlineStr">
        <is>
          <t>1611</t>
        </is>
      </c>
      <c r="D1995" s="68" t="inlineStr">
        <is>
          <t>03</t>
        </is>
      </c>
      <c r="E1995" s="68" t="inlineStr">
        <is>
          <t>6 物业施工费</t>
        </is>
      </c>
      <c r="F1995" s="68" t="inlineStr">
        <is>
          <t>6.1 总承包工程</t>
        </is>
      </c>
      <c r="G1995" s="68" t="inlineStr">
        <is>
          <t>6.1.1 内部装修工程</t>
        </is>
      </c>
      <c r="H1995" s="68" t="inlineStr">
        <is>
          <t>厨房吊顶（不含员休室）</t>
        </is>
      </c>
      <c r="I1995" s="69" t="inlineStr">
        <is>
          <t>1000021828</t>
        </is>
      </c>
      <c r="J1995" s="69" t="inlineStr">
        <is>
          <t>菜单牌钢支架</t>
        </is>
      </c>
      <c r="K1995" s="70" t="n"/>
      <c r="L1995" s="70" t="n"/>
      <c r="M1995" s="71" t="inlineStr">
        <is>
          <t>米</t>
        </is>
      </c>
      <c r="N1995" s="72" t="n">
        <v>323.64</v>
      </c>
      <c r="O1995" s="72">
        <f>ROUND(N1995*(1+$F$10),2)</f>
        <v/>
      </c>
      <c r="P1995" s="73">
        <f>ROUND(K1995*N1995,2)</f>
        <v/>
      </c>
      <c r="Q1995" s="74">
        <f>ROUND(L1995*N1995,2)</f>
        <v/>
      </c>
      <c r="R1995" s="75" t="n"/>
      <c r="S1995" s="76" t="n"/>
      <c r="T1995" s="77">
        <f>K1995-L1995</f>
        <v/>
      </c>
      <c r="U1995" s="77">
        <f>P1995-Q1995</f>
        <v/>
      </c>
      <c r="V1995" s="77">
        <f>ABS(U1995)</f>
        <v/>
      </c>
      <c r="W1995" s="78">
        <f>T1995/L1995</f>
        <v/>
      </c>
      <c r="X1995" s="79">
        <f>ABS(W1995)</f>
        <v/>
      </c>
    </row>
    <row r="1996" ht="11.4" customHeight="1">
      <c r="A1996" s="67" t="inlineStr">
        <is>
          <t>大甜55</t>
        </is>
      </c>
      <c r="B1996" s="67" t="inlineStr">
        <is>
          <t>1053</t>
        </is>
      </c>
      <c r="C1996" s="67" t="inlineStr">
        <is>
          <t>1611</t>
        </is>
      </c>
      <c r="D1996" s="68" t="inlineStr">
        <is>
          <t>03</t>
        </is>
      </c>
      <c r="E1996" s="68" t="inlineStr">
        <is>
          <t>6 物业施工费</t>
        </is>
      </c>
      <c r="F1996" s="68" t="inlineStr">
        <is>
          <t>6.1 总承包工程</t>
        </is>
      </c>
      <c r="G1996" s="68" t="inlineStr">
        <is>
          <t>6.1.1 内部装修工程</t>
        </is>
      </c>
      <c r="H1996" s="68" t="inlineStr">
        <is>
          <t>厨房家具及其他（不含员休室）</t>
        </is>
      </c>
      <c r="I1996" s="69" t="inlineStr">
        <is>
          <t>1000021829</t>
        </is>
      </c>
      <c r="J1996" s="69" t="inlineStr">
        <is>
          <t>经理室防火板贴面胶边写字桌连吊柜及布告板</t>
        </is>
      </c>
      <c r="K1996" s="70" t="n"/>
      <c r="L1996" s="70" t="n"/>
      <c r="M1996" s="71" t="inlineStr">
        <is>
          <t>米</t>
        </is>
      </c>
      <c r="N1996" s="72" t="n">
        <v>1368.15</v>
      </c>
      <c r="O1996" s="72">
        <f>ROUND(N1996*(1+$F$10),2)</f>
        <v/>
      </c>
      <c r="P1996" s="73">
        <f>ROUND(K1996*N1996,2)</f>
        <v/>
      </c>
      <c r="Q1996" s="74">
        <f>ROUND(L1996*N1996,2)</f>
        <v/>
      </c>
      <c r="R1996" s="75" t="n"/>
      <c r="S1996" s="76" t="n"/>
      <c r="T1996" s="77">
        <f>K1996-L1996</f>
        <v/>
      </c>
      <c r="U1996" s="77">
        <f>P1996-Q1996</f>
        <v/>
      </c>
      <c r="V1996" s="77">
        <f>ABS(U1996)</f>
        <v/>
      </c>
      <c r="W1996" s="78">
        <f>T1996/L1996</f>
        <v/>
      </c>
      <c r="X1996" s="79">
        <f>ABS(W1996)</f>
        <v/>
      </c>
    </row>
    <row r="1997" ht="11.4" customHeight="1">
      <c r="A1997" s="67" t="inlineStr">
        <is>
          <t>大甜55</t>
        </is>
      </c>
      <c r="B1997" s="67" t="inlineStr">
        <is>
          <t>1053</t>
        </is>
      </c>
      <c r="C1997" s="67" t="inlineStr">
        <is>
          <t>1611</t>
        </is>
      </c>
      <c r="D1997" s="68" t="inlineStr">
        <is>
          <t>03</t>
        </is>
      </c>
      <c r="E1997" s="68" t="inlineStr">
        <is>
          <t>6 物业施工费</t>
        </is>
      </c>
      <c r="F1997" s="68" t="inlineStr">
        <is>
          <t>6.1 总承包工程</t>
        </is>
      </c>
      <c r="G1997" s="68" t="inlineStr">
        <is>
          <t>6.1.1 内部装修工程</t>
        </is>
      </c>
      <c r="H1997" s="68" t="inlineStr">
        <is>
          <t>厨房家具及其他（不含员休室）</t>
        </is>
      </c>
      <c r="I1997" s="69" t="inlineStr">
        <is>
          <t>1000085721</t>
        </is>
      </c>
      <c r="J1997" s="69" t="inlineStr">
        <is>
          <t>员休室及经理室家具安装费</t>
        </is>
      </c>
      <c r="K1997" s="70" t="n"/>
      <c r="L1997" s="70" t="n"/>
      <c r="M1997" s="71" t="inlineStr">
        <is>
          <t>项</t>
        </is>
      </c>
      <c r="N1997" s="72" t="n">
        <v>1175</v>
      </c>
      <c r="O1997" s="72">
        <f>ROUND(N1997*(1+$F$10),2)</f>
        <v/>
      </c>
      <c r="P1997" s="73">
        <f>ROUND(K1997*N1997,2)</f>
        <v/>
      </c>
      <c r="Q1997" s="74">
        <f>ROUND(L1997*N1997,2)</f>
        <v/>
      </c>
      <c r="R1997" s="75" t="n"/>
      <c r="S1997" s="76" t="n"/>
      <c r="T1997" s="77">
        <f>K1997-L1997</f>
        <v/>
      </c>
      <c r="U1997" s="77">
        <f>P1997-Q1997</f>
        <v/>
      </c>
      <c r="V1997" s="77">
        <f>ABS(U1997)</f>
        <v/>
      </c>
      <c r="W1997" s="78">
        <f>T1997/L1997</f>
        <v/>
      </c>
      <c r="X1997" s="79">
        <f>ABS(W1997)</f>
        <v/>
      </c>
    </row>
    <row r="1998" ht="11.4" customHeight="1">
      <c r="A1998" s="67" t="inlineStr">
        <is>
          <t>大甜55</t>
        </is>
      </c>
      <c r="B1998" s="67" t="inlineStr">
        <is>
          <t>1053</t>
        </is>
      </c>
      <c r="C1998" s="67" t="inlineStr">
        <is>
          <t>1611</t>
        </is>
      </c>
      <c r="D1998" s="68" t="inlineStr">
        <is>
          <t>03</t>
        </is>
      </c>
      <c r="E1998" s="68" t="inlineStr">
        <is>
          <t>6 物业施工费</t>
        </is>
      </c>
      <c r="F1998" s="68" t="inlineStr">
        <is>
          <t>6.1 总承包工程</t>
        </is>
      </c>
      <c r="G1998" s="68" t="inlineStr">
        <is>
          <t>6.1.1 内部装修工程</t>
        </is>
      </c>
      <c r="H1998" s="68" t="inlineStr">
        <is>
          <t>厨房家具及其他（不含员休室）</t>
        </is>
      </c>
      <c r="I1998" s="69" t="inlineStr">
        <is>
          <t>1000040110</t>
        </is>
      </c>
      <c r="J1998" s="69" t="inlineStr">
        <is>
          <t>经理室翻新</t>
        </is>
      </c>
      <c r="K1998" s="70" t="n"/>
      <c r="L1998" s="70" t="n"/>
      <c r="M1998" s="71" t="inlineStr">
        <is>
          <t>项</t>
        </is>
      </c>
      <c r="N1998" s="72" t="n"/>
      <c r="O1998" s="72">
        <f>ROUND(N1998*(1+$F$10),2)</f>
        <v/>
      </c>
      <c r="P1998" s="73">
        <f>ROUND(K1998*N1998,2)</f>
        <v/>
      </c>
      <c r="Q1998" s="74">
        <f>ROUND(L1998*N1998,2)</f>
        <v/>
      </c>
      <c r="R1998" s="75" t="n"/>
      <c r="S1998" s="76" t="n"/>
      <c r="T1998" s="77">
        <f>K1998-L1998</f>
        <v/>
      </c>
      <c r="U1998" s="77">
        <f>P1998-Q1998</f>
        <v/>
      </c>
      <c r="V1998" s="77">
        <f>ABS(U1998)</f>
        <v/>
      </c>
      <c r="W1998" s="78">
        <f>T1998/L1998</f>
        <v/>
      </c>
      <c r="X1998" s="79">
        <f>ABS(W1998)</f>
        <v/>
      </c>
    </row>
    <row r="1999" ht="11.4" customHeight="1">
      <c r="A1999" s="67" t="inlineStr">
        <is>
          <t>大甜55</t>
        </is>
      </c>
      <c r="B1999" s="67" t="inlineStr">
        <is>
          <t>1053</t>
        </is>
      </c>
      <c r="C1999" s="67" t="inlineStr">
        <is>
          <t>1611</t>
        </is>
      </c>
      <c r="D1999" s="68" t="inlineStr">
        <is>
          <t>03</t>
        </is>
      </c>
      <c r="E1999" s="68" t="inlineStr">
        <is>
          <t>6 物业施工费</t>
        </is>
      </c>
      <c r="F1999" s="68" t="inlineStr">
        <is>
          <t>6.1 总承包工程</t>
        </is>
      </c>
      <c r="G1999" s="68" t="inlineStr">
        <is>
          <t>6.1.1 内部装修工程</t>
        </is>
      </c>
      <c r="H1999" s="68" t="inlineStr">
        <is>
          <t>厨房家具及其他（不含员休室）</t>
        </is>
      </c>
      <c r="I1999" s="69" t="inlineStr">
        <is>
          <t>1000021830</t>
        </is>
      </c>
      <c r="J1999" s="69" t="inlineStr">
        <is>
          <t>干货间营运物料柜</t>
        </is>
      </c>
      <c r="K1999" s="70" t="n"/>
      <c r="L1999" s="70" t="n"/>
      <c r="M1999" s="71" t="inlineStr">
        <is>
          <t>组</t>
        </is>
      </c>
      <c r="N1999" s="72" t="n">
        <v>1841.7</v>
      </c>
      <c r="O1999" s="72">
        <f>ROUND(N1999*(1+$F$10),2)</f>
        <v/>
      </c>
      <c r="P1999" s="73">
        <f>ROUND(K1999*N1999,2)</f>
        <v/>
      </c>
      <c r="Q1999" s="74">
        <f>ROUND(L1999*N1999,2)</f>
        <v/>
      </c>
      <c r="R1999" s="75" t="n"/>
      <c r="S1999" s="76" t="n"/>
      <c r="T1999" s="77">
        <f>K1999-L1999</f>
        <v/>
      </c>
      <c r="U1999" s="77">
        <f>P1999-Q1999</f>
        <v/>
      </c>
      <c r="V1999" s="77">
        <f>ABS(U1999)</f>
        <v/>
      </c>
      <c r="W1999" s="78">
        <f>T1999/L1999</f>
        <v/>
      </c>
      <c r="X1999" s="79">
        <f>ABS(W1999)</f>
        <v/>
      </c>
    </row>
    <row r="2000" ht="11.4" customHeight="1">
      <c r="A2000" s="67" t="inlineStr">
        <is>
          <t>大甜55</t>
        </is>
      </c>
      <c r="B2000" s="67" t="inlineStr">
        <is>
          <t>1053</t>
        </is>
      </c>
      <c r="C2000" s="67" t="inlineStr">
        <is>
          <t>1611</t>
        </is>
      </c>
      <c r="D2000" s="68" t="inlineStr">
        <is>
          <t>03</t>
        </is>
      </c>
      <c r="E2000" s="68" t="inlineStr">
        <is>
          <t>6 物业施工费</t>
        </is>
      </c>
      <c r="F2000" s="68" t="inlineStr">
        <is>
          <t>6.1 总承包工程</t>
        </is>
      </c>
      <c r="G2000" s="68" t="inlineStr">
        <is>
          <t>6.1.1 内部装修工程</t>
        </is>
      </c>
      <c r="H2000" s="68" t="inlineStr">
        <is>
          <t>厨房家具及其他（不含员休室）</t>
        </is>
      </c>
      <c r="I2000" s="69" t="inlineStr">
        <is>
          <t>1000021831</t>
        </is>
      </c>
      <c r="J2000" s="69" t="inlineStr">
        <is>
          <t>小件设备物品安装</t>
        </is>
      </c>
      <c r="K2000" s="70" t="n"/>
      <c r="L2000" s="70" t="n"/>
      <c r="M2000" s="71" t="inlineStr">
        <is>
          <t>项</t>
        </is>
      </c>
      <c r="N2000" s="72" t="n">
        <v>493.05</v>
      </c>
      <c r="O2000" s="72">
        <f>ROUND(N2000*(1+$F$10),2)</f>
        <v/>
      </c>
      <c r="P2000" s="73">
        <f>ROUND(K2000*N2000,2)</f>
        <v/>
      </c>
      <c r="Q2000" s="74">
        <f>ROUND(L2000*N2000,2)</f>
        <v/>
      </c>
      <c r="R2000" s="75" t="n"/>
      <c r="S2000" s="76" t="n"/>
      <c r="T2000" s="77">
        <f>K2000-L2000</f>
        <v/>
      </c>
      <c r="U2000" s="77">
        <f>P2000-Q2000</f>
        <v/>
      </c>
      <c r="V2000" s="77">
        <f>ABS(U2000)</f>
        <v/>
      </c>
      <c r="W2000" s="78">
        <f>T2000/L2000</f>
        <v/>
      </c>
      <c r="X2000" s="79">
        <f>ABS(W2000)</f>
        <v/>
      </c>
    </row>
    <row r="2001" ht="11.4" customHeight="1">
      <c r="A2001" s="67" t="inlineStr">
        <is>
          <t>大甜65</t>
        </is>
      </c>
      <c r="B2001" s="67" t="inlineStr">
        <is>
          <t>1063</t>
        </is>
      </c>
      <c r="C2001" s="67" t="inlineStr">
        <is>
          <t>1643</t>
        </is>
      </c>
      <c r="D2001" s="68" t="inlineStr">
        <is>
          <t>03</t>
        </is>
      </c>
      <c r="E2001" s="68" t="inlineStr">
        <is>
          <t>6 物业施工费</t>
        </is>
      </c>
      <c r="F2001" s="68" t="inlineStr">
        <is>
          <t>6.1 总承包工程</t>
        </is>
      </c>
      <c r="G2001" s="68" t="inlineStr">
        <is>
          <t>6.1.1 内部装修工程</t>
        </is>
      </c>
      <c r="H2001" s="68" t="inlineStr">
        <is>
          <t>墙体（均包含规范要求之圈梁、构造柱、粉墙）</t>
        </is>
      </c>
      <c r="I2001" s="69" t="inlineStr">
        <is>
          <t>1000021832</t>
        </is>
      </c>
      <c r="J2001" s="69" t="inlineStr">
        <is>
          <t>240厚砌块墙</t>
        </is>
      </c>
      <c r="K2001" s="70" t="n"/>
      <c r="L2001" s="70" t="n"/>
      <c r="M2001" s="71" t="inlineStr">
        <is>
          <t>m2</t>
        </is>
      </c>
      <c r="N2001" s="72" t="n">
        <v>153.82</v>
      </c>
      <c r="O2001" s="72">
        <f>ROUND(N2001*(1+$F$10),2)</f>
        <v/>
      </c>
      <c r="P2001" s="73">
        <f>ROUND(K2001*N2001,2)</f>
        <v/>
      </c>
      <c r="Q2001" s="74">
        <f>ROUND(L2001*N2001,2)</f>
        <v/>
      </c>
      <c r="R2001" s="75" t="n"/>
      <c r="S2001" s="76" t="n"/>
      <c r="T2001" s="77">
        <f>K2001-L2001</f>
        <v/>
      </c>
      <c r="U2001" s="77">
        <f>P2001-Q2001</f>
        <v/>
      </c>
      <c r="V2001" s="77">
        <f>ABS(U2001)</f>
        <v/>
      </c>
      <c r="W2001" s="78">
        <f>T2001/L2001</f>
        <v/>
      </c>
      <c r="X2001" s="79">
        <f>ABS(W2001)</f>
        <v/>
      </c>
    </row>
    <row r="2002" ht="11.4" customHeight="1">
      <c r="A2002" s="67" t="inlineStr">
        <is>
          <t>大甜65</t>
        </is>
      </c>
      <c r="B2002" s="67" t="inlineStr">
        <is>
          <t>1063</t>
        </is>
      </c>
      <c r="C2002" s="67" t="inlineStr">
        <is>
          <t>1643</t>
        </is>
      </c>
      <c r="D2002" s="68" t="inlineStr">
        <is>
          <t>03</t>
        </is>
      </c>
      <c r="E2002" s="68" t="inlineStr">
        <is>
          <t>6 物业施工费</t>
        </is>
      </c>
      <c r="F2002" s="68" t="inlineStr">
        <is>
          <t>6.1 总承包工程</t>
        </is>
      </c>
      <c r="G2002" s="68" t="inlineStr">
        <is>
          <t>6.1.1 内部装修工程</t>
        </is>
      </c>
      <c r="H2002" s="68" t="inlineStr">
        <is>
          <t>墙体（均包含规范要求之圈梁、构造柱、粉墙）</t>
        </is>
      </c>
      <c r="I2002" s="69" t="inlineStr">
        <is>
          <t>1000021833</t>
        </is>
      </c>
      <c r="J2002" s="69" t="inlineStr">
        <is>
          <t>150厚砌块墙</t>
        </is>
      </c>
      <c r="K2002" s="70" t="n"/>
      <c r="L2002" s="70" t="n"/>
      <c r="M2002" s="71" t="inlineStr">
        <is>
          <t>m2</t>
        </is>
      </c>
      <c r="N2002" s="72" t="n">
        <v>121.97</v>
      </c>
      <c r="O2002" s="72">
        <f>ROUND(N2002*(1+$F$10),2)</f>
        <v/>
      </c>
      <c r="P2002" s="73">
        <f>ROUND(K2002*N2002,2)</f>
        <v/>
      </c>
      <c r="Q2002" s="74">
        <f>ROUND(L2002*N2002,2)</f>
        <v/>
      </c>
      <c r="R2002" s="75" t="n"/>
      <c r="S2002" s="76" t="n"/>
      <c r="T2002" s="77">
        <f>K2002-L2002</f>
        <v/>
      </c>
      <c r="U2002" s="77">
        <f>P2002-Q2002</f>
        <v/>
      </c>
      <c r="V2002" s="77">
        <f>ABS(U2002)</f>
        <v/>
      </c>
      <c r="W2002" s="78">
        <f>T2002/L2002</f>
        <v/>
      </c>
      <c r="X2002" s="79">
        <f>ABS(W2002)</f>
        <v/>
      </c>
    </row>
    <row r="2003" ht="11.4" customHeight="1">
      <c r="A2003" s="67" t="inlineStr">
        <is>
          <t>大甜65</t>
        </is>
      </c>
      <c r="B2003" s="67" t="inlineStr">
        <is>
          <t>1063</t>
        </is>
      </c>
      <c r="C2003" s="67" t="inlineStr">
        <is>
          <t>1643</t>
        </is>
      </c>
      <c r="D2003" s="68" t="inlineStr">
        <is>
          <t>03</t>
        </is>
      </c>
      <c r="E2003" s="68" t="inlineStr">
        <is>
          <t>6 物业施工费</t>
        </is>
      </c>
      <c r="F2003" s="68" t="inlineStr">
        <is>
          <t>6.1 总承包工程</t>
        </is>
      </c>
      <c r="G2003" s="68" t="inlineStr">
        <is>
          <t>6.1.1 内部装修工程</t>
        </is>
      </c>
      <c r="H2003" s="68" t="inlineStr">
        <is>
          <t>墙体（均包含规范要求之圈梁、构造柱、粉墙）</t>
        </is>
      </c>
      <c r="I2003" s="69" t="inlineStr">
        <is>
          <t>1000021834</t>
        </is>
      </c>
      <c r="J2003" s="69" t="inlineStr">
        <is>
          <t>120厚砌块墙</t>
        </is>
      </c>
      <c r="K2003" s="70" t="n"/>
      <c r="L2003" s="70" t="n"/>
      <c r="M2003" s="71" t="inlineStr">
        <is>
          <t>m2</t>
        </is>
      </c>
      <c r="N2003" s="72" t="n">
        <v>93.01000000000001</v>
      </c>
      <c r="O2003" s="72">
        <f>ROUND(N2003*(1+$F$10),2)</f>
        <v/>
      </c>
      <c r="P2003" s="73">
        <f>ROUND(K2003*N2003,2)</f>
        <v/>
      </c>
      <c r="Q2003" s="74">
        <f>ROUND(L2003*N2003,2)</f>
        <v/>
      </c>
      <c r="R2003" s="75" t="n"/>
      <c r="S2003" s="76" t="n"/>
      <c r="T2003" s="77">
        <f>K2003-L2003</f>
        <v/>
      </c>
      <c r="U2003" s="77">
        <f>P2003-Q2003</f>
        <v/>
      </c>
      <c r="V2003" s="77">
        <f>ABS(U2003)</f>
        <v/>
      </c>
      <c r="W2003" s="78">
        <f>T2003/L2003</f>
        <v/>
      </c>
      <c r="X2003" s="79">
        <f>ABS(W2003)</f>
        <v/>
      </c>
    </row>
    <row r="2004" ht="11.4" customHeight="1">
      <c r="A2004" s="67" t="inlineStr">
        <is>
          <t>大甜65</t>
        </is>
      </c>
      <c r="B2004" s="67" t="inlineStr">
        <is>
          <t>1063</t>
        </is>
      </c>
      <c r="C2004" s="67" t="inlineStr">
        <is>
          <t>1643</t>
        </is>
      </c>
      <c r="D2004" s="68" t="inlineStr">
        <is>
          <t>03</t>
        </is>
      </c>
      <c r="E2004" s="68" t="inlineStr">
        <is>
          <t>6 物业施工费</t>
        </is>
      </c>
      <c r="F2004" s="68" t="inlineStr">
        <is>
          <t>6.1 总承包工程</t>
        </is>
      </c>
      <c r="G2004" s="68" t="inlineStr">
        <is>
          <t>6.1.1 内部装修工程</t>
        </is>
      </c>
      <c r="H2004" s="68" t="inlineStr">
        <is>
          <t>墙体（均包含规范要求之圈梁、构造柱、粉墙）</t>
        </is>
      </c>
      <c r="I2004" s="69" t="inlineStr">
        <is>
          <t>1000021835</t>
        </is>
      </c>
      <c r="J2004" s="69" t="inlineStr">
        <is>
          <t>100轻钢龙骨隔墙</t>
        </is>
      </c>
      <c r="K2004" s="70" t="n"/>
      <c r="L2004" s="70" t="n"/>
      <c r="M2004" s="71" t="inlineStr">
        <is>
          <t>m2</t>
        </is>
      </c>
      <c r="N2004" s="72" t="n">
        <v>147.12</v>
      </c>
      <c r="O2004" s="72">
        <f>ROUND(N2004*(1+$F$10),2)</f>
        <v/>
      </c>
      <c r="P2004" s="73">
        <f>ROUND(K2004*N2004,2)</f>
        <v/>
      </c>
      <c r="Q2004" s="74">
        <f>ROUND(L2004*N2004,2)</f>
        <v/>
      </c>
      <c r="R2004" s="75" t="n"/>
      <c r="S2004" s="76" t="n"/>
      <c r="T2004" s="77">
        <f>K2004-L2004</f>
        <v/>
      </c>
      <c r="U2004" s="77">
        <f>P2004-Q2004</f>
        <v/>
      </c>
      <c r="V2004" s="77">
        <f>ABS(U2004)</f>
        <v/>
      </c>
      <c r="W2004" s="78">
        <f>T2004/L2004</f>
        <v/>
      </c>
      <c r="X2004" s="79">
        <f>ABS(W2004)</f>
        <v/>
      </c>
    </row>
    <row r="2005" ht="11.4" customHeight="1">
      <c r="A2005" s="67" t="inlineStr">
        <is>
          <t>大甜65</t>
        </is>
      </c>
      <c r="B2005" s="67" t="inlineStr">
        <is>
          <t>1063</t>
        </is>
      </c>
      <c r="C2005" s="67" t="inlineStr">
        <is>
          <t>1643</t>
        </is>
      </c>
      <c r="D2005" s="68" t="inlineStr">
        <is>
          <t>03</t>
        </is>
      </c>
      <c r="E2005" s="68" t="inlineStr">
        <is>
          <t>6 物业施工费</t>
        </is>
      </c>
      <c r="F2005" s="68" t="inlineStr">
        <is>
          <t>6.1 总承包工程</t>
        </is>
      </c>
      <c r="G2005" s="68" t="inlineStr">
        <is>
          <t>6.1.1 内部装修工程</t>
        </is>
      </c>
      <c r="H2005" s="68" t="inlineStr">
        <is>
          <t>墙体（均包含规范要求之圈梁、构造柱、粉墙）</t>
        </is>
      </c>
      <c r="I2005" s="69" t="inlineStr">
        <is>
          <t>1000021836</t>
        </is>
      </c>
      <c r="J2005" s="69" t="inlineStr">
        <is>
          <t>50厚钢构墙体蒙网抹灰（双面）</t>
        </is>
      </c>
      <c r="K2005" s="70" t="n"/>
      <c r="L2005" s="70" t="n"/>
      <c r="M2005" s="71" t="inlineStr">
        <is>
          <t>m2</t>
        </is>
      </c>
      <c r="N2005" s="72" t="n">
        <v>246.52</v>
      </c>
      <c r="O2005" s="72">
        <f>ROUND(N2005*(1+$F$10),2)</f>
        <v/>
      </c>
      <c r="P2005" s="73">
        <f>ROUND(K2005*N2005,2)</f>
        <v/>
      </c>
      <c r="Q2005" s="74">
        <f>ROUND(L2005*N2005,2)</f>
        <v/>
      </c>
      <c r="R2005" s="75" t="n"/>
      <c r="S2005" s="76" t="n"/>
      <c r="T2005" s="77">
        <f>K2005-L2005</f>
        <v/>
      </c>
      <c r="U2005" s="77">
        <f>P2005-Q2005</f>
        <v/>
      </c>
      <c r="V2005" s="77">
        <f>ABS(U2005)</f>
        <v/>
      </c>
      <c r="W2005" s="78">
        <f>T2005/L2005</f>
        <v/>
      </c>
      <c r="X2005" s="79">
        <f>ABS(W2005)</f>
        <v/>
      </c>
    </row>
    <row r="2006" ht="11.4" customHeight="1">
      <c r="A2006" s="67" t="inlineStr">
        <is>
          <t>大甜65</t>
        </is>
      </c>
      <c r="B2006" s="67" t="inlineStr">
        <is>
          <t>1063</t>
        </is>
      </c>
      <c r="C2006" s="67" t="inlineStr">
        <is>
          <t>1643</t>
        </is>
      </c>
      <c r="D2006" s="68" t="inlineStr">
        <is>
          <t>03</t>
        </is>
      </c>
      <c r="E2006" s="68" t="inlineStr">
        <is>
          <t>6 物业施工费</t>
        </is>
      </c>
      <c r="F2006" s="68" t="inlineStr">
        <is>
          <t>6.1 总承包工程</t>
        </is>
      </c>
      <c r="G2006" s="68" t="inlineStr">
        <is>
          <t>6.1.1 内部装修工程</t>
        </is>
      </c>
      <c r="H2006" s="68" t="inlineStr">
        <is>
          <t>墙体（均包含规范要求之圈梁、构造柱、粉墙）</t>
        </is>
      </c>
      <c r="I2006" s="69" t="inlineStr">
        <is>
          <t>1000021837</t>
        </is>
      </c>
      <c r="J2006" s="69" t="inlineStr">
        <is>
          <t>50厚钢构墙体蒙网抹灰（单面）</t>
        </is>
      </c>
      <c r="K2006" s="70" t="n"/>
      <c r="L2006" s="70" t="n"/>
      <c r="M2006" s="71" t="inlineStr">
        <is>
          <t>m2</t>
        </is>
      </c>
      <c r="N2006" s="72" t="n">
        <v>142.03</v>
      </c>
      <c r="O2006" s="72">
        <f>ROUND(N2006*(1+$F$10),2)</f>
        <v/>
      </c>
      <c r="P2006" s="73">
        <f>ROUND(K2006*N2006,2)</f>
        <v/>
      </c>
      <c r="Q2006" s="74">
        <f>ROUND(L2006*N2006,2)</f>
        <v/>
      </c>
      <c r="R2006" s="75" t="n"/>
      <c r="S2006" s="76" t="n"/>
      <c r="T2006" s="77">
        <f>K2006-L2006</f>
        <v/>
      </c>
      <c r="U2006" s="77">
        <f>P2006-Q2006</f>
        <v/>
      </c>
      <c r="V2006" s="77">
        <f>ABS(U2006)</f>
        <v/>
      </c>
      <c r="W2006" s="78">
        <f>T2006/L2006</f>
        <v/>
      </c>
      <c r="X2006" s="79">
        <f>ABS(W2006)</f>
        <v/>
      </c>
    </row>
    <row r="2007" ht="11.4" customHeight="1">
      <c r="A2007" s="67" t="inlineStr">
        <is>
          <t>大甜65</t>
        </is>
      </c>
      <c r="B2007" s="67" t="inlineStr">
        <is>
          <t>1063</t>
        </is>
      </c>
      <c r="C2007" s="67" t="inlineStr">
        <is>
          <t>1643</t>
        </is>
      </c>
      <c r="D2007" s="68" t="inlineStr">
        <is>
          <t>03</t>
        </is>
      </c>
      <c r="E2007" s="68" t="inlineStr">
        <is>
          <t>6 物业施工费</t>
        </is>
      </c>
      <c r="F2007" s="68" t="inlineStr">
        <is>
          <t>6.1 总承包工程</t>
        </is>
      </c>
      <c r="G2007" s="68" t="inlineStr">
        <is>
          <t>6.1.1 内部装修工程</t>
        </is>
      </c>
      <c r="H2007" s="68" t="inlineStr">
        <is>
          <t>墙体（均包含规范要求之圈梁、构造柱、粉墙）</t>
        </is>
      </c>
      <c r="I2007" s="69" t="inlineStr">
        <is>
          <t>1000021838</t>
        </is>
      </c>
      <c r="J2007" s="69" t="inlineStr">
        <is>
          <t>1000mm高矮墙（上口人造石）（不含防火板）</t>
        </is>
      </c>
      <c r="K2007" s="70" t="n"/>
      <c r="L2007" s="70" t="n"/>
      <c r="M2007" s="71" t="inlineStr">
        <is>
          <t>米</t>
        </is>
      </c>
      <c r="N2007" s="72" t="n">
        <v>550.98</v>
      </c>
      <c r="O2007" s="72">
        <f>ROUND(N2007*(1+$F$10),2)</f>
        <v/>
      </c>
      <c r="P2007" s="73">
        <f>ROUND(K2007*N2007,2)</f>
        <v/>
      </c>
      <c r="Q2007" s="74">
        <f>ROUND(L2007*N2007,2)</f>
        <v/>
      </c>
      <c r="R2007" s="75" t="n"/>
      <c r="S2007" s="76" t="n"/>
      <c r="T2007" s="77">
        <f>K2007-L2007</f>
        <v/>
      </c>
      <c r="U2007" s="77">
        <f>P2007-Q2007</f>
        <v/>
      </c>
      <c r="V2007" s="77">
        <f>ABS(U2007)</f>
        <v/>
      </c>
      <c r="W2007" s="78">
        <f>T2007/L2007</f>
        <v/>
      </c>
      <c r="X2007" s="79">
        <f>ABS(W2007)</f>
        <v/>
      </c>
    </row>
    <row r="2008" ht="11.4" customHeight="1">
      <c r="A2008" s="67" t="inlineStr">
        <is>
          <t>大甜65</t>
        </is>
      </c>
      <c r="B2008" s="67" t="inlineStr">
        <is>
          <t>1063</t>
        </is>
      </c>
      <c r="C2008" s="67" t="inlineStr">
        <is>
          <t>1643</t>
        </is>
      </c>
      <c r="D2008" s="68" t="inlineStr">
        <is>
          <t>03</t>
        </is>
      </c>
      <c r="E2008" s="68" t="inlineStr">
        <is>
          <t>6 物业施工费</t>
        </is>
      </c>
      <c r="F2008" s="68" t="inlineStr">
        <is>
          <t>6.1 总承包工程</t>
        </is>
      </c>
      <c r="G2008" s="68" t="inlineStr">
        <is>
          <t>6.1.1 内部装修工程</t>
        </is>
      </c>
      <c r="H2008" s="68" t="inlineStr">
        <is>
          <t>墙体（均包含规范要求之圈梁、构造柱、粉墙）</t>
        </is>
      </c>
      <c r="I2008" s="69" t="inlineStr">
        <is>
          <t>1000021839</t>
        </is>
      </c>
      <c r="J2008" s="69" t="inlineStr">
        <is>
          <t>高凳侧面屏风仅龙骨</t>
        </is>
      </c>
      <c r="K2008" s="70" t="n"/>
      <c r="L2008" s="70" t="n"/>
      <c r="M2008" s="71" t="inlineStr">
        <is>
          <t>m2</t>
        </is>
      </c>
      <c r="N2008" s="72" t="n">
        <v>360.14</v>
      </c>
      <c r="O2008" s="72">
        <f>ROUND(N2008*(1+$F$10),2)</f>
        <v/>
      </c>
      <c r="P2008" s="73">
        <f>ROUND(K2008*N2008,2)</f>
        <v/>
      </c>
      <c r="Q2008" s="74">
        <f>ROUND(L2008*N2008,2)</f>
        <v/>
      </c>
      <c r="R2008" s="75" t="n"/>
      <c r="S2008" s="76" t="n"/>
      <c r="T2008" s="77">
        <f>K2008-L2008</f>
        <v/>
      </c>
      <c r="U2008" s="77">
        <f>P2008-Q2008</f>
        <v/>
      </c>
      <c r="V2008" s="77">
        <f>ABS(U2008)</f>
        <v/>
      </c>
      <c r="W2008" s="78">
        <f>T2008/L2008</f>
        <v/>
      </c>
      <c r="X2008" s="79">
        <f>ABS(W2008)</f>
        <v/>
      </c>
    </row>
    <row r="2009" ht="11.4" customHeight="1">
      <c r="A2009" s="67" t="inlineStr">
        <is>
          <t>大甜65</t>
        </is>
      </c>
      <c r="B2009" s="67" t="inlineStr">
        <is>
          <t>1063</t>
        </is>
      </c>
      <c r="C2009" s="67" t="inlineStr">
        <is>
          <t>1643</t>
        </is>
      </c>
      <c r="D2009" s="68" t="inlineStr">
        <is>
          <t>03</t>
        </is>
      </c>
      <c r="E2009" s="68" t="inlineStr">
        <is>
          <t>6 物业施工费</t>
        </is>
      </c>
      <c r="F2009" s="68" t="inlineStr">
        <is>
          <t>6.1 总承包工程</t>
        </is>
      </c>
      <c r="G2009" s="68" t="inlineStr">
        <is>
          <t>6.1.1 内部装修工程</t>
        </is>
      </c>
      <c r="H2009" s="68" t="inlineStr">
        <is>
          <t>墙体（均包含规范要求之圈梁、构造柱、粉墙）</t>
        </is>
      </c>
      <c r="I2009" s="69" t="inlineStr">
        <is>
          <t>1000021840</t>
        </is>
      </c>
      <c r="J2009" s="69" t="inlineStr">
        <is>
          <t>墙面粉墙找平</t>
        </is>
      </c>
      <c r="K2009" s="70" t="n"/>
      <c r="L2009" s="70" t="n"/>
      <c r="M2009" s="71" t="inlineStr">
        <is>
          <t>m2</t>
        </is>
      </c>
      <c r="N2009" s="72" t="n">
        <v>36.37</v>
      </c>
      <c r="O2009" s="72">
        <f>ROUND(N2009*(1+$F$10),2)</f>
        <v/>
      </c>
      <c r="P2009" s="73">
        <f>ROUND(K2009*N2009,2)</f>
        <v/>
      </c>
      <c r="Q2009" s="74">
        <f>ROUND(L2009*N2009,2)</f>
        <v/>
      </c>
      <c r="R2009" s="75" t="n"/>
      <c r="S2009" s="76" t="n"/>
      <c r="T2009" s="77">
        <f>K2009-L2009</f>
        <v/>
      </c>
      <c r="U2009" s="77">
        <f>P2009-Q2009</f>
        <v/>
      </c>
      <c r="V2009" s="77">
        <f>ABS(U2009)</f>
        <v/>
      </c>
      <c r="W2009" s="78">
        <f>T2009/L2009</f>
        <v/>
      </c>
      <c r="X2009" s="79">
        <f>ABS(W2009)</f>
        <v/>
      </c>
    </row>
    <row r="2010" ht="11.4" customHeight="1">
      <c r="A2010" s="67" t="inlineStr">
        <is>
          <t>大甜65</t>
        </is>
      </c>
      <c r="B2010" s="67" t="inlineStr">
        <is>
          <t>1063</t>
        </is>
      </c>
      <c r="C2010" s="67" t="inlineStr">
        <is>
          <t>1643</t>
        </is>
      </c>
      <c r="D2010" s="68" t="inlineStr">
        <is>
          <t>03</t>
        </is>
      </c>
      <c r="E2010" s="68" t="inlineStr">
        <is>
          <t>6 物业施工费</t>
        </is>
      </c>
      <c r="F2010" s="68" t="inlineStr">
        <is>
          <t>6.1 总承包工程</t>
        </is>
      </c>
      <c r="G2010" s="68" t="inlineStr">
        <is>
          <t>6.1.1 内部装修工程</t>
        </is>
      </c>
      <c r="H2010" s="68" t="inlineStr">
        <is>
          <t>墙体（均包含规范要求之圈梁、构造柱、粉墙）</t>
        </is>
      </c>
      <c r="I2010" s="69" t="inlineStr">
        <is>
          <t>1000021841</t>
        </is>
      </c>
      <c r="J2010" s="69" t="inlineStr">
        <is>
          <t>配电柜/员工柜/洗衣机之地台</t>
        </is>
      </c>
      <c r="K2010" s="70" t="n"/>
      <c r="L2010" s="70" t="n"/>
      <c r="M2010" s="71" t="inlineStr">
        <is>
          <t>m2</t>
        </is>
      </c>
      <c r="N2010" s="72" t="n">
        <v>106.36</v>
      </c>
      <c r="O2010" s="72">
        <f>ROUND(N2010*(1+$F$10),2)</f>
        <v/>
      </c>
      <c r="P2010" s="73">
        <f>ROUND(K2010*N2010,2)</f>
        <v/>
      </c>
      <c r="Q2010" s="74">
        <f>ROUND(L2010*N2010,2)</f>
        <v/>
      </c>
      <c r="R2010" s="75" t="n"/>
      <c r="S2010" s="76" t="n"/>
      <c r="T2010" s="77">
        <f>K2010-L2010</f>
        <v/>
      </c>
      <c r="U2010" s="77">
        <f>P2010-Q2010</f>
        <v/>
      </c>
      <c r="V2010" s="77">
        <f>ABS(U2010)</f>
        <v/>
      </c>
      <c r="W2010" s="78">
        <f>T2010/L2010</f>
        <v/>
      </c>
      <c r="X2010" s="79">
        <f>ABS(W2010)</f>
        <v/>
      </c>
    </row>
    <row r="2011" ht="11.4" customHeight="1">
      <c r="A2011" s="67" t="inlineStr">
        <is>
          <t>大甜64</t>
        </is>
      </c>
      <c r="B2011" s="67" t="inlineStr">
        <is>
          <t>1062</t>
        </is>
      </c>
      <c r="C2011" s="67" t="inlineStr">
        <is>
          <t>1611</t>
        </is>
      </c>
      <c r="D2011" s="68" t="inlineStr">
        <is>
          <t>03</t>
        </is>
      </c>
      <c r="E2011" s="68" t="inlineStr">
        <is>
          <t>6 物业施工费</t>
        </is>
      </c>
      <c r="F2011" s="68" t="inlineStr">
        <is>
          <t>6.1 总承包工程</t>
        </is>
      </c>
      <c r="G2011" s="68" t="inlineStr">
        <is>
          <t>6.1.1 内部装修工程</t>
        </is>
      </c>
      <c r="H2011" s="68" t="inlineStr">
        <is>
          <t>其他零星装修</t>
        </is>
      </c>
      <c r="I2011" s="69" t="inlineStr">
        <is>
          <t>1000021520</t>
        </is>
      </c>
      <c r="J2011" s="69" t="inlineStr">
        <is>
          <t>40mm厚成品门（含门套，连桥供应）</t>
        </is>
      </c>
      <c r="K2011" s="70" t="n"/>
      <c r="L2011" s="70" t="n"/>
      <c r="M2011" s="71" t="inlineStr">
        <is>
          <t>樘</t>
        </is>
      </c>
      <c r="N2011" s="72" t="n">
        <v>2585.55</v>
      </c>
      <c r="O2011" s="72">
        <f>ROUND(N2011*(1+$F$10),2)</f>
        <v/>
      </c>
      <c r="P2011" s="73">
        <f>ROUND(K2011*N2011,2)</f>
        <v/>
      </c>
      <c r="Q2011" s="74">
        <f>ROUND(L2011*N2011,2)</f>
        <v/>
      </c>
      <c r="R2011" s="75" t="n"/>
      <c r="S2011" s="76" t="n"/>
      <c r="T2011" s="77">
        <f>K2011-L2011</f>
        <v/>
      </c>
      <c r="U2011" s="77">
        <f>P2011-Q2011</f>
        <v/>
      </c>
      <c r="V2011" s="77">
        <f>ABS(U2011)</f>
        <v/>
      </c>
      <c r="W2011" s="78">
        <f>T2011/L2011</f>
        <v/>
      </c>
      <c r="X2011" s="79">
        <f>ABS(W2011)</f>
        <v/>
      </c>
    </row>
    <row r="2012" ht="11.4" customHeight="1">
      <c r="A2012" s="67" t="inlineStr">
        <is>
          <t>大甜64</t>
        </is>
      </c>
      <c r="B2012" s="67" t="inlineStr">
        <is>
          <t>1062</t>
        </is>
      </c>
      <c r="C2012" s="67" t="inlineStr">
        <is>
          <t>1611</t>
        </is>
      </c>
      <c r="D2012" s="68" t="inlineStr">
        <is>
          <t>03</t>
        </is>
      </c>
      <c r="E2012" s="68" t="inlineStr">
        <is>
          <t>6 物业施工费</t>
        </is>
      </c>
      <c r="F2012" s="68" t="inlineStr">
        <is>
          <t>6.1 总承包工程</t>
        </is>
      </c>
      <c r="G2012" s="68" t="inlineStr">
        <is>
          <t>6.1.1 内部装修工程</t>
        </is>
      </c>
      <c r="H2012" s="68" t="inlineStr">
        <is>
          <t>其他零星装修</t>
        </is>
      </c>
      <c r="I2012" s="69" t="inlineStr">
        <is>
          <t>1000021658</t>
        </is>
      </c>
      <c r="J2012" s="69" t="inlineStr">
        <is>
          <t>40mm厚成品门（含门套，远达供应）</t>
        </is>
      </c>
      <c r="K2012" s="70" t="n"/>
      <c r="L2012" s="70" t="n"/>
      <c r="M2012" s="71" t="inlineStr">
        <is>
          <t>樘</t>
        </is>
      </c>
      <c r="N2012" s="72" t="n">
        <v>2585.55</v>
      </c>
      <c r="O2012" s="72">
        <f>ROUND(N2012*(1+$F$10),2)</f>
        <v/>
      </c>
      <c r="P2012" s="73">
        <f>ROUND(K2012*N2012,2)</f>
        <v/>
      </c>
      <c r="Q2012" s="74">
        <f>ROUND(L2012*N2012,2)</f>
        <v/>
      </c>
      <c r="R2012" s="75" t="n"/>
      <c r="S2012" s="76" t="n"/>
      <c r="T2012" s="77">
        <f>K2012-L2012</f>
        <v/>
      </c>
      <c r="U2012" s="77">
        <f>P2012-Q2012</f>
        <v/>
      </c>
      <c r="V2012" s="77">
        <f>ABS(U2012)</f>
        <v/>
      </c>
      <c r="W2012" s="78">
        <f>T2012/L2012</f>
        <v/>
      </c>
      <c r="X2012" s="79">
        <f>ABS(W2012)</f>
        <v/>
      </c>
    </row>
    <row r="2013" ht="11.4" customHeight="1">
      <c r="A2013" s="67" t="inlineStr">
        <is>
          <t>大甜64</t>
        </is>
      </c>
      <c r="B2013" s="67" t="inlineStr">
        <is>
          <t>1062</t>
        </is>
      </c>
      <c r="C2013" s="67" t="inlineStr">
        <is>
          <t>1611</t>
        </is>
      </c>
      <c r="D2013" s="68" t="inlineStr">
        <is>
          <t>03</t>
        </is>
      </c>
      <c r="E2013" s="68" t="inlineStr">
        <is>
          <t>6 物业施工费</t>
        </is>
      </c>
      <c r="F2013" s="68" t="inlineStr">
        <is>
          <t>6.1 总承包工程</t>
        </is>
      </c>
      <c r="G2013" s="68" t="inlineStr">
        <is>
          <t>6.1.1 内部装修工程</t>
        </is>
      </c>
      <c r="H2013" s="68" t="inlineStr">
        <is>
          <t>其他零星装修</t>
        </is>
      </c>
      <c r="I2013" s="69" t="inlineStr">
        <is>
          <t>1000053617</t>
        </is>
      </c>
      <c r="J2013" s="69" t="inlineStr">
        <is>
          <t>40mm厚成品门（含门套，航凯供应）</t>
        </is>
      </c>
      <c r="K2013" s="70" t="n"/>
      <c r="L2013" s="70" t="n"/>
      <c r="M2013" s="71" t="inlineStr">
        <is>
          <t>樘</t>
        </is>
      </c>
      <c r="N2013" s="72" t="n">
        <v>2941.14</v>
      </c>
      <c r="O2013" s="72">
        <f>ROUND(N2013*(1+$F$10),2)</f>
        <v/>
      </c>
      <c r="P2013" s="73">
        <f>ROUND(K2013*N2013,2)</f>
        <v/>
      </c>
      <c r="Q2013" s="74">
        <f>ROUND(L2013*N2013,2)</f>
        <v/>
      </c>
      <c r="R2013" s="75" t="n"/>
      <c r="S2013" s="76" t="n"/>
      <c r="T2013" s="77">
        <f>K2013-L2013</f>
        <v/>
      </c>
      <c r="U2013" s="77">
        <f>P2013-Q2013</f>
        <v/>
      </c>
      <c r="V2013" s="77">
        <f>ABS(U2013)</f>
        <v/>
      </c>
      <c r="W2013" s="78">
        <f>T2013/L2013</f>
        <v/>
      </c>
      <c r="X2013" s="79">
        <f>ABS(W2013)</f>
        <v/>
      </c>
    </row>
    <row r="2014" ht="11.4" customHeight="1">
      <c r="A2014" s="67" t="inlineStr">
        <is>
          <t>大甜64</t>
        </is>
      </c>
      <c r="B2014" s="67" t="inlineStr">
        <is>
          <t>1062</t>
        </is>
      </c>
      <c r="C2014" s="67" t="inlineStr">
        <is>
          <t>1611</t>
        </is>
      </c>
      <c r="D2014" s="68" t="inlineStr">
        <is>
          <t>03</t>
        </is>
      </c>
      <c r="E2014" s="68" t="inlineStr">
        <is>
          <t>6 物业施工费</t>
        </is>
      </c>
      <c r="F2014" s="68" t="inlineStr">
        <is>
          <t>6.1 总承包工程</t>
        </is>
      </c>
      <c r="G2014" s="68" t="inlineStr">
        <is>
          <t>6.1.1 内部装修工程</t>
        </is>
      </c>
      <c r="H2014" s="68" t="inlineStr">
        <is>
          <t>其他零星装修</t>
        </is>
      </c>
      <c r="I2014" s="69" t="inlineStr">
        <is>
          <t>1000021521</t>
        </is>
      </c>
      <c r="J2014" s="69" t="inlineStr">
        <is>
          <t>员工室入口 门套（连桥供应）</t>
        </is>
      </c>
      <c r="K2014" s="70" t="n"/>
      <c r="L2014" s="70" t="n"/>
      <c r="M2014" s="71" t="inlineStr">
        <is>
          <t>樘</t>
        </is>
      </c>
      <c r="N2014" s="72" t="n">
        <v>1580.15</v>
      </c>
      <c r="O2014" s="72">
        <f>ROUND(N2014*(1+$F$10),2)</f>
        <v/>
      </c>
      <c r="P2014" s="73">
        <f>ROUND(K2014*N2014,2)</f>
        <v/>
      </c>
      <c r="Q2014" s="74">
        <f>ROUND(L2014*N2014,2)</f>
        <v/>
      </c>
      <c r="R2014" s="75" t="n"/>
      <c r="S2014" s="76" t="n"/>
      <c r="T2014" s="77">
        <f>K2014-L2014</f>
        <v/>
      </c>
      <c r="U2014" s="77">
        <f>P2014-Q2014</f>
        <v/>
      </c>
      <c r="V2014" s="77">
        <f>ABS(U2014)</f>
        <v/>
      </c>
      <c r="W2014" s="78">
        <f>T2014/L2014</f>
        <v/>
      </c>
      <c r="X2014" s="79">
        <f>ABS(W2014)</f>
        <v/>
      </c>
    </row>
    <row r="2015" ht="11.4" customHeight="1">
      <c r="A2015" s="67" t="inlineStr">
        <is>
          <t>大甜64</t>
        </is>
      </c>
      <c r="B2015" s="67" t="inlineStr">
        <is>
          <t>1062</t>
        </is>
      </c>
      <c r="C2015" s="67" t="inlineStr">
        <is>
          <t>1611</t>
        </is>
      </c>
      <c r="D2015" s="68" t="inlineStr">
        <is>
          <t>03</t>
        </is>
      </c>
      <c r="E2015" s="68" t="inlineStr">
        <is>
          <t>6 物业施工费</t>
        </is>
      </c>
      <c r="F2015" s="68" t="inlineStr">
        <is>
          <t>6.1 总承包工程</t>
        </is>
      </c>
      <c r="G2015" s="68" t="inlineStr">
        <is>
          <t>6.1.1 内部装修工程</t>
        </is>
      </c>
      <c r="H2015" s="68" t="inlineStr">
        <is>
          <t>其他零星装修</t>
        </is>
      </c>
      <c r="I2015" s="69" t="inlineStr">
        <is>
          <t>1000021664</t>
        </is>
      </c>
      <c r="J2015" s="69" t="inlineStr">
        <is>
          <t>员工室入口 门套（远达供应）</t>
        </is>
      </c>
      <c r="K2015" s="70" t="n"/>
      <c r="L2015" s="70" t="n"/>
      <c r="M2015" s="71" t="inlineStr">
        <is>
          <t>樘</t>
        </is>
      </c>
      <c r="N2015" s="72" t="n">
        <v>1238.26</v>
      </c>
      <c r="O2015" s="72">
        <f>ROUND(N2015*(1+$F$10),2)</f>
        <v/>
      </c>
      <c r="P2015" s="73">
        <f>ROUND(K2015*N2015,2)</f>
        <v/>
      </c>
      <c r="Q2015" s="74">
        <f>ROUND(L2015*N2015,2)</f>
        <v/>
      </c>
      <c r="R2015" s="75" t="n"/>
      <c r="S2015" s="76" t="n"/>
      <c r="T2015" s="77">
        <f>K2015-L2015</f>
        <v/>
      </c>
      <c r="U2015" s="77">
        <f>P2015-Q2015</f>
        <v/>
      </c>
      <c r="V2015" s="77">
        <f>ABS(U2015)</f>
        <v/>
      </c>
      <c r="W2015" s="78">
        <f>T2015/L2015</f>
        <v/>
      </c>
      <c r="X2015" s="79">
        <f>ABS(W2015)</f>
        <v/>
      </c>
    </row>
    <row r="2016" ht="11.4" customHeight="1">
      <c r="A2016" s="67" t="inlineStr">
        <is>
          <t>大甜64</t>
        </is>
      </c>
      <c r="B2016" s="67" t="inlineStr">
        <is>
          <t>1062</t>
        </is>
      </c>
      <c r="C2016" s="67" t="inlineStr">
        <is>
          <t>1611</t>
        </is>
      </c>
      <c r="D2016" s="68" t="inlineStr">
        <is>
          <t>03</t>
        </is>
      </c>
      <c r="E2016" s="68" t="inlineStr">
        <is>
          <t>6 物业施工费</t>
        </is>
      </c>
      <c r="F2016" s="68" t="inlineStr">
        <is>
          <t>6.1 总承包工程</t>
        </is>
      </c>
      <c r="G2016" s="68" t="inlineStr">
        <is>
          <t>6.1.1 内部装修工程</t>
        </is>
      </c>
      <c r="H2016" s="68" t="inlineStr">
        <is>
          <t>其他零星装修</t>
        </is>
      </c>
      <c r="I2016" s="69" t="inlineStr">
        <is>
          <t>1000021522</t>
        </is>
      </c>
      <c r="J2016" s="69" t="inlineStr">
        <is>
          <t>卫生间入口 成品门套（连桥供应）</t>
        </is>
      </c>
      <c r="K2016" s="70" t="n"/>
      <c r="L2016" s="70" t="n"/>
      <c r="M2016" s="71" t="inlineStr">
        <is>
          <t>樘</t>
        </is>
      </c>
      <c r="N2016" s="72" t="n">
        <v>1580.15</v>
      </c>
      <c r="O2016" s="72">
        <f>ROUND(N2016*(1+$F$10),2)</f>
        <v/>
      </c>
      <c r="P2016" s="73">
        <f>ROUND(K2016*N2016,2)</f>
        <v/>
      </c>
      <c r="Q2016" s="74">
        <f>ROUND(L2016*N2016,2)</f>
        <v/>
      </c>
      <c r="R2016" s="75" t="n"/>
      <c r="S2016" s="76" t="n"/>
      <c r="T2016" s="77">
        <f>K2016-L2016</f>
        <v/>
      </c>
      <c r="U2016" s="77">
        <f>P2016-Q2016</f>
        <v/>
      </c>
      <c r="V2016" s="77">
        <f>ABS(U2016)</f>
        <v/>
      </c>
      <c r="W2016" s="78">
        <f>T2016/L2016</f>
        <v/>
      </c>
      <c r="X2016" s="79">
        <f>ABS(W2016)</f>
        <v/>
      </c>
    </row>
    <row r="2017" ht="11.4" customHeight="1">
      <c r="A2017" s="67" t="inlineStr">
        <is>
          <t>大甜64</t>
        </is>
      </c>
      <c r="B2017" s="67" t="inlineStr">
        <is>
          <t>1062</t>
        </is>
      </c>
      <c r="C2017" s="67" t="inlineStr">
        <is>
          <t>1611</t>
        </is>
      </c>
      <c r="D2017" s="68" t="inlineStr">
        <is>
          <t>03</t>
        </is>
      </c>
      <c r="E2017" s="68" t="inlineStr">
        <is>
          <t>6 物业施工费</t>
        </is>
      </c>
      <c r="F2017" s="68" t="inlineStr">
        <is>
          <t>6.1 总承包工程</t>
        </is>
      </c>
      <c r="G2017" s="68" t="inlineStr">
        <is>
          <t>6.1.1 内部装修工程</t>
        </is>
      </c>
      <c r="H2017" s="68" t="inlineStr">
        <is>
          <t>其他零星装修</t>
        </is>
      </c>
      <c r="I2017" s="69" t="inlineStr">
        <is>
          <t>1000021659</t>
        </is>
      </c>
      <c r="J2017" s="69" t="inlineStr">
        <is>
          <t>卫生间入口 成品门套（远达供应）</t>
        </is>
      </c>
      <c r="K2017" s="70" t="n"/>
      <c r="L2017" s="70" t="n"/>
      <c r="M2017" s="71" t="inlineStr">
        <is>
          <t>樘</t>
        </is>
      </c>
      <c r="N2017" s="72" t="n">
        <v>1238.26</v>
      </c>
      <c r="O2017" s="72">
        <f>ROUND(N2017*(1+$F$10),2)</f>
        <v/>
      </c>
      <c r="P2017" s="73">
        <f>ROUND(K2017*N2017,2)</f>
        <v/>
      </c>
      <c r="Q2017" s="74">
        <f>ROUND(L2017*N2017,2)</f>
        <v/>
      </c>
      <c r="R2017" s="75" t="n"/>
      <c r="S2017" s="76" t="n"/>
      <c r="T2017" s="77">
        <f>K2017-L2017</f>
        <v/>
      </c>
      <c r="U2017" s="77">
        <f>P2017-Q2017</f>
        <v/>
      </c>
      <c r="V2017" s="77">
        <f>ABS(U2017)</f>
        <v/>
      </c>
      <c r="W2017" s="78">
        <f>T2017/L2017</f>
        <v/>
      </c>
      <c r="X2017" s="79">
        <f>ABS(W2017)</f>
        <v/>
      </c>
    </row>
    <row r="2018" ht="11.4" customHeight="1">
      <c r="A2018" s="67" t="inlineStr">
        <is>
          <t>大甜64</t>
        </is>
      </c>
      <c r="B2018" s="67" t="inlineStr">
        <is>
          <t>1062</t>
        </is>
      </c>
      <c r="C2018" s="67" t="inlineStr">
        <is>
          <t>1611</t>
        </is>
      </c>
      <c r="D2018" s="68" t="inlineStr">
        <is>
          <t>03</t>
        </is>
      </c>
      <c r="E2018" s="68" t="inlineStr">
        <is>
          <t>6 物业施工费</t>
        </is>
      </c>
      <c r="F2018" s="68" t="inlineStr">
        <is>
          <t>6.1 总承包工程</t>
        </is>
      </c>
      <c r="G2018" s="68" t="inlineStr">
        <is>
          <t>6.1.1 内部装修工程</t>
        </is>
      </c>
      <c r="H2018" s="68" t="inlineStr">
        <is>
          <t>其他零星装修</t>
        </is>
      </c>
      <c r="I2018" s="69" t="inlineStr">
        <is>
          <t>1000022165</t>
        </is>
      </c>
      <c r="J2018" s="69" t="inlineStr">
        <is>
          <t>干仓钢丝网门</t>
        </is>
      </c>
      <c r="K2018" s="70" t="n"/>
      <c r="L2018" s="70" t="n"/>
      <c r="M2018" s="71" t="inlineStr">
        <is>
          <t>樘</t>
        </is>
      </c>
      <c r="N2018" s="72" t="n">
        <v>972.95</v>
      </c>
      <c r="O2018" s="72">
        <f>ROUND(N2018*(1+$F$10),2)</f>
        <v/>
      </c>
      <c r="P2018" s="73">
        <f>ROUND(K2018*N2018,2)</f>
        <v/>
      </c>
      <c r="Q2018" s="74">
        <f>ROUND(L2018*N2018,2)</f>
        <v/>
      </c>
      <c r="R2018" s="75" t="n"/>
      <c r="S2018" s="76" t="n"/>
      <c r="T2018" s="77">
        <f>K2018-L2018</f>
        <v/>
      </c>
      <c r="U2018" s="77">
        <f>P2018-Q2018</f>
        <v/>
      </c>
      <c r="V2018" s="77">
        <f>ABS(U2018)</f>
        <v/>
      </c>
      <c r="W2018" s="78">
        <f>T2018/L2018</f>
        <v/>
      </c>
      <c r="X2018" s="79">
        <f>ABS(W2018)</f>
        <v/>
      </c>
    </row>
    <row r="2019" ht="11.4" customHeight="1">
      <c r="A2019" s="67" t="inlineStr">
        <is>
          <t>大甜64</t>
        </is>
      </c>
      <c r="B2019" s="67" t="inlineStr">
        <is>
          <t>1062</t>
        </is>
      </c>
      <c r="C2019" s="67" t="inlineStr">
        <is>
          <t>1611</t>
        </is>
      </c>
      <c r="D2019" s="68" t="inlineStr">
        <is>
          <t>03</t>
        </is>
      </c>
      <c r="E2019" s="68" t="inlineStr">
        <is>
          <t>6 物业施工费</t>
        </is>
      </c>
      <c r="F2019" s="68" t="inlineStr">
        <is>
          <t>6.1 总承包工程</t>
        </is>
      </c>
      <c r="G2019" s="68" t="inlineStr">
        <is>
          <t>6.1.1 内部装修工程</t>
        </is>
      </c>
      <c r="H2019" s="68" t="inlineStr">
        <is>
          <t>其他零星装修</t>
        </is>
      </c>
      <c r="I2019" s="69" t="inlineStr">
        <is>
          <t>1000021842</t>
        </is>
      </c>
      <c r="J2019" s="69" t="inlineStr">
        <is>
          <t>钢制送货后门（单开门）</t>
        </is>
      </c>
      <c r="K2019" s="70" t="n"/>
      <c r="L2019" s="70" t="n"/>
      <c r="M2019" s="71" t="inlineStr">
        <is>
          <t>樘</t>
        </is>
      </c>
      <c r="N2019" s="72" t="n">
        <v>1852.95</v>
      </c>
      <c r="O2019" s="72">
        <f>ROUND(N2019*(1+$F$10),2)</f>
        <v/>
      </c>
      <c r="P2019" s="73">
        <f>ROUND(K2019*N2019,2)</f>
        <v/>
      </c>
      <c r="Q2019" s="74">
        <f>ROUND(L2019*N2019,2)</f>
        <v/>
      </c>
      <c r="R2019" s="75" t="n"/>
      <c r="S2019" s="76" t="n"/>
      <c r="T2019" s="77">
        <f>K2019-L2019</f>
        <v/>
      </c>
      <c r="U2019" s="77">
        <f>P2019-Q2019</f>
        <v/>
      </c>
      <c r="V2019" s="77">
        <f>ABS(U2019)</f>
        <v/>
      </c>
      <c r="W2019" s="78">
        <f>T2019/L2019</f>
        <v/>
      </c>
      <c r="X2019" s="79">
        <f>ABS(W2019)</f>
        <v/>
      </c>
    </row>
    <row r="2020" ht="11.4" customHeight="1">
      <c r="A2020" s="67" t="inlineStr">
        <is>
          <t>大甜64</t>
        </is>
      </c>
      <c r="B2020" s="67" t="inlineStr">
        <is>
          <t>1062</t>
        </is>
      </c>
      <c r="C2020" s="67" t="inlineStr">
        <is>
          <t>1611</t>
        </is>
      </c>
      <c r="D2020" s="68" t="inlineStr">
        <is>
          <t>03</t>
        </is>
      </c>
      <c r="E2020" s="68" t="inlineStr">
        <is>
          <t>6 物业施工费</t>
        </is>
      </c>
      <c r="F2020" s="68" t="inlineStr">
        <is>
          <t>6.1 总承包工程</t>
        </is>
      </c>
      <c r="G2020" s="68" t="inlineStr">
        <is>
          <t>6.1.1 内部装修工程</t>
        </is>
      </c>
      <c r="H2020" s="68" t="inlineStr">
        <is>
          <t>其他零星装修</t>
        </is>
      </c>
      <c r="I2020" s="69" t="inlineStr">
        <is>
          <t>1000021843</t>
        </is>
      </c>
      <c r="J2020" s="69" t="inlineStr">
        <is>
          <t>传送带窗口</t>
        </is>
      </c>
      <c r="K2020" s="70" t="n"/>
      <c r="L2020" s="70" t="n"/>
      <c r="M2020" s="71" t="inlineStr">
        <is>
          <t>套</t>
        </is>
      </c>
      <c r="N2020" s="72" t="n">
        <v>2221.2</v>
      </c>
      <c r="O2020" s="72">
        <f>ROUND(N2020*(1+$F$10),2)</f>
        <v/>
      </c>
      <c r="P2020" s="73">
        <f>ROUND(K2020*N2020,2)</f>
        <v/>
      </c>
      <c r="Q2020" s="74">
        <f>ROUND(L2020*N2020,2)</f>
        <v/>
      </c>
      <c r="R2020" s="75" t="n"/>
      <c r="S2020" s="76" t="n"/>
      <c r="T2020" s="77">
        <f>K2020-L2020</f>
        <v/>
      </c>
      <c r="U2020" s="77">
        <f>P2020-Q2020</f>
        <v/>
      </c>
      <c r="V2020" s="77">
        <f>ABS(U2020)</f>
        <v/>
      </c>
      <c r="W2020" s="78">
        <f>T2020/L2020</f>
        <v/>
      </c>
      <c r="X2020" s="79">
        <f>ABS(W2020)</f>
        <v/>
      </c>
    </row>
    <row r="2021" ht="11.4" customHeight="1">
      <c r="A2021" s="67" t="inlineStr">
        <is>
          <t>大甜64</t>
        </is>
      </c>
      <c r="B2021" s="67" t="inlineStr">
        <is>
          <t>1062</t>
        </is>
      </c>
      <c r="C2021" s="67" t="inlineStr">
        <is>
          <t>1611</t>
        </is>
      </c>
      <c r="D2021" s="68" t="inlineStr">
        <is>
          <t>03</t>
        </is>
      </c>
      <c r="E2021" s="68" t="inlineStr">
        <is>
          <t>6 物业施工费</t>
        </is>
      </c>
      <c r="F2021" s="68" t="inlineStr">
        <is>
          <t>6.1 总承包工程</t>
        </is>
      </c>
      <c r="G2021" s="68" t="inlineStr">
        <is>
          <t>6.1.1 内部装修工程</t>
        </is>
      </c>
      <c r="H2021" s="68" t="inlineStr">
        <is>
          <t>其他零星装修</t>
        </is>
      </c>
      <c r="I2021" s="69" t="inlineStr">
        <is>
          <t>1000021844</t>
        </is>
      </c>
      <c r="J2021" s="69" t="inlineStr">
        <is>
          <t>传送带单元门</t>
        </is>
      </c>
      <c r="K2021" s="70" t="n"/>
      <c r="L2021" s="70" t="n"/>
      <c r="M2021" s="71" t="inlineStr">
        <is>
          <t>樘</t>
        </is>
      </c>
      <c r="N2021" s="72" t="n">
        <v>1687.95</v>
      </c>
      <c r="O2021" s="72">
        <f>ROUND(N2021*(1+$F$10),2)</f>
        <v/>
      </c>
      <c r="P2021" s="73">
        <f>ROUND(K2021*N2021,2)</f>
        <v/>
      </c>
      <c r="Q2021" s="74">
        <f>ROUND(L2021*N2021,2)</f>
        <v/>
      </c>
      <c r="R2021" s="75" t="n"/>
      <c r="S2021" s="76" t="n"/>
      <c r="T2021" s="77">
        <f>K2021-L2021</f>
        <v/>
      </c>
      <c r="U2021" s="77">
        <f>P2021-Q2021</f>
        <v/>
      </c>
      <c r="V2021" s="77">
        <f>ABS(U2021)</f>
        <v/>
      </c>
      <c r="W2021" s="78">
        <f>T2021/L2021</f>
        <v/>
      </c>
      <c r="X2021" s="79">
        <f>ABS(W2021)</f>
        <v/>
      </c>
    </row>
    <row r="2022" ht="11.4" customHeight="1">
      <c r="A2022" s="67" t="inlineStr">
        <is>
          <t>大甜64</t>
        </is>
      </c>
      <c r="B2022" s="67" t="inlineStr">
        <is>
          <t>1062</t>
        </is>
      </c>
      <c r="C2022" s="67" t="inlineStr">
        <is>
          <t>1611</t>
        </is>
      </c>
      <c r="D2022" s="68" t="inlineStr">
        <is>
          <t>03</t>
        </is>
      </c>
      <c r="E2022" s="68" t="inlineStr">
        <is>
          <t>6 物业施工费</t>
        </is>
      </c>
      <c r="F2022" s="68" t="inlineStr">
        <is>
          <t>6.1 总承包工程</t>
        </is>
      </c>
      <c r="G2022" s="68" t="inlineStr">
        <is>
          <t>6.1.1 内部装修工程</t>
        </is>
      </c>
      <c r="H2022" s="68" t="inlineStr">
        <is>
          <t>其他零星装修</t>
        </is>
      </c>
      <c r="I2022" s="69" t="inlineStr">
        <is>
          <t>1000021845</t>
        </is>
      </c>
      <c r="J2022" s="69" t="inlineStr">
        <is>
          <t>分区推拉门</t>
        </is>
      </c>
      <c r="K2022" s="70" t="n"/>
      <c r="L2022" s="70" t="n"/>
      <c r="M2022" s="71" t="inlineStr">
        <is>
          <t>m2</t>
        </is>
      </c>
      <c r="N2022" s="72" t="n">
        <v>1204.38</v>
      </c>
      <c r="O2022" s="72">
        <f>ROUND(N2022*(1+$F$10),2)</f>
        <v/>
      </c>
      <c r="P2022" s="73">
        <f>ROUND(K2022*N2022,2)</f>
        <v/>
      </c>
      <c r="Q2022" s="74">
        <f>ROUND(L2022*N2022,2)</f>
        <v/>
      </c>
      <c r="R2022" s="75" t="n"/>
      <c r="S2022" s="76" t="n"/>
      <c r="T2022" s="77">
        <f>K2022-L2022</f>
        <v/>
      </c>
      <c r="U2022" s="77">
        <f>P2022-Q2022</f>
        <v/>
      </c>
      <c r="V2022" s="77">
        <f>ABS(U2022)</f>
        <v/>
      </c>
      <c r="W2022" s="78">
        <f>T2022/L2022</f>
        <v/>
      </c>
      <c r="X2022" s="79">
        <f>ABS(W2022)</f>
        <v/>
      </c>
    </row>
    <row r="2023" ht="11.4" customHeight="1">
      <c r="A2023" s="67" t="inlineStr">
        <is>
          <t>大甜64</t>
        </is>
      </c>
      <c r="B2023" s="67" t="inlineStr">
        <is>
          <t>1062</t>
        </is>
      </c>
      <c r="C2023" s="67" t="inlineStr">
        <is>
          <t>1611</t>
        </is>
      </c>
      <c r="D2023" s="68" t="inlineStr">
        <is>
          <t>03</t>
        </is>
      </c>
      <c r="E2023" s="68" t="inlineStr">
        <is>
          <t>6 物业施工费</t>
        </is>
      </c>
      <c r="F2023" s="68" t="inlineStr">
        <is>
          <t>6.1 总承包工程</t>
        </is>
      </c>
      <c r="G2023" s="68" t="inlineStr">
        <is>
          <t>6.1.1 内部装修工程</t>
        </is>
      </c>
      <c r="H2023" s="68" t="inlineStr">
        <is>
          <t>其他零星装修</t>
        </is>
      </c>
      <c r="I2023" s="69" t="inlineStr">
        <is>
          <t>1000021846</t>
        </is>
      </c>
      <c r="J2023" s="69" t="inlineStr">
        <is>
          <t>双开消防门（含消防推杆锁）</t>
        </is>
      </c>
      <c r="K2023" s="70" t="n"/>
      <c r="L2023" s="70" t="n"/>
      <c r="M2023" s="71" t="inlineStr">
        <is>
          <t>樘</t>
        </is>
      </c>
      <c r="N2023" s="72" t="n">
        <v>2804.45</v>
      </c>
      <c r="O2023" s="72">
        <f>ROUND(N2023*(1+$F$10),2)</f>
        <v/>
      </c>
      <c r="P2023" s="73">
        <f>ROUND(K2023*N2023,2)</f>
        <v/>
      </c>
      <c r="Q2023" s="74">
        <f>ROUND(L2023*N2023,2)</f>
        <v/>
      </c>
      <c r="R2023" s="75" t="n"/>
      <c r="S2023" s="76" t="n"/>
      <c r="T2023" s="77">
        <f>K2023-L2023</f>
        <v/>
      </c>
      <c r="U2023" s="77">
        <f>P2023-Q2023</f>
        <v/>
      </c>
      <c r="V2023" s="77">
        <f>ABS(U2023)</f>
        <v/>
      </c>
      <c r="W2023" s="78">
        <f>T2023/L2023</f>
        <v/>
      </c>
      <c r="X2023" s="79">
        <f>ABS(W2023)</f>
        <v/>
      </c>
    </row>
    <row r="2024" ht="11.4" customHeight="1">
      <c r="A2024" s="67" t="inlineStr">
        <is>
          <t>大甜64</t>
        </is>
      </c>
      <c r="B2024" s="67" t="inlineStr">
        <is>
          <t>1062</t>
        </is>
      </c>
      <c r="C2024" s="67" t="inlineStr">
        <is>
          <t>1611</t>
        </is>
      </c>
      <c r="D2024" s="68" t="inlineStr">
        <is>
          <t>03</t>
        </is>
      </c>
      <c r="E2024" s="68" t="inlineStr">
        <is>
          <t>6 物业施工费</t>
        </is>
      </c>
      <c r="F2024" s="68" t="inlineStr">
        <is>
          <t>6.1 总承包工程</t>
        </is>
      </c>
      <c r="G2024" s="68" t="inlineStr">
        <is>
          <t>6.1.1 内部装修工程</t>
        </is>
      </c>
      <c r="H2024" s="68" t="inlineStr">
        <is>
          <t>其他零星装修</t>
        </is>
      </c>
      <c r="I2024" s="69" t="inlineStr">
        <is>
          <t>1000021847</t>
        </is>
      </c>
      <c r="J2024" s="69" t="inlineStr">
        <is>
          <t>单开消防门（含消防推杆锁）</t>
        </is>
      </c>
      <c r="K2024" s="70" t="n"/>
      <c r="L2024" s="70" t="n"/>
      <c r="M2024" s="71" t="inlineStr">
        <is>
          <t>樘</t>
        </is>
      </c>
      <c r="N2024" s="72" t="n">
        <v>2496.45</v>
      </c>
      <c r="O2024" s="72">
        <f>ROUND(N2024*(1+$F$10),2)</f>
        <v/>
      </c>
      <c r="P2024" s="73">
        <f>ROUND(K2024*N2024,2)</f>
        <v/>
      </c>
      <c r="Q2024" s="74">
        <f>ROUND(L2024*N2024,2)</f>
        <v/>
      </c>
      <c r="R2024" s="75" t="n"/>
      <c r="S2024" s="76" t="n"/>
      <c r="T2024" s="77">
        <f>K2024-L2024</f>
        <v/>
      </c>
      <c r="U2024" s="77">
        <f>P2024-Q2024</f>
        <v/>
      </c>
      <c r="V2024" s="77">
        <f>ABS(U2024)</f>
        <v/>
      </c>
      <c r="W2024" s="78">
        <f>T2024/L2024</f>
        <v/>
      </c>
      <c r="X2024" s="79">
        <f>ABS(W2024)</f>
        <v/>
      </c>
    </row>
    <row r="2025" ht="11.4" customHeight="1">
      <c r="A2025" s="67" t="inlineStr">
        <is>
          <t>大甜64</t>
        </is>
      </c>
      <c r="B2025" s="67" t="inlineStr">
        <is>
          <t>1062</t>
        </is>
      </c>
      <c r="C2025" s="67" t="inlineStr">
        <is>
          <t>1611</t>
        </is>
      </c>
      <c r="D2025" s="68" t="inlineStr">
        <is>
          <t>03</t>
        </is>
      </c>
      <c r="E2025" s="68" t="inlineStr">
        <is>
          <t>6 物业施工费</t>
        </is>
      </c>
      <c r="F2025" s="68" t="inlineStr">
        <is>
          <t>6.1 总承包工程</t>
        </is>
      </c>
      <c r="G2025" s="68" t="inlineStr">
        <is>
          <t>6.1.1 内部装修工程</t>
        </is>
      </c>
      <c r="H2025" s="68" t="inlineStr">
        <is>
          <t>其他零星装修</t>
        </is>
      </c>
      <c r="I2025" s="69" t="inlineStr">
        <is>
          <t>1000021848</t>
        </is>
      </c>
      <c r="J2025" s="69" t="inlineStr">
        <is>
          <t>密码锁</t>
        </is>
      </c>
      <c r="K2025" s="70" t="n"/>
      <c r="L2025" s="70" t="n"/>
      <c r="M2025" s="71" t="inlineStr">
        <is>
          <t>把</t>
        </is>
      </c>
      <c r="N2025" s="72" t="n">
        <v>1332.65</v>
      </c>
      <c r="O2025" s="72">
        <f>ROUND(N2025*(1+$F$10),2)</f>
        <v/>
      </c>
      <c r="P2025" s="73">
        <f>ROUND(K2025*N2025,2)</f>
        <v/>
      </c>
      <c r="Q2025" s="74">
        <f>ROUND(L2025*N2025,2)</f>
        <v/>
      </c>
      <c r="R2025" s="75" t="n"/>
      <c r="S2025" s="76" t="n"/>
      <c r="T2025" s="77">
        <f>K2025-L2025</f>
        <v/>
      </c>
      <c r="U2025" s="77">
        <f>P2025-Q2025</f>
        <v/>
      </c>
      <c r="V2025" s="77">
        <f>ABS(U2025)</f>
        <v/>
      </c>
      <c r="W2025" s="78">
        <f>T2025/L2025</f>
        <v/>
      </c>
      <c r="X2025" s="79">
        <f>ABS(W2025)</f>
        <v/>
      </c>
    </row>
    <row r="2026" ht="11.4" customHeight="1">
      <c r="A2026" s="67" t="inlineStr">
        <is>
          <t>大甜64</t>
        </is>
      </c>
      <c r="B2026" s="67" t="inlineStr">
        <is>
          <t>1062</t>
        </is>
      </c>
      <c r="C2026" s="67" t="inlineStr">
        <is>
          <t>1611</t>
        </is>
      </c>
      <c r="D2026" s="68" t="inlineStr">
        <is>
          <t>03</t>
        </is>
      </c>
      <c r="E2026" s="68" t="inlineStr">
        <is>
          <t>6 物业施工费</t>
        </is>
      </c>
      <c r="F2026" s="68" t="inlineStr">
        <is>
          <t>6.1 总承包工程</t>
        </is>
      </c>
      <c r="G2026" s="68" t="inlineStr">
        <is>
          <t>6.1.1 内部装修工程</t>
        </is>
      </c>
      <c r="H2026" s="68" t="inlineStr">
        <is>
          <t>其他零星装修</t>
        </is>
      </c>
      <c r="I2026" s="69" t="inlineStr">
        <is>
          <t>1000021849</t>
        </is>
      </c>
      <c r="J2026" s="69" t="inlineStr">
        <is>
          <t>消防推杆锁</t>
        </is>
      </c>
      <c r="K2026" s="70" t="n"/>
      <c r="L2026" s="70" t="n"/>
      <c r="M2026" s="71" t="inlineStr">
        <is>
          <t>把</t>
        </is>
      </c>
      <c r="N2026" s="72" t="n">
        <v>689.15</v>
      </c>
      <c r="O2026" s="72">
        <f>ROUND(N2026*(1+$F$10),2)</f>
        <v/>
      </c>
      <c r="P2026" s="73">
        <f>ROUND(K2026*N2026,2)</f>
        <v/>
      </c>
      <c r="Q2026" s="74">
        <f>ROUND(L2026*N2026,2)</f>
        <v/>
      </c>
      <c r="R2026" s="75" t="n"/>
      <c r="S2026" s="76" t="n"/>
      <c r="T2026" s="77">
        <f>K2026-L2026</f>
        <v/>
      </c>
      <c r="U2026" s="77">
        <f>P2026-Q2026</f>
        <v/>
      </c>
      <c r="V2026" s="77">
        <f>ABS(U2026)</f>
        <v/>
      </c>
      <c r="W2026" s="78">
        <f>T2026/L2026</f>
        <v/>
      </c>
      <c r="X2026" s="79">
        <f>ABS(W2026)</f>
        <v/>
      </c>
    </row>
    <row r="2027" ht="11.4" customHeight="1">
      <c r="A2027" s="67" t="inlineStr">
        <is>
          <t>大甜64</t>
        </is>
      </c>
      <c r="B2027" s="67" t="inlineStr">
        <is>
          <t>1062</t>
        </is>
      </c>
      <c r="C2027" s="67" t="inlineStr">
        <is>
          <t>1611</t>
        </is>
      </c>
      <c r="D2027" s="68" t="inlineStr">
        <is>
          <t>03</t>
        </is>
      </c>
      <c r="E2027" s="68" t="inlineStr">
        <is>
          <t>6 物业施工费</t>
        </is>
      </c>
      <c r="F2027" s="68" t="inlineStr">
        <is>
          <t>6.1 总承包工程</t>
        </is>
      </c>
      <c r="G2027" s="68" t="inlineStr">
        <is>
          <t>6.1.1 内部装修工程</t>
        </is>
      </c>
      <c r="H2027" s="68" t="inlineStr">
        <is>
          <t>其他零星装修</t>
        </is>
      </c>
      <c r="I2027" s="69" t="inlineStr">
        <is>
          <t>1000021850</t>
        </is>
      </c>
      <c r="J2027" s="69" t="inlineStr">
        <is>
          <t>不锈钢踢脚 H=100mm</t>
        </is>
      </c>
      <c r="K2027" s="70" t="n"/>
      <c r="L2027" s="70" t="n"/>
      <c r="M2027" s="71" t="inlineStr">
        <is>
          <t>米</t>
        </is>
      </c>
      <c r="N2027" s="72" t="n">
        <v>76.08</v>
      </c>
      <c r="O2027" s="72">
        <f>ROUND(N2027*(1+$F$10),2)</f>
        <v/>
      </c>
      <c r="P2027" s="73">
        <f>ROUND(K2027*N2027,2)</f>
        <v/>
      </c>
      <c r="Q2027" s="74">
        <f>ROUND(L2027*N2027,2)</f>
        <v/>
      </c>
      <c r="R2027" s="75" t="n"/>
      <c r="S2027" s="76" t="n"/>
      <c r="T2027" s="77">
        <f>K2027-L2027</f>
        <v/>
      </c>
      <c r="U2027" s="77">
        <f>P2027-Q2027</f>
        <v/>
      </c>
      <c r="V2027" s="77">
        <f>ABS(U2027)</f>
        <v/>
      </c>
      <c r="W2027" s="78">
        <f>T2027/L2027</f>
        <v/>
      </c>
      <c r="X2027" s="79">
        <f>ABS(W2027)</f>
        <v/>
      </c>
    </row>
    <row r="2028" ht="11.4" customHeight="1">
      <c r="A2028" s="67" t="inlineStr">
        <is>
          <t>大甜64</t>
        </is>
      </c>
      <c r="B2028" s="67" t="inlineStr">
        <is>
          <t>1062</t>
        </is>
      </c>
      <c r="C2028" s="67" t="inlineStr">
        <is>
          <t>1611</t>
        </is>
      </c>
      <c r="D2028" s="68" t="inlineStr">
        <is>
          <t>03</t>
        </is>
      </c>
      <c r="E2028" s="68" t="inlineStr">
        <is>
          <t>6 物业施工费</t>
        </is>
      </c>
      <c r="F2028" s="68" t="inlineStr">
        <is>
          <t>6.1 总承包工程</t>
        </is>
      </c>
      <c r="G2028" s="68" t="inlineStr">
        <is>
          <t>6.1.1 内部装修工程</t>
        </is>
      </c>
      <c r="H2028" s="68" t="inlineStr">
        <is>
          <t>其他零星装修</t>
        </is>
      </c>
      <c r="I2028" s="69" t="inlineStr">
        <is>
          <t>1000021797</t>
        </is>
      </c>
      <c r="J2028" s="69" t="inlineStr">
        <is>
          <t>不锈钢踢脚 H=200mm</t>
        </is>
      </c>
      <c r="K2028" s="70" t="n"/>
      <c r="L2028" s="70" t="n"/>
      <c r="M2028" s="71" t="inlineStr">
        <is>
          <t>米</t>
        </is>
      </c>
      <c r="N2028" s="72" t="n">
        <v>114.14</v>
      </c>
      <c r="O2028" s="72">
        <f>ROUND(N2028*(1+$F$10),2)</f>
        <v/>
      </c>
      <c r="P2028" s="73">
        <f>ROUND(K2028*N2028,2)</f>
        <v/>
      </c>
      <c r="Q2028" s="74">
        <f>ROUND(L2028*N2028,2)</f>
        <v/>
      </c>
      <c r="R2028" s="75" t="n"/>
      <c r="S2028" s="76" t="n"/>
      <c r="T2028" s="77">
        <f>K2028-L2028</f>
        <v/>
      </c>
      <c r="U2028" s="77">
        <f>P2028-Q2028</f>
        <v/>
      </c>
      <c r="V2028" s="77">
        <f>ABS(U2028)</f>
        <v/>
      </c>
      <c r="W2028" s="78">
        <f>T2028/L2028</f>
        <v/>
      </c>
      <c r="X2028" s="79">
        <f>ABS(W2028)</f>
        <v/>
      </c>
    </row>
    <row r="2029" ht="11.4" customHeight="1">
      <c r="A2029" s="67" t="inlineStr">
        <is>
          <t>大甜64</t>
        </is>
      </c>
      <c r="B2029" s="67" t="inlineStr">
        <is>
          <t>1062</t>
        </is>
      </c>
      <c r="C2029" s="67" t="inlineStr">
        <is>
          <t>1611</t>
        </is>
      </c>
      <c r="D2029" s="68" t="inlineStr">
        <is>
          <t>03</t>
        </is>
      </c>
      <c r="E2029" s="68" t="inlineStr">
        <is>
          <t>6 物业施工费</t>
        </is>
      </c>
      <c r="F2029" s="68" t="inlineStr">
        <is>
          <t>6.1 总承包工程</t>
        </is>
      </c>
      <c r="G2029" s="68" t="inlineStr">
        <is>
          <t>6.1.1 内部装修工程</t>
        </is>
      </c>
      <c r="H2029" s="68" t="inlineStr">
        <is>
          <t>其他零星装修</t>
        </is>
      </c>
      <c r="I2029" s="69" t="inlineStr">
        <is>
          <t>1000021851</t>
        </is>
      </c>
      <c r="J2029" s="69" t="inlineStr">
        <is>
          <t>儿童乐园地面找平</t>
        </is>
      </c>
      <c r="K2029" s="70" t="n"/>
      <c r="L2029" s="70" t="n"/>
      <c r="M2029" s="71" t="inlineStr">
        <is>
          <t>m2</t>
        </is>
      </c>
      <c r="N2029" s="72" t="n">
        <v>46.31</v>
      </c>
      <c r="O2029" s="72">
        <f>ROUND(N2029*(1+$F$10),2)</f>
        <v/>
      </c>
      <c r="P2029" s="73">
        <f>ROUND(K2029*N2029,2)</f>
        <v/>
      </c>
      <c r="Q2029" s="74">
        <f>ROUND(L2029*N2029,2)</f>
        <v/>
      </c>
      <c r="R2029" s="75" t="n"/>
      <c r="S2029" s="76" t="n"/>
      <c r="T2029" s="77">
        <f>K2029-L2029</f>
        <v/>
      </c>
      <c r="U2029" s="77">
        <f>P2029-Q2029</f>
        <v/>
      </c>
      <c r="V2029" s="77">
        <f>ABS(U2029)</f>
        <v/>
      </c>
      <c r="W2029" s="78">
        <f>T2029/L2029</f>
        <v/>
      </c>
      <c r="X2029" s="79">
        <f>ABS(W2029)</f>
        <v/>
      </c>
    </row>
    <row r="2030" ht="11.4" customHeight="1">
      <c r="A2030" s="67" t="inlineStr">
        <is>
          <t>大甜64</t>
        </is>
      </c>
      <c r="B2030" s="67" t="inlineStr">
        <is>
          <t>1062</t>
        </is>
      </c>
      <c r="C2030" s="67" t="inlineStr">
        <is>
          <t>1611</t>
        </is>
      </c>
      <c r="D2030" s="68" t="inlineStr">
        <is>
          <t>03</t>
        </is>
      </c>
      <c r="E2030" s="68" t="inlineStr">
        <is>
          <t>6 物业施工费</t>
        </is>
      </c>
      <c r="F2030" s="68" t="inlineStr">
        <is>
          <t>6.1 总承包工程</t>
        </is>
      </c>
      <c r="G2030" s="68" t="inlineStr">
        <is>
          <t>6.1.1 内部装修工程</t>
        </is>
      </c>
      <c r="H2030" s="68" t="inlineStr">
        <is>
          <t>其他零星装修</t>
        </is>
      </c>
      <c r="I2030" s="69" t="inlineStr">
        <is>
          <t>1000021852</t>
        </is>
      </c>
      <c r="J2030" s="69" t="inlineStr">
        <is>
          <t>12mm厚钢化玻璃</t>
        </is>
      </c>
      <c r="K2030" s="70" t="n"/>
      <c r="L2030" s="70" t="n"/>
      <c r="M2030" s="71" t="inlineStr">
        <is>
          <t>m2</t>
        </is>
      </c>
      <c r="N2030" s="72" t="n">
        <v>284.15</v>
      </c>
      <c r="O2030" s="72">
        <f>ROUND(N2030*(1+$F$10),2)</f>
        <v/>
      </c>
      <c r="P2030" s="73">
        <f>ROUND(K2030*N2030,2)</f>
        <v/>
      </c>
      <c r="Q2030" s="74">
        <f>ROUND(L2030*N2030,2)</f>
        <v/>
      </c>
      <c r="R2030" s="75" t="n"/>
      <c r="S2030" s="76" t="n"/>
      <c r="T2030" s="77">
        <f>K2030-L2030</f>
        <v/>
      </c>
      <c r="U2030" s="77">
        <f>P2030-Q2030</f>
        <v/>
      </c>
      <c r="V2030" s="77">
        <f>ABS(U2030)</f>
        <v/>
      </c>
      <c r="W2030" s="78">
        <f>T2030/L2030</f>
        <v/>
      </c>
      <c r="X2030" s="79">
        <f>ABS(W2030)</f>
        <v/>
      </c>
    </row>
    <row r="2031" ht="11.4" customHeight="1">
      <c r="A2031" s="67" t="inlineStr">
        <is>
          <t>大甜64</t>
        </is>
      </c>
      <c r="B2031" s="67" t="inlineStr">
        <is>
          <t>1062</t>
        </is>
      </c>
      <c r="C2031" s="67" t="inlineStr">
        <is>
          <t>1611</t>
        </is>
      </c>
      <c r="D2031" s="68" t="inlineStr">
        <is>
          <t>03</t>
        </is>
      </c>
      <c r="E2031" s="68" t="inlineStr">
        <is>
          <t>6 物业施工费</t>
        </is>
      </c>
      <c r="F2031" s="68" t="inlineStr">
        <is>
          <t>6.1 总承包工程</t>
        </is>
      </c>
      <c r="G2031" s="68" t="inlineStr">
        <is>
          <t>6.1.1 内部装修工程</t>
        </is>
      </c>
      <c r="H2031" s="68" t="inlineStr">
        <is>
          <t>其他零星装修</t>
        </is>
      </c>
      <c r="I2031" s="69" t="inlineStr">
        <is>
          <t>1000021853</t>
        </is>
      </c>
      <c r="J2031" s="69" t="inlineStr">
        <is>
          <t>儿童区玻璃隔墙（不含防火板）</t>
        </is>
      </c>
      <c r="K2031" s="70" t="n"/>
      <c r="L2031" s="70" t="n"/>
      <c r="M2031" s="71" t="inlineStr">
        <is>
          <t>m2</t>
        </is>
      </c>
      <c r="N2031" s="72" t="n">
        <v>648</v>
      </c>
      <c r="O2031" s="72">
        <f>ROUND(N2031*(1+$F$10),2)</f>
        <v/>
      </c>
      <c r="P2031" s="73">
        <f>ROUND(K2031*N2031,2)</f>
        <v/>
      </c>
      <c r="Q2031" s="74">
        <f>ROUND(L2031*N2031,2)</f>
        <v/>
      </c>
      <c r="R2031" s="75" t="n"/>
      <c r="S2031" s="76" t="n"/>
      <c r="T2031" s="77">
        <f>K2031-L2031</f>
        <v/>
      </c>
      <c r="U2031" s="77">
        <f>P2031-Q2031</f>
        <v/>
      </c>
      <c r="V2031" s="77">
        <f>ABS(U2031)</f>
        <v/>
      </c>
      <c r="W2031" s="78">
        <f>T2031/L2031</f>
        <v/>
      </c>
      <c r="X2031" s="79">
        <f>ABS(W2031)</f>
        <v/>
      </c>
    </row>
    <row r="2032" ht="11.4" customHeight="1">
      <c r="A2032" s="67" t="inlineStr">
        <is>
          <t>大甜64</t>
        </is>
      </c>
      <c r="B2032" s="67" t="inlineStr">
        <is>
          <t>1062</t>
        </is>
      </c>
      <c r="C2032" s="67" t="inlineStr">
        <is>
          <t>1611</t>
        </is>
      </c>
      <c r="D2032" s="68" t="inlineStr">
        <is>
          <t>03</t>
        </is>
      </c>
      <c r="E2032" s="68" t="inlineStr">
        <is>
          <t>6 物业施工费</t>
        </is>
      </c>
      <c r="F2032" s="68" t="inlineStr">
        <is>
          <t>6.1 总承包工程</t>
        </is>
      </c>
      <c r="G2032" s="68" t="inlineStr">
        <is>
          <t>6.1.1 内部装修工程</t>
        </is>
      </c>
      <c r="H2032" s="68" t="inlineStr">
        <is>
          <t>其他零星装修</t>
        </is>
      </c>
      <c r="I2032" s="69" t="inlineStr">
        <is>
          <t>1000021854</t>
        </is>
      </c>
      <c r="J2032" s="69" t="inlineStr">
        <is>
          <t>儿童乐园烤漆方管框架（50*50mm)</t>
        </is>
      </c>
      <c r="K2032" s="70" t="n"/>
      <c r="L2032" s="70" t="n"/>
      <c r="M2032" s="71" t="inlineStr">
        <is>
          <t>米</t>
        </is>
      </c>
      <c r="N2032" s="72" t="n">
        <v>75.27</v>
      </c>
      <c r="O2032" s="72">
        <f>ROUND(N2032*(1+$F$10),2)</f>
        <v/>
      </c>
      <c r="P2032" s="73">
        <f>ROUND(K2032*N2032,2)</f>
        <v/>
      </c>
      <c r="Q2032" s="74">
        <f>ROUND(L2032*N2032,2)</f>
        <v/>
      </c>
      <c r="R2032" s="75" t="n"/>
      <c r="S2032" s="76" t="n"/>
      <c r="T2032" s="77">
        <f>K2032-L2032</f>
        <v/>
      </c>
      <c r="U2032" s="77">
        <f>P2032-Q2032</f>
        <v/>
      </c>
      <c r="V2032" s="77">
        <f>ABS(U2032)</f>
        <v/>
      </c>
      <c r="W2032" s="78">
        <f>T2032/L2032</f>
        <v/>
      </c>
      <c r="X2032" s="79">
        <f>ABS(W2032)</f>
        <v/>
      </c>
    </row>
    <row r="2033" ht="11.4" customHeight="1">
      <c r="A2033" s="67" t="inlineStr">
        <is>
          <t>大甜64</t>
        </is>
      </c>
      <c r="B2033" s="67" t="inlineStr">
        <is>
          <t>1062</t>
        </is>
      </c>
      <c r="C2033" s="67" t="inlineStr">
        <is>
          <t>1611</t>
        </is>
      </c>
      <c r="D2033" s="68" t="inlineStr">
        <is>
          <t>03</t>
        </is>
      </c>
      <c r="E2033" s="68" t="inlineStr">
        <is>
          <t>6 物业施工费</t>
        </is>
      </c>
      <c r="F2033" s="68" t="inlineStr">
        <is>
          <t>6.1 总承包工程</t>
        </is>
      </c>
      <c r="G2033" s="68" t="inlineStr">
        <is>
          <t>6.1.1 内部装修工程</t>
        </is>
      </c>
      <c r="H2033" s="68" t="inlineStr">
        <is>
          <t>其他零星装修</t>
        </is>
      </c>
      <c r="I2033" s="69" t="inlineStr">
        <is>
          <t>1000021855</t>
        </is>
      </c>
      <c r="J2033" s="69" t="inlineStr">
        <is>
          <t>19mm玻璃矮隔断</t>
        </is>
      </c>
      <c r="K2033" s="70" t="n"/>
      <c r="L2033" s="70" t="n"/>
      <c r="M2033" s="71" t="inlineStr">
        <is>
          <t>米</t>
        </is>
      </c>
      <c r="N2033" s="72" t="n">
        <v>845.78</v>
      </c>
      <c r="O2033" s="72">
        <f>ROUND(N2033*(1+$F$10),2)</f>
        <v/>
      </c>
      <c r="P2033" s="73">
        <f>ROUND(K2033*N2033,2)</f>
        <v/>
      </c>
      <c r="Q2033" s="74">
        <f>ROUND(L2033*N2033,2)</f>
        <v/>
      </c>
      <c r="R2033" s="75" t="n"/>
      <c r="S2033" s="76" t="n"/>
      <c r="T2033" s="77">
        <f>K2033-L2033</f>
        <v/>
      </c>
      <c r="U2033" s="77">
        <f>P2033-Q2033</f>
        <v/>
      </c>
      <c r="V2033" s="77">
        <f>ABS(U2033)</f>
        <v/>
      </c>
      <c r="W2033" s="78">
        <f>T2033/L2033</f>
        <v/>
      </c>
      <c r="X2033" s="79">
        <f>ABS(W2033)</f>
        <v/>
      </c>
    </row>
    <row r="2034" ht="11.4" customHeight="1">
      <c r="A2034" s="67" t="inlineStr">
        <is>
          <t>大甜64</t>
        </is>
      </c>
      <c r="B2034" s="67" t="inlineStr">
        <is>
          <t>1062</t>
        </is>
      </c>
      <c r="C2034" s="67" t="inlineStr">
        <is>
          <t>1611</t>
        </is>
      </c>
      <c r="D2034" s="68" t="inlineStr">
        <is>
          <t>03</t>
        </is>
      </c>
      <c r="E2034" s="68" t="inlineStr">
        <is>
          <t>6 物业施工费</t>
        </is>
      </c>
      <c r="F2034" s="68" t="inlineStr">
        <is>
          <t>6.1 总承包工程</t>
        </is>
      </c>
      <c r="G2034" s="68" t="inlineStr">
        <is>
          <t>6.1.1 内部装修工程</t>
        </is>
      </c>
      <c r="H2034" s="68" t="inlineStr">
        <is>
          <t>其他零星装修</t>
        </is>
      </c>
      <c r="I2034" s="69" t="inlineStr">
        <is>
          <t>1000021856</t>
        </is>
      </c>
      <c r="J2034" s="69" t="inlineStr">
        <is>
          <t>消防栓门连框</t>
        </is>
      </c>
      <c r="K2034" s="70" t="n"/>
      <c r="L2034" s="70" t="n"/>
      <c r="M2034" s="71" t="inlineStr">
        <is>
          <t>个</t>
        </is>
      </c>
      <c r="N2034" s="72" t="n">
        <v>658.89</v>
      </c>
      <c r="O2034" s="72">
        <f>ROUND(N2034*(1+$F$10),2)</f>
        <v/>
      </c>
      <c r="P2034" s="73">
        <f>ROUND(K2034*N2034,2)</f>
        <v/>
      </c>
      <c r="Q2034" s="74">
        <f>ROUND(L2034*N2034,2)</f>
        <v/>
      </c>
      <c r="R2034" s="75" t="n"/>
      <c r="S2034" s="76" t="n"/>
      <c r="T2034" s="77">
        <f>K2034-L2034</f>
        <v/>
      </c>
      <c r="U2034" s="77">
        <f>P2034-Q2034</f>
        <v/>
      </c>
      <c r="V2034" s="77">
        <f>ABS(U2034)</f>
        <v/>
      </c>
      <c r="W2034" s="78">
        <f>T2034/L2034</f>
        <v/>
      </c>
      <c r="X2034" s="79">
        <f>ABS(W2034)</f>
        <v/>
      </c>
    </row>
    <row r="2035" ht="11.4" customHeight="1">
      <c r="A2035" s="67" t="inlineStr">
        <is>
          <t>大甜64</t>
        </is>
      </c>
      <c r="B2035" s="67" t="inlineStr">
        <is>
          <t>1062</t>
        </is>
      </c>
      <c r="C2035" s="67" t="inlineStr">
        <is>
          <t>1611</t>
        </is>
      </c>
      <c r="D2035" s="68" t="inlineStr">
        <is>
          <t>03</t>
        </is>
      </c>
      <c r="E2035" s="68" t="inlineStr">
        <is>
          <t>6 物业施工费</t>
        </is>
      </c>
      <c r="F2035" s="68" t="inlineStr">
        <is>
          <t>6.1 总承包工程</t>
        </is>
      </c>
      <c r="G2035" s="68" t="inlineStr">
        <is>
          <t>6.1.1 内部装修工程</t>
        </is>
      </c>
      <c r="H2035" s="68" t="inlineStr">
        <is>
          <t>其他零星装修</t>
        </is>
      </c>
      <c r="I2035" s="69" t="inlineStr">
        <is>
          <t>1000022160</t>
        </is>
      </c>
      <c r="J2035" s="69" t="inlineStr">
        <is>
          <t>SOK配合安装</t>
        </is>
      </c>
      <c r="K2035" s="70" t="n"/>
      <c r="L2035" s="70" t="n"/>
      <c r="M2035" s="71" t="inlineStr">
        <is>
          <t>项</t>
        </is>
      </c>
      <c r="N2035" s="72" t="n">
        <v>1160</v>
      </c>
      <c r="O2035" s="72">
        <f>ROUND(N2035*(1+$F$10),2)</f>
        <v/>
      </c>
      <c r="P2035" s="73">
        <f>ROUND(K2035*N2035,2)</f>
        <v/>
      </c>
      <c r="Q2035" s="74">
        <f>ROUND(L2035*N2035,2)</f>
        <v/>
      </c>
      <c r="R2035" s="75" t="n"/>
      <c r="S2035" s="76" t="n"/>
      <c r="T2035" s="77">
        <f>K2035-L2035</f>
        <v/>
      </c>
      <c r="U2035" s="77">
        <f>P2035-Q2035</f>
        <v/>
      </c>
      <c r="V2035" s="77">
        <f>ABS(U2035)</f>
        <v/>
      </c>
      <c r="W2035" s="78">
        <f>T2035/L2035</f>
        <v/>
      </c>
      <c r="X2035" s="79">
        <f>ABS(W2035)</f>
        <v/>
      </c>
    </row>
    <row r="2036" ht="11.4" customHeight="1">
      <c r="A2036" s="67" t="inlineStr">
        <is>
          <t>大甜64</t>
        </is>
      </c>
      <c r="B2036" s="67" t="inlineStr">
        <is>
          <t>1062</t>
        </is>
      </c>
      <c r="C2036" s="67" t="inlineStr">
        <is>
          <t>1611</t>
        </is>
      </c>
      <c r="D2036" s="68" t="inlineStr">
        <is>
          <t>03</t>
        </is>
      </c>
      <c r="E2036" s="68" t="inlineStr">
        <is>
          <t>6 物业施工费</t>
        </is>
      </c>
      <c r="F2036" s="68" t="inlineStr">
        <is>
          <t>6.1 总承包工程</t>
        </is>
      </c>
      <c r="G2036" s="68" t="inlineStr">
        <is>
          <t>6.1.1 内部装修工程</t>
        </is>
      </c>
      <c r="H2036" s="68" t="inlineStr">
        <is>
          <t>其他零星装修</t>
        </is>
      </c>
      <c r="I2036" s="69" t="inlineStr">
        <is>
          <t>1000022163</t>
        </is>
      </c>
      <c r="J2036" s="69" t="inlineStr">
        <is>
          <t>玻璃贴膜</t>
        </is>
      </c>
      <c r="K2036" s="70" t="n"/>
      <c r="L2036" s="70" t="n"/>
      <c r="M2036" s="71" t="inlineStr">
        <is>
          <t>m2</t>
        </is>
      </c>
      <c r="N2036" s="72" t="n">
        <v>54</v>
      </c>
      <c r="O2036" s="72">
        <f>ROUND(N2036*(1+$F$10),2)</f>
        <v/>
      </c>
      <c r="P2036" s="73">
        <f>ROUND(K2036*N2036,2)</f>
        <v/>
      </c>
      <c r="Q2036" s="74">
        <f>ROUND(L2036*N2036,2)</f>
        <v/>
      </c>
      <c r="R2036" s="75" t="n"/>
      <c r="S2036" s="76" t="n"/>
      <c r="T2036" s="77">
        <f>K2036-L2036</f>
        <v/>
      </c>
      <c r="U2036" s="77">
        <f>P2036-Q2036</f>
        <v/>
      </c>
      <c r="V2036" s="77">
        <f>ABS(U2036)</f>
        <v/>
      </c>
      <c r="W2036" s="78">
        <f>T2036/L2036</f>
        <v/>
      </c>
      <c r="X2036" s="79">
        <f>ABS(W2036)</f>
        <v/>
      </c>
    </row>
    <row r="2037" ht="11.4" customHeight="1">
      <c r="A2037" s="67" t="inlineStr">
        <is>
          <t>大甜64</t>
        </is>
      </c>
      <c r="B2037" s="67" t="inlineStr">
        <is>
          <t>1062</t>
        </is>
      </c>
      <c r="C2037" s="67" t="inlineStr">
        <is>
          <t>1611</t>
        </is>
      </c>
      <c r="D2037" s="68" t="inlineStr">
        <is>
          <t>03</t>
        </is>
      </c>
      <c r="E2037" s="68" t="inlineStr">
        <is>
          <t>6 物业施工费</t>
        </is>
      </c>
      <c r="F2037" s="68" t="inlineStr">
        <is>
          <t>6.1 总承包工程</t>
        </is>
      </c>
      <c r="G2037" s="68" t="inlineStr">
        <is>
          <t>6.1.1 内部装修工程</t>
        </is>
      </c>
      <c r="H2037" s="68" t="inlineStr">
        <is>
          <t>其他零星装修</t>
        </is>
      </c>
      <c r="I2037" s="69" t="inlineStr">
        <is>
          <t>1000051717</t>
        </is>
      </c>
      <c r="J2037" s="69" t="inlineStr">
        <is>
          <t>墙面3M造型膜安装</t>
        </is>
      </c>
      <c r="K2037" s="70" t="n"/>
      <c r="L2037" s="70" t="n"/>
      <c r="M2037" s="71" t="inlineStr">
        <is>
          <t>m2</t>
        </is>
      </c>
      <c r="N2037" s="72" t="n">
        <v>89.42</v>
      </c>
      <c r="O2037" s="72">
        <f>ROUND(N2037*(1+$F$10),2)</f>
        <v/>
      </c>
      <c r="P2037" s="73">
        <f>ROUND(K2037*N2037,2)</f>
        <v/>
      </c>
      <c r="Q2037" s="74">
        <f>ROUND(L2037*N2037,2)</f>
        <v/>
      </c>
      <c r="R2037" s="75" t="n"/>
      <c r="S2037" s="76" t="n"/>
      <c r="T2037" s="77">
        <f>K2037-L2037</f>
        <v/>
      </c>
      <c r="U2037" s="77">
        <f>P2037-Q2037</f>
        <v/>
      </c>
      <c r="V2037" s="77">
        <f>ABS(U2037)</f>
        <v/>
      </c>
      <c r="W2037" s="78">
        <f>T2037/L2037</f>
        <v/>
      </c>
      <c r="X2037" s="79">
        <f>ABS(W2037)</f>
        <v/>
      </c>
    </row>
    <row r="2038" ht="11.4" customHeight="1">
      <c r="A2038" s="67" t="inlineStr">
        <is>
          <t>大甜64</t>
        </is>
      </c>
      <c r="B2038" s="67" t="inlineStr">
        <is>
          <t>1062</t>
        </is>
      </c>
      <c r="C2038" s="67" t="inlineStr">
        <is>
          <t>1611</t>
        </is>
      </c>
      <c r="D2038" s="68" t="inlineStr">
        <is>
          <t>03</t>
        </is>
      </c>
      <c r="E2038" s="68" t="inlineStr">
        <is>
          <t>6 物业施工费</t>
        </is>
      </c>
      <c r="F2038" s="68" t="inlineStr">
        <is>
          <t>6.1 总承包工程</t>
        </is>
      </c>
      <c r="G2038" s="68" t="inlineStr">
        <is>
          <t>6.1.1 内部装修工程</t>
        </is>
      </c>
      <c r="H2038" s="68" t="inlineStr">
        <is>
          <t>其他零星装修</t>
        </is>
      </c>
      <c r="I2038" s="69" t="inlineStr">
        <is>
          <t>1000085732</t>
        </is>
      </c>
      <c r="J2038" s="69" t="inlineStr">
        <is>
          <t>磨砂方格子贴膜（3M)（仅安装）</t>
        </is>
      </c>
      <c r="K2038" s="70" t="n"/>
      <c r="L2038" s="70" t="n"/>
      <c r="M2038" s="71" t="inlineStr">
        <is>
          <t>m2</t>
        </is>
      </c>
      <c r="N2038" s="72" t="n">
        <v>85.02</v>
      </c>
      <c r="O2038" s="72">
        <f>ROUND(N2038*(1+$F$10),2)</f>
        <v/>
      </c>
      <c r="P2038" s="73">
        <f>ROUND(K2038*N2038,2)</f>
        <v/>
      </c>
      <c r="Q2038" s="74">
        <f>ROUND(L2038*N2038,2)</f>
        <v/>
      </c>
      <c r="R2038" s="75" t="n"/>
      <c r="S2038" s="76" t="n"/>
      <c r="T2038" s="77">
        <f>K2038-L2038</f>
        <v/>
      </c>
      <c r="U2038" s="77">
        <f>P2038-Q2038</f>
        <v/>
      </c>
      <c r="V2038" s="77">
        <f>ABS(U2038)</f>
        <v/>
      </c>
      <c r="W2038" s="78">
        <f>T2038/L2038</f>
        <v/>
      </c>
      <c r="X2038" s="79">
        <f>ABS(W2038)</f>
        <v/>
      </c>
    </row>
    <row r="2039" ht="11.4" customHeight="1">
      <c r="A2039" s="67" t="inlineStr">
        <is>
          <t>大甜64</t>
        </is>
      </c>
      <c r="B2039" s="67" t="inlineStr">
        <is>
          <t>1062</t>
        </is>
      </c>
      <c r="C2039" s="67" t="inlineStr">
        <is>
          <t>1611</t>
        </is>
      </c>
      <c r="D2039" s="68" t="inlineStr">
        <is>
          <t>03</t>
        </is>
      </c>
      <c r="E2039" s="68" t="inlineStr">
        <is>
          <t>6 物业施工费</t>
        </is>
      </c>
      <c r="F2039" s="68" t="inlineStr">
        <is>
          <t>6.1 总承包工程</t>
        </is>
      </c>
      <c r="G2039" s="68" t="inlineStr">
        <is>
          <t>6.1.1 内部装修工程</t>
        </is>
      </c>
      <c r="H2039" s="68" t="inlineStr">
        <is>
          <t>其他零星装修</t>
        </is>
      </c>
      <c r="I2039" s="69" t="inlineStr">
        <is>
          <t>1000051720</t>
        </is>
      </c>
      <c r="J2039" s="69" t="inlineStr">
        <is>
          <t>防鼠封堵（轻钢龙骨+硅钙板/石膏板）</t>
        </is>
      </c>
      <c r="K2039" s="70" t="n"/>
      <c r="L2039" s="70" t="n"/>
      <c r="M2039" s="71" t="inlineStr">
        <is>
          <t>m2</t>
        </is>
      </c>
      <c r="N2039" s="72" t="n">
        <v>93.63</v>
      </c>
      <c r="O2039" s="72">
        <f>ROUND(N2039*(1+$F$10),2)</f>
        <v/>
      </c>
      <c r="P2039" s="73">
        <f>ROUND(K2039*N2039,2)</f>
        <v/>
      </c>
      <c r="Q2039" s="74">
        <f>ROUND(L2039*N2039,2)</f>
        <v/>
      </c>
      <c r="R2039" s="75" t="n"/>
      <c r="S2039" s="76" t="n"/>
      <c r="T2039" s="77">
        <f>K2039-L2039</f>
        <v/>
      </c>
      <c r="U2039" s="77">
        <f>P2039-Q2039</f>
        <v/>
      </c>
      <c r="V2039" s="77">
        <f>ABS(U2039)</f>
        <v/>
      </c>
      <c r="W2039" s="78">
        <f>T2039/L2039</f>
        <v/>
      </c>
      <c r="X2039" s="79">
        <f>ABS(W2039)</f>
        <v/>
      </c>
    </row>
    <row r="2040" ht="11.4" customHeight="1">
      <c r="A2040" s="67" t="inlineStr">
        <is>
          <t>大甜64</t>
        </is>
      </c>
      <c r="B2040" s="67" t="inlineStr">
        <is>
          <t>1062</t>
        </is>
      </c>
      <c r="C2040" s="67" t="inlineStr">
        <is>
          <t>1611</t>
        </is>
      </c>
      <c r="D2040" s="68" t="inlineStr">
        <is>
          <t>03</t>
        </is>
      </c>
      <c r="E2040" s="68" t="inlineStr">
        <is>
          <t>6 物业施工费</t>
        </is>
      </c>
      <c r="F2040" s="68" t="inlineStr">
        <is>
          <t>6.1 总承包工程</t>
        </is>
      </c>
      <c r="G2040" s="68" t="inlineStr">
        <is>
          <t>6.1.1 内部装修工程</t>
        </is>
      </c>
      <c r="H2040" s="68" t="inlineStr">
        <is>
          <t>其他零星装修</t>
        </is>
      </c>
      <c r="I2040" s="69" t="inlineStr">
        <is>
          <t>1000051721</t>
        </is>
      </c>
      <c r="J2040" s="69" t="inlineStr">
        <is>
          <t>Ray-桌面无线充电器安装</t>
        </is>
      </c>
      <c r="K2040" s="70" t="n"/>
      <c r="L2040" s="70" t="n"/>
      <c r="M2040" s="71" t="inlineStr">
        <is>
          <t>个</t>
        </is>
      </c>
      <c r="N2040" s="72" t="n">
        <v>14.17</v>
      </c>
      <c r="O2040" s="72">
        <f>ROUND(N2040*(1+$F$10),2)</f>
        <v/>
      </c>
      <c r="P2040" s="73">
        <f>ROUND(K2040*N2040,2)</f>
        <v/>
      </c>
      <c r="Q2040" s="74">
        <f>ROUND(L2040*N2040,2)</f>
        <v/>
      </c>
      <c r="R2040" s="75" t="n"/>
      <c r="S2040" s="76" t="n"/>
      <c r="T2040" s="77">
        <f>K2040-L2040</f>
        <v/>
      </c>
      <c r="U2040" s="77">
        <f>P2040-Q2040</f>
        <v/>
      </c>
      <c r="V2040" s="77">
        <f>ABS(U2040)</f>
        <v/>
      </c>
      <c r="W2040" s="78">
        <f>T2040/L2040</f>
        <v/>
      </c>
      <c r="X2040" s="79">
        <f>ABS(W2040)</f>
        <v/>
      </c>
    </row>
    <row r="2041" ht="11.4" customHeight="1">
      <c r="A2041" s="67" t="inlineStr">
        <is>
          <t>大甜64</t>
        </is>
      </c>
      <c r="B2041" s="67" t="inlineStr">
        <is>
          <t>1062</t>
        </is>
      </c>
      <c r="C2041" s="67" t="inlineStr">
        <is>
          <t>1611</t>
        </is>
      </c>
      <c r="D2041" s="68" t="inlineStr">
        <is>
          <t>03</t>
        </is>
      </c>
      <c r="E2041" s="68" t="inlineStr">
        <is>
          <t>6 物业施工费</t>
        </is>
      </c>
      <c r="F2041" s="68" t="inlineStr">
        <is>
          <t>6.1 总承包工程</t>
        </is>
      </c>
      <c r="G2041" s="68" t="inlineStr">
        <is>
          <t>6.1.1 内部装修工程</t>
        </is>
      </c>
      <c r="H2041" s="68" t="inlineStr">
        <is>
          <t>其他零星装修</t>
        </is>
      </c>
      <c r="I2041" s="69" t="inlineStr">
        <is>
          <t>1000051722</t>
        </is>
      </c>
      <c r="J2041" s="69" t="inlineStr">
        <is>
          <t>餐厅清洁深灰地垫（单开门）</t>
        </is>
      </c>
      <c r="K2041" s="70" t="n"/>
      <c r="L2041" s="70" t="n"/>
      <c r="M2041" s="71" t="inlineStr">
        <is>
          <t>套</t>
        </is>
      </c>
      <c r="N2041" s="72" t="n">
        <v>794.4299999999999</v>
      </c>
      <c r="O2041" s="72">
        <f>ROUND(N2041*(1+$F$10),2)</f>
        <v/>
      </c>
      <c r="P2041" s="73">
        <f>ROUND(K2041*N2041,2)</f>
        <v/>
      </c>
      <c r="Q2041" s="74">
        <f>ROUND(L2041*N2041,2)</f>
        <v/>
      </c>
      <c r="R2041" s="75" t="n"/>
      <c r="S2041" s="76" t="n"/>
      <c r="T2041" s="77">
        <f>K2041-L2041</f>
        <v/>
      </c>
      <c r="U2041" s="77">
        <f>P2041-Q2041</f>
        <v/>
      </c>
      <c r="V2041" s="77">
        <f>ABS(U2041)</f>
        <v/>
      </c>
      <c r="W2041" s="78">
        <f>T2041/L2041</f>
        <v/>
      </c>
      <c r="X2041" s="79">
        <f>ABS(W2041)</f>
        <v/>
      </c>
    </row>
    <row r="2042" ht="11.4" customHeight="1">
      <c r="A2042" s="67" t="inlineStr">
        <is>
          <t>大甜64</t>
        </is>
      </c>
      <c r="B2042" s="67" t="inlineStr">
        <is>
          <t>1062</t>
        </is>
      </c>
      <c r="C2042" s="67" t="inlineStr">
        <is>
          <t>1611</t>
        </is>
      </c>
      <c r="D2042" s="68" t="inlineStr">
        <is>
          <t>03</t>
        </is>
      </c>
      <c r="E2042" s="68" t="inlineStr">
        <is>
          <t>6 物业施工费</t>
        </is>
      </c>
      <c r="F2042" s="68" t="inlineStr">
        <is>
          <t>6.1 总承包工程</t>
        </is>
      </c>
      <c r="G2042" s="68" t="inlineStr">
        <is>
          <t>6.1.1 内部装修工程</t>
        </is>
      </c>
      <c r="H2042" s="68" t="inlineStr">
        <is>
          <t>其他零星装修</t>
        </is>
      </c>
      <c r="I2042" s="69" t="inlineStr">
        <is>
          <t>1000051723</t>
        </is>
      </c>
      <c r="J2042" s="69" t="inlineStr">
        <is>
          <t>餐厅清洁深灰地垫（双开门）</t>
        </is>
      </c>
      <c r="K2042" s="70" t="n"/>
      <c r="L2042" s="70" t="n"/>
      <c r="M2042" s="71" t="inlineStr">
        <is>
          <t>套</t>
        </is>
      </c>
      <c r="N2042" s="72" t="n">
        <v>1467.85</v>
      </c>
      <c r="O2042" s="72">
        <f>ROUND(N2042*(1+$F$10),2)</f>
        <v/>
      </c>
      <c r="P2042" s="73">
        <f>ROUND(K2042*N2042,2)</f>
        <v/>
      </c>
      <c r="Q2042" s="74">
        <f>ROUND(L2042*N2042,2)</f>
        <v/>
      </c>
      <c r="R2042" s="75" t="n"/>
      <c r="S2042" s="76" t="n"/>
      <c r="T2042" s="77">
        <f>K2042-L2042</f>
        <v/>
      </c>
      <c r="U2042" s="77">
        <f>P2042-Q2042</f>
        <v/>
      </c>
      <c r="V2042" s="77">
        <f>ABS(U2042)</f>
        <v/>
      </c>
      <c r="W2042" s="78">
        <f>T2042/L2042</f>
        <v/>
      </c>
      <c r="X2042" s="79">
        <f>ABS(W2042)</f>
        <v/>
      </c>
    </row>
    <row r="2043" ht="11.4" customHeight="1">
      <c r="A2043" s="67" t="inlineStr">
        <is>
          <t>大甜64</t>
        </is>
      </c>
      <c r="B2043" s="67" t="inlineStr">
        <is>
          <t>1062</t>
        </is>
      </c>
      <c r="C2043" s="67" t="inlineStr">
        <is>
          <t>1611</t>
        </is>
      </c>
      <c r="D2043" s="68" t="inlineStr">
        <is>
          <t>03</t>
        </is>
      </c>
      <c r="E2043" s="68" t="inlineStr">
        <is>
          <t>6 物业施工费</t>
        </is>
      </c>
      <c r="F2043" s="68" t="inlineStr">
        <is>
          <t>6.1 总承包工程</t>
        </is>
      </c>
      <c r="G2043" s="68" t="inlineStr">
        <is>
          <t>6.1.1 内部装修工程</t>
        </is>
      </c>
      <c r="H2043" s="68" t="inlineStr">
        <is>
          <t>其他零星装修</t>
        </is>
      </c>
      <c r="I2043" s="69" t="inlineStr">
        <is>
          <t>1000022166</t>
        </is>
      </c>
      <c r="J2043" s="69" t="inlineStr">
        <is>
          <t>DMB安装</t>
        </is>
      </c>
      <c r="K2043" s="70" t="n"/>
      <c r="L2043" s="70" t="n"/>
      <c r="M2043" s="71" t="inlineStr">
        <is>
          <t>项</t>
        </is>
      </c>
      <c r="N2043" s="72" t="n">
        <v>1545.16</v>
      </c>
      <c r="O2043" s="72">
        <f>ROUND(N2043*(1+$F$10),2)</f>
        <v/>
      </c>
      <c r="P2043" s="73">
        <f>ROUND(K2043*N2043,2)</f>
        <v/>
      </c>
      <c r="Q2043" s="74">
        <f>ROUND(L2043*N2043,2)</f>
        <v/>
      </c>
      <c r="R2043" s="75" t="n"/>
      <c r="S2043" s="76" t="n"/>
      <c r="T2043" s="77">
        <f>K2043-L2043</f>
        <v/>
      </c>
      <c r="U2043" s="77">
        <f>P2043-Q2043</f>
        <v/>
      </c>
      <c r="V2043" s="77">
        <f>ABS(U2043)</f>
        <v/>
      </c>
      <c r="W2043" s="78">
        <f>T2043/L2043</f>
        <v/>
      </c>
      <c r="X2043" s="79">
        <f>ABS(W2043)</f>
        <v/>
      </c>
    </row>
    <row r="2044" ht="11.4" customHeight="1">
      <c r="A2044" s="67" t="inlineStr">
        <is>
          <t>大甜64</t>
        </is>
      </c>
      <c r="B2044" s="67" t="inlineStr">
        <is>
          <t>1053</t>
        </is>
      </c>
      <c r="C2044" s="67" t="inlineStr">
        <is>
          <t>1611</t>
        </is>
      </c>
      <c r="D2044" s="68" t="inlineStr">
        <is>
          <t>03</t>
        </is>
      </c>
      <c r="E2044" s="68" t="inlineStr">
        <is>
          <t>6 物业施工费</t>
        </is>
      </c>
      <c r="F2044" s="68" t="inlineStr">
        <is>
          <t>6.1 总承包工程</t>
        </is>
      </c>
      <c r="G2044" s="68" t="inlineStr">
        <is>
          <t>6.1.1 内部装修工程</t>
        </is>
      </c>
      <c r="H2044" s="68" t="inlineStr">
        <is>
          <t>其他零星装修</t>
        </is>
      </c>
      <c r="I2044" s="69" t="inlineStr">
        <is>
          <t>1000021458</t>
        </is>
      </c>
      <c r="J2044" s="69" t="inlineStr">
        <is>
          <t>垃圾房纸皮油桶层架</t>
        </is>
      </c>
      <c r="K2044" s="70" t="n"/>
      <c r="L2044" s="70" t="n"/>
      <c r="M2044" s="71" t="inlineStr">
        <is>
          <t>组</t>
        </is>
      </c>
      <c r="N2044" s="72" t="n">
        <v>899</v>
      </c>
      <c r="O2044" s="72">
        <f>ROUND(N2044*(1+$F$10),2)</f>
        <v/>
      </c>
      <c r="P2044" s="73">
        <f>ROUND(K2044*N2044,2)</f>
        <v/>
      </c>
      <c r="Q2044" s="74">
        <f>ROUND(L2044*N2044,2)</f>
        <v/>
      </c>
      <c r="R2044" s="75" t="n"/>
      <c r="S2044" s="76" t="n"/>
      <c r="T2044" s="77">
        <f>K2044-L2044</f>
        <v/>
      </c>
      <c r="U2044" s="77">
        <f>P2044-Q2044</f>
        <v/>
      </c>
      <c r="V2044" s="77">
        <f>ABS(U2044)</f>
        <v/>
      </c>
      <c r="W2044" s="78">
        <f>T2044/L2044</f>
        <v/>
      </c>
      <c r="X2044" s="79">
        <f>ABS(W2044)</f>
        <v/>
      </c>
    </row>
    <row r="2045" ht="11.4" customHeight="1">
      <c r="A2045" s="67" t="inlineStr">
        <is>
          <t>大甜64</t>
        </is>
      </c>
      <c r="B2045" s="67" t="inlineStr">
        <is>
          <t>1062</t>
        </is>
      </c>
      <c r="C2045" s="67" t="inlineStr">
        <is>
          <t>1611</t>
        </is>
      </c>
      <c r="D2045" s="68" t="inlineStr">
        <is>
          <t>03</t>
        </is>
      </c>
      <c r="E2045" s="68" t="inlineStr">
        <is>
          <t>6 物业施工费</t>
        </is>
      </c>
      <c r="F2045" s="68" t="inlineStr">
        <is>
          <t>6.1 总承包工程</t>
        </is>
      </c>
      <c r="G2045" s="68" t="inlineStr">
        <is>
          <t>6.1.1 内部装修工程</t>
        </is>
      </c>
      <c r="H2045" s="68" t="inlineStr">
        <is>
          <t>其他零星装修</t>
        </is>
      </c>
      <c r="I2045" s="69" t="inlineStr">
        <is>
          <t>1000022167</t>
        </is>
      </c>
      <c r="J2045" s="69" t="inlineStr">
        <is>
          <t>裸顶喷漆</t>
        </is>
      </c>
      <c r="K2045" s="70" t="n"/>
      <c r="L2045" s="70" t="n"/>
      <c r="M2045" s="71" t="inlineStr">
        <is>
          <t>m2</t>
        </is>
      </c>
      <c r="N2045" s="72" t="n">
        <v>45.72</v>
      </c>
      <c r="O2045" s="72">
        <f>ROUND(N2045*(1+$F$10),2)</f>
        <v/>
      </c>
      <c r="P2045" s="73">
        <f>ROUND(K2045*N2045,2)</f>
        <v/>
      </c>
      <c r="Q2045" s="74">
        <f>ROUND(L2045*N2045,2)</f>
        <v/>
      </c>
      <c r="R2045" s="75" t="n"/>
      <c r="S2045" s="76" t="n"/>
      <c r="T2045" s="77">
        <f>K2045-L2045</f>
        <v/>
      </c>
      <c r="U2045" s="77">
        <f>P2045-Q2045</f>
        <v/>
      </c>
      <c r="V2045" s="77">
        <f>ABS(U2045)</f>
        <v/>
      </c>
      <c r="W2045" s="78">
        <f>T2045/L2045</f>
        <v/>
      </c>
      <c r="X2045" s="79">
        <f>ABS(W2045)</f>
        <v/>
      </c>
    </row>
    <row r="2046" ht="11.4" customHeight="1">
      <c r="A2046" s="67" t="inlineStr">
        <is>
          <t>大甜68</t>
        </is>
      </c>
      <c r="B2046" s="67" t="inlineStr">
        <is>
          <t>1066</t>
        </is>
      </c>
      <c r="C2046" s="67" t="inlineStr">
        <is>
          <t>1612</t>
        </is>
      </c>
      <c r="D2046" s="68" t="inlineStr">
        <is>
          <t>03</t>
        </is>
      </c>
      <c r="E2046" s="68" t="inlineStr">
        <is>
          <t>6 物业施工费</t>
        </is>
      </c>
      <c r="F2046" s="68" t="inlineStr">
        <is>
          <t>6.1 总承包工程</t>
        </is>
      </c>
      <c r="G2046" s="68" t="inlineStr">
        <is>
          <t>6.1.2 电气工程</t>
        </is>
      </c>
      <c r="H2046" s="68" t="inlineStr">
        <is>
          <t>配电系统</t>
        </is>
      </c>
      <c r="I2046" s="69" t="inlineStr">
        <is>
          <t>1000021858</t>
        </is>
      </c>
      <c r="J2046" s="69" t="inlineStr">
        <is>
          <t>（不含主材）安装调试总配电柜</t>
        </is>
      </c>
      <c r="K2046" s="70" t="n"/>
      <c r="L2046" s="70" t="n"/>
      <c r="M2046" s="71" t="inlineStr">
        <is>
          <t>项</t>
        </is>
      </c>
      <c r="N2046" s="72" t="n">
        <v>4237.59</v>
      </c>
      <c r="O2046" s="72">
        <f>ROUND(N2046*(1+$F$10),2)</f>
        <v/>
      </c>
      <c r="P2046" s="73">
        <f>ROUND(K2046*N2046,2)</f>
        <v/>
      </c>
      <c r="Q2046" s="74">
        <f>ROUND(L2046*N2046,2)</f>
        <v/>
      </c>
      <c r="R2046" s="75" t="n"/>
      <c r="S2046" s="76" t="n"/>
      <c r="T2046" s="77">
        <f>K2046-L2046</f>
        <v/>
      </c>
      <c r="U2046" s="77">
        <f>P2046-Q2046</f>
        <v/>
      </c>
      <c r="V2046" s="77">
        <f>ABS(U2046)</f>
        <v/>
      </c>
      <c r="W2046" s="78">
        <f>T2046/L2046</f>
        <v/>
      </c>
      <c r="X2046" s="79">
        <f>ABS(W2046)</f>
        <v/>
      </c>
    </row>
    <row r="2047" ht="11.4" customHeight="1">
      <c r="A2047" s="67" t="inlineStr">
        <is>
          <t>大甜68</t>
        </is>
      </c>
      <c r="B2047" s="67" t="inlineStr">
        <is>
          <t>1066</t>
        </is>
      </c>
      <c r="C2047" s="67" t="inlineStr">
        <is>
          <t>1612</t>
        </is>
      </c>
      <c r="D2047" s="68" t="inlineStr">
        <is>
          <t>03</t>
        </is>
      </c>
      <c r="E2047" s="68" t="inlineStr">
        <is>
          <t>6 物业施工费</t>
        </is>
      </c>
      <c r="F2047" s="68" t="inlineStr">
        <is>
          <t>6.1 总承包工程</t>
        </is>
      </c>
      <c r="G2047" s="68" t="inlineStr">
        <is>
          <t>6.1.2 电气工程</t>
        </is>
      </c>
      <c r="H2047" s="68" t="inlineStr">
        <is>
          <t>配电系统</t>
        </is>
      </c>
      <c r="I2047" s="69" t="inlineStr">
        <is>
          <t>1000021859</t>
        </is>
      </c>
      <c r="J2047" s="69" t="inlineStr">
        <is>
          <t>接地装置（仅DT）</t>
        </is>
      </c>
      <c r="K2047" s="70" t="n"/>
      <c r="L2047" s="70" t="n"/>
      <c r="M2047" s="71" t="inlineStr">
        <is>
          <t>项</t>
        </is>
      </c>
      <c r="N2047" s="72" t="n">
        <v>1859</v>
      </c>
      <c r="O2047" s="72">
        <f>ROUND(N2047*(1+$F$10),2)</f>
        <v/>
      </c>
      <c r="P2047" s="73">
        <f>ROUND(K2047*N2047,2)</f>
        <v/>
      </c>
      <c r="Q2047" s="74">
        <f>ROUND(L2047*N2047,2)</f>
        <v/>
      </c>
      <c r="R2047" s="75" t="n"/>
      <c r="S2047" s="76" t="n"/>
      <c r="T2047" s="77">
        <f>K2047-L2047</f>
        <v/>
      </c>
      <c r="U2047" s="77">
        <f>P2047-Q2047</f>
        <v/>
      </c>
      <c r="V2047" s="77">
        <f>ABS(U2047)</f>
        <v/>
      </c>
      <c r="W2047" s="78">
        <f>T2047/L2047</f>
        <v/>
      </c>
      <c r="X2047" s="79">
        <f>ABS(W2047)</f>
        <v/>
      </c>
    </row>
    <row r="2048" ht="11.4" customHeight="1">
      <c r="A2048" s="67" t="inlineStr">
        <is>
          <t>大甜68</t>
        </is>
      </c>
      <c r="B2048" s="67" t="inlineStr">
        <is>
          <t>1066</t>
        </is>
      </c>
      <c r="C2048" s="67" t="inlineStr">
        <is>
          <t>1612</t>
        </is>
      </c>
      <c r="D2048" s="68" t="inlineStr">
        <is>
          <t>03</t>
        </is>
      </c>
      <c r="E2048" s="68" t="inlineStr">
        <is>
          <t>6 物业施工费</t>
        </is>
      </c>
      <c r="F2048" s="68" t="inlineStr">
        <is>
          <t>6.1 总承包工程</t>
        </is>
      </c>
      <c r="G2048" s="68" t="inlineStr">
        <is>
          <t>6.1.2 电气工程</t>
        </is>
      </c>
      <c r="H2048" s="68" t="inlineStr">
        <is>
          <t>配电系统</t>
        </is>
      </c>
      <c r="I2048" s="69" t="inlineStr">
        <is>
          <t>1000021860</t>
        </is>
      </c>
      <c r="J2048" s="69" t="inlineStr">
        <is>
          <t>调试电费</t>
        </is>
      </c>
      <c r="K2048" s="70" t="n"/>
      <c r="L2048" s="70" t="n"/>
      <c r="M2048" s="71" t="inlineStr">
        <is>
          <t>项</t>
        </is>
      </c>
      <c r="N2048" s="72" t="n">
        <v>1850</v>
      </c>
      <c r="O2048" s="72">
        <f>ROUND(N2048*(1+$F$10),2)</f>
        <v/>
      </c>
      <c r="P2048" s="73">
        <f>ROUND(K2048*N2048,2)</f>
        <v/>
      </c>
      <c r="Q2048" s="74">
        <f>ROUND(L2048*N2048,2)</f>
        <v/>
      </c>
      <c r="R2048" s="75" t="n"/>
      <c r="S2048" s="76" t="n"/>
      <c r="T2048" s="77">
        <f>K2048-L2048</f>
        <v/>
      </c>
      <c r="U2048" s="77">
        <f>P2048-Q2048</f>
        <v/>
      </c>
      <c r="V2048" s="77">
        <f>ABS(U2048)</f>
        <v/>
      </c>
      <c r="W2048" s="78">
        <f>T2048/L2048</f>
        <v/>
      </c>
      <c r="X2048" s="79">
        <f>ABS(W2048)</f>
        <v/>
      </c>
    </row>
    <row r="2049" ht="11.4" customHeight="1">
      <c r="A2049" s="67" t="inlineStr">
        <is>
          <t>大甜68</t>
        </is>
      </c>
      <c r="B2049" s="67" t="inlineStr">
        <is>
          <t>1066</t>
        </is>
      </c>
      <c r="C2049" s="67" t="inlineStr">
        <is>
          <t>1612</t>
        </is>
      </c>
      <c r="D2049" s="68" t="inlineStr">
        <is>
          <t>03</t>
        </is>
      </c>
      <c r="E2049" s="68" t="inlineStr">
        <is>
          <t>6 物业施工费</t>
        </is>
      </c>
      <c r="F2049" s="68" t="inlineStr">
        <is>
          <t>6.1 总承包工程</t>
        </is>
      </c>
      <c r="G2049" s="68" t="inlineStr">
        <is>
          <t>6.1.2 电气工程</t>
        </is>
      </c>
      <c r="H2049" s="68" t="inlineStr">
        <is>
          <t>配电系统</t>
        </is>
      </c>
      <c r="I2049" s="69" t="inlineStr">
        <is>
          <t>1000040111</t>
        </is>
      </c>
      <c r="J2049" s="69" t="inlineStr">
        <is>
          <t>总配电柜回路调整</t>
        </is>
      </c>
      <c r="K2049" s="70" t="n"/>
      <c r="L2049" s="70" t="n"/>
      <c r="M2049" s="71" t="inlineStr">
        <is>
          <t>项</t>
        </is>
      </c>
      <c r="N2049" s="72" t="n"/>
      <c r="O2049" s="72">
        <f>ROUND(N2049*(1+$F$10),2)</f>
        <v/>
      </c>
      <c r="P2049" s="73">
        <f>ROUND(K2049*N2049,2)</f>
        <v/>
      </c>
      <c r="Q2049" s="74">
        <f>ROUND(L2049*N2049,2)</f>
        <v/>
      </c>
      <c r="R2049" s="75" t="n"/>
      <c r="S2049" s="76" t="n"/>
      <c r="T2049" s="77">
        <f>K2049-L2049</f>
        <v/>
      </c>
      <c r="U2049" s="77">
        <f>P2049-Q2049</f>
        <v/>
      </c>
      <c r="V2049" s="77">
        <f>ABS(U2049)</f>
        <v/>
      </c>
      <c r="W2049" s="78">
        <f>T2049/L2049</f>
        <v/>
      </c>
      <c r="X2049" s="79">
        <f>ABS(W2049)</f>
        <v/>
      </c>
    </row>
    <row r="2050" ht="11.4" customHeight="1">
      <c r="A2050" s="67" t="inlineStr">
        <is>
          <t>大甜68</t>
        </is>
      </c>
      <c r="B2050" s="67" t="inlineStr">
        <is>
          <t>1066</t>
        </is>
      </c>
      <c r="C2050" s="67" t="inlineStr">
        <is>
          <t>1612</t>
        </is>
      </c>
      <c r="D2050" s="68" t="inlineStr">
        <is>
          <t>03</t>
        </is>
      </c>
      <c r="E2050" s="68" t="inlineStr">
        <is>
          <t>6 物业施工费</t>
        </is>
      </c>
      <c r="F2050" s="68" t="inlineStr">
        <is>
          <t>6.1 总承包工程</t>
        </is>
      </c>
      <c r="G2050" s="68" t="inlineStr">
        <is>
          <t>6.1.2 电气工程</t>
        </is>
      </c>
      <c r="H2050" s="68" t="inlineStr">
        <is>
          <t>厨房动力 (包含所有毛坯及辅材）</t>
        </is>
      </c>
      <c r="I2050" s="69" t="inlineStr">
        <is>
          <t>1000021861</t>
        </is>
      </c>
      <c r="J2050" s="69" t="inlineStr">
        <is>
          <t>10A 三眼单相插座回路</t>
        </is>
      </c>
      <c r="K2050" s="70" t="n"/>
      <c r="L2050" s="70" t="n"/>
      <c r="M2050" s="71" t="inlineStr">
        <is>
          <t>组</t>
        </is>
      </c>
      <c r="N2050" s="72" t="n">
        <v>486.16</v>
      </c>
      <c r="O2050" s="72">
        <f>ROUND(N2050*(1+$F$10),2)</f>
        <v/>
      </c>
      <c r="P2050" s="73">
        <f>ROUND(K2050*N2050,2)</f>
        <v/>
      </c>
      <c r="Q2050" s="74">
        <f>ROUND(L2050*N2050,2)</f>
        <v/>
      </c>
      <c r="R2050" s="75" t="n"/>
      <c r="S2050" s="76" t="n"/>
      <c r="T2050" s="77">
        <f>K2050-L2050</f>
        <v/>
      </c>
      <c r="U2050" s="77">
        <f>P2050-Q2050</f>
        <v/>
      </c>
      <c r="V2050" s="77">
        <f>ABS(U2050)</f>
        <v/>
      </c>
      <c r="W2050" s="78">
        <f>T2050/L2050</f>
        <v/>
      </c>
      <c r="X2050" s="79">
        <f>ABS(W2050)</f>
        <v/>
      </c>
    </row>
    <row r="2051" ht="11.4" customHeight="1">
      <c r="A2051" s="67" t="inlineStr">
        <is>
          <t>大甜68</t>
        </is>
      </c>
      <c r="B2051" s="67" t="inlineStr">
        <is>
          <t>1066</t>
        </is>
      </c>
      <c r="C2051" s="67" t="inlineStr">
        <is>
          <t>1612</t>
        </is>
      </c>
      <c r="D2051" s="68" t="inlineStr">
        <is>
          <t>03</t>
        </is>
      </c>
      <c r="E2051" s="68" t="inlineStr">
        <is>
          <t>6 物业施工费</t>
        </is>
      </c>
      <c r="F2051" s="68" t="inlineStr">
        <is>
          <t>6.1 总承包工程</t>
        </is>
      </c>
      <c r="G2051" s="68" t="inlineStr">
        <is>
          <t>6.1.2 电气工程</t>
        </is>
      </c>
      <c r="H2051" s="68" t="inlineStr">
        <is>
          <t>厨房动力 (包含所有毛坯及辅材）</t>
        </is>
      </c>
      <c r="I2051" s="69" t="inlineStr">
        <is>
          <t>1000021862</t>
        </is>
      </c>
      <c r="J2051" s="69" t="inlineStr">
        <is>
          <t>10A 三眼单相插座</t>
        </is>
      </c>
      <c r="K2051" s="70" t="n"/>
      <c r="L2051" s="70" t="n"/>
      <c r="M2051" s="71" t="inlineStr">
        <is>
          <t>个</t>
        </is>
      </c>
      <c r="N2051" s="72" t="n">
        <v>105.21</v>
      </c>
      <c r="O2051" s="72">
        <f>ROUND(N2051*(1+$F$10),2)</f>
        <v/>
      </c>
      <c r="P2051" s="73">
        <f>ROUND(K2051*N2051,2)</f>
        <v/>
      </c>
      <c r="Q2051" s="74">
        <f>ROUND(L2051*N2051,2)</f>
        <v/>
      </c>
      <c r="R2051" s="75" t="n"/>
      <c r="S2051" s="76" t="n"/>
      <c r="T2051" s="77">
        <f>K2051-L2051</f>
        <v/>
      </c>
      <c r="U2051" s="77">
        <f>P2051-Q2051</f>
        <v/>
      </c>
      <c r="V2051" s="77">
        <f>ABS(U2051)</f>
        <v/>
      </c>
      <c r="W2051" s="78">
        <f>T2051/L2051</f>
        <v/>
      </c>
      <c r="X2051" s="79">
        <f>ABS(W2051)</f>
        <v/>
      </c>
    </row>
    <row r="2052" ht="11.4" customHeight="1">
      <c r="A2052" s="67" t="inlineStr">
        <is>
          <t>大甜68</t>
        </is>
      </c>
      <c r="B2052" s="67" t="inlineStr">
        <is>
          <t>1066</t>
        </is>
      </c>
      <c r="C2052" s="67" t="inlineStr">
        <is>
          <t>1612</t>
        </is>
      </c>
      <c r="D2052" s="68" t="inlineStr">
        <is>
          <t>03</t>
        </is>
      </c>
      <c r="E2052" s="68" t="inlineStr">
        <is>
          <t>6 物业施工费</t>
        </is>
      </c>
      <c r="F2052" s="68" t="inlineStr">
        <is>
          <t>6.1 总承包工程</t>
        </is>
      </c>
      <c r="G2052" s="68" t="inlineStr">
        <is>
          <t>6.1.2 电气工程</t>
        </is>
      </c>
      <c r="H2052" s="68" t="inlineStr">
        <is>
          <t>厨房动力 (包含所有毛坯及辅材）</t>
        </is>
      </c>
      <c r="I2052" s="69" t="inlineStr">
        <is>
          <t>1000021863</t>
        </is>
      </c>
      <c r="J2052" s="69" t="inlineStr">
        <is>
          <t>16A 三眼单相插座回路</t>
        </is>
      </c>
      <c r="K2052" s="70" t="n"/>
      <c r="L2052" s="70" t="n"/>
      <c r="M2052" s="71" t="inlineStr">
        <is>
          <t>组</t>
        </is>
      </c>
      <c r="N2052" s="72" t="n">
        <v>511.41</v>
      </c>
      <c r="O2052" s="72">
        <f>ROUND(N2052*(1+$F$10),2)</f>
        <v/>
      </c>
      <c r="P2052" s="73">
        <f>ROUND(K2052*N2052,2)</f>
        <v/>
      </c>
      <c r="Q2052" s="74">
        <f>ROUND(L2052*N2052,2)</f>
        <v/>
      </c>
      <c r="R2052" s="75" t="n"/>
      <c r="S2052" s="76" t="n"/>
      <c r="T2052" s="77">
        <f>K2052-L2052</f>
        <v/>
      </c>
      <c r="U2052" s="77">
        <f>P2052-Q2052</f>
        <v/>
      </c>
      <c r="V2052" s="77">
        <f>ABS(U2052)</f>
        <v/>
      </c>
      <c r="W2052" s="78">
        <f>T2052/L2052</f>
        <v/>
      </c>
      <c r="X2052" s="79">
        <f>ABS(W2052)</f>
        <v/>
      </c>
    </row>
    <row r="2053" ht="11.4" customHeight="1">
      <c r="A2053" s="67" t="inlineStr">
        <is>
          <t>大甜68</t>
        </is>
      </c>
      <c r="B2053" s="67" t="inlineStr">
        <is>
          <t>1066</t>
        </is>
      </c>
      <c r="C2053" s="67" t="inlineStr">
        <is>
          <t>1612</t>
        </is>
      </c>
      <c r="D2053" s="68" t="inlineStr">
        <is>
          <t>03</t>
        </is>
      </c>
      <c r="E2053" s="68" t="inlineStr">
        <is>
          <t>6 物业施工费</t>
        </is>
      </c>
      <c r="F2053" s="68" t="inlineStr">
        <is>
          <t>6.1 总承包工程</t>
        </is>
      </c>
      <c r="G2053" s="68" t="inlineStr">
        <is>
          <t>6.1.2 电气工程</t>
        </is>
      </c>
      <c r="H2053" s="68" t="inlineStr">
        <is>
          <t>厨房动力 (包含所有毛坯及辅材）</t>
        </is>
      </c>
      <c r="I2053" s="69" t="inlineStr">
        <is>
          <t>1000021864</t>
        </is>
      </c>
      <c r="J2053" s="69" t="inlineStr">
        <is>
          <t>16A 三眼单相插座</t>
        </is>
      </c>
      <c r="K2053" s="70" t="n"/>
      <c r="L2053" s="70" t="n"/>
      <c r="M2053" s="71" t="inlineStr">
        <is>
          <t>个</t>
        </is>
      </c>
      <c r="N2053" s="72" t="n">
        <v>105.85</v>
      </c>
      <c r="O2053" s="72">
        <f>ROUND(N2053*(1+$F$10),2)</f>
        <v/>
      </c>
      <c r="P2053" s="73">
        <f>ROUND(K2053*N2053,2)</f>
        <v/>
      </c>
      <c r="Q2053" s="74">
        <f>ROUND(L2053*N2053,2)</f>
        <v/>
      </c>
      <c r="R2053" s="75" t="n"/>
      <c r="S2053" s="76" t="n"/>
      <c r="T2053" s="77">
        <f>K2053-L2053</f>
        <v/>
      </c>
      <c r="U2053" s="77">
        <f>P2053-Q2053</f>
        <v/>
      </c>
      <c r="V2053" s="77">
        <f>ABS(U2053)</f>
        <v/>
      </c>
      <c r="W2053" s="78">
        <f>T2053/L2053</f>
        <v/>
      </c>
      <c r="X2053" s="79">
        <f>ABS(W2053)</f>
        <v/>
      </c>
    </row>
    <row r="2054" ht="11.4" customHeight="1">
      <c r="A2054" s="67" t="inlineStr">
        <is>
          <t>大甜68</t>
        </is>
      </c>
      <c r="B2054" s="67" t="inlineStr">
        <is>
          <t>1066</t>
        </is>
      </c>
      <c r="C2054" s="67" t="inlineStr">
        <is>
          <t>1612</t>
        </is>
      </c>
      <c r="D2054" s="68" t="inlineStr">
        <is>
          <t>03</t>
        </is>
      </c>
      <c r="E2054" s="68" t="inlineStr">
        <is>
          <t>6 物业施工费</t>
        </is>
      </c>
      <c r="F2054" s="68" t="inlineStr">
        <is>
          <t>6.1 总承包工程</t>
        </is>
      </c>
      <c r="G2054" s="68" t="inlineStr">
        <is>
          <t>6.1.2 电气工程</t>
        </is>
      </c>
      <c r="H2054" s="68" t="inlineStr">
        <is>
          <t>厨房动力 (包含所有毛坯及辅材）</t>
        </is>
      </c>
      <c r="I2054" s="69" t="inlineStr">
        <is>
          <t>1000021865</t>
        </is>
      </c>
      <c r="J2054" s="69" t="inlineStr">
        <is>
          <t>传送带紧急按钮</t>
        </is>
      </c>
      <c r="K2054" s="70" t="n"/>
      <c r="L2054" s="70" t="n"/>
      <c r="M2054" s="71" t="inlineStr">
        <is>
          <t>个</t>
        </is>
      </c>
      <c r="N2054" s="72" t="n">
        <v>82.70999999999999</v>
      </c>
      <c r="O2054" s="72">
        <f>ROUND(N2054*(1+$F$10),2)</f>
        <v/>
      </c>
      <c r="P2054" s="73">
        <f>ROUND(K2054*N2054,2)</f>
        <v/>
      </c>
      <c r="Q2054" s="74">
        <f>ROUND(L2054*N2054,2)</f>
        <v/>
      </c>
      <c r="R2054" s="75" t="n"/>
      <c r="S2054" s="76" t="n"/>
      <c r="T2054" s="77">
        <f>K2054-L2054</f>
        <v/>
      </c>
      <c r="U2054" s="77">
        <f>P2054-Q2054</f>
        <v/>
      </c>
      <c r="V2054" s="77">
        <f>ABS(U2054)</f>
        <v/>
      </c>
      <c r="W2054" s="78">
        <f>T2054/L2054</f>
        <v/>
      </c>
      <c r="X2054" s="79">
        <f>ABS(W2054)</f>
        <v/>
      </c>
    </row>
    <row r="2055" ht="11.4" customHeight="1">
      <c r="A2055" s="67" t="inlineStr">
        <is>
          <t>大甜68</t>
        </is>
      </c>
      <c r="B2055" s="67" t="inlineStr">
        <is>
          <t>1066</t>
        </is>
      </c>
      <c r="C2055" s="67" t="inlineStr">
        <is>
          <t>1612</t>
        </is>
      </c>
      <c r="D2055" s="68" t="inlineStr">
        <is>
          <t>03</t>
        </is>
      </c>
      <c r="E2055" s="68" t="inlineStr">
        <is>
          <t>6 物业施工费</t>
        </is>
      </c>
      <c r="F2055" s="68" t="inlineStr">
        <is>
          <t>6.1 总承包工程</t>
        </is>
      </c>
      <c r="G2055" s="68" t="inlineStr">
        <is>
          <t>6.1.2 电气工程</t>
        </is>
      </c>
      <c r="H2055" s="68" t="inlineStr">
        <is>
          <t>厨房动力 (包含所有毛坯及辅材）</t>
        </is>
      </c>
      <c r="I2055" s="69" t="inlineStr">
        <is>
          <t>1000021866</t>
        </is>
      </c>
      <c r="J2055" s="69" t="inlineStr">
        <is>
          <t>接线盒---- 电气联锁</t>
        </is>
      </c>
      <c r="K2055" s="70" t="n"/>
      <c r="L2055" s="70" t="n"/>
      <c r="M2055" s="71" t="inlineStr">
        <is>
          <t>个</t>
        </is>
      </c>
      <c r="N2055" s="72" t="n">
        <v>536.25</v>
      </c>
      <c r="O2055" s="72">
        <f>ROUND(N2055*(1+$F$10),2)</f>
        <v/>
      </c>
      <c r="P2055" s="73">
        <f>ROUND(K2055*N2055,2)</f>
        <v/>
      </c>
      <c r="Q2055" s="74">
        <f>ROUND(L2055*N2055,2)</f>
        <v/>
      </c>
      <c r="R2055" s="75" t="n"/>
      <c r="S2055" s="76" t="n"/>
      <c r="T2055" s="77">
        <f>K2055-L2055</f>
        <v/>
      </c>
      <c r="U2055" s="77">
        <f>P2055-Q2055</f>
        <v/>
      </c>
      <c r="V2055" s="77">
        <f>ABS(U2055)</f>
        <v/>
      </c>
      <c r="W2055" s="78">
        <f>T2055/L2055</f>
        <v/>
      </c>
      <c r="X2055" s="79">
        <f>ABS(W2055)</f>
        <v/>
      </c>
    </row>
    <row r="2056" ht="11.4" customHeight="1">
      <c r="A2056" s="67" t="inlineStr">
        <is>
          <t>大甜68</t>
        </is>
      </c>
      <c r="B2056" s="67" t="inlineStr">
        <is>
          <t>1066</t>
        </is>
      </c>
      <c r="C2056" s="67" t="inlineStr">
        <is>
          <t>1612</t>
        </is>
      </c>
      <c r="D2056" s="68" t="inlineStr">
        <is>
          <t>03</t>
        </is>
      </c>
      <c r="E2056" s="68" t="inlineStr">
        <is>
          <t>6 物业施工费</t>
        </is>
      </c>
      <c r="F2056" s="68" t="inlineStr">
        <is>
          <t>6.1 总承包工程</t>
        </is>
      </c>
      <c r="G2056" s="68" t="inlineStr">
        <is>
          <t>6.1.2 电气工程</t>
        </is>
      </c>
      <c r="H2056" s="68" t="inlineStr">
        <is>
          <t>厨房动力 (包含所有毛坯及辅材）</t>
        </is>
      </c>
      <c r="I2056" s="69" t="inlineStr">
        <is>
          <t>1000021867</t>
        </is>
      </c>
      <c r="J2056" s="69" t="inlineStr">
        <is>
          <t>接线盒---- 烘手器 (不含烘手器主材)</t>
        </is>
      </c>
      <c r="K2056" s="70" t="n"/>
      <c r="L2056" s="70" t="n"/>
      <c r="M2056" s="71" t="inlineStr">
        <is>
          <t>个</t>
        </is>
      </c>
      <c r="N2056" s="72" t="n">
        <v>453.75</v>
      </c>
      <c r="O2056" s="72">
        <f>ROUND(N2056*(1+$F$10),2)</f>
        <v/>
      </c>
      <c r="P2056" s="73">
        <f>ROUND(K2056*N2056,2)</f>
        <v/>
      </c>
      <c r="Q2056" s="74">
        <f>ROUND(L2056*N2056,2)</f>
        <v/>
      </c>
      <c r="R2056" s="75" t="n"/>
      <c r="S2056" s="76" t="n"/>
      <c r="T2056" s="77">
        <f>K2056-L2056</f>
        <v/>
      </c>
      <c r="U2056" s="77">
        <f>P2056-Q2056</f>
        <v/>
      </c>
      <c r="V2056" s="77">
        <f>ABS(U2056)</f>
        <v/>
      </c>
      <c r="W2056" s="78">
        <f>T2056/L2056</f>
        <v/>
      </c>
      <c r="X2056" s="79">
        <f>ABS(W2056)</f>
        <v/>
      </c>
    </row>
    <row r="2057" ht="11.4" customHeight="1">
      <c r="A2057" s="67" t="inlineStr">
        <is>
          <t>大甜68</t>
        </is>
      </c>
      <c r="B2057" s="67" t="inlineStr">
        <is>
          <t>1066</t>
        </is>
      </c>
      <c r="C2057" s="67" t="inlineStr">
        <is>
          <t>1612</t>
        </is>
      </c>
      <c r="D2057" s="68" t="inlineStr">
        <is>
          <t>03</t>
        </is>
      </c>
      <c r="E2057" s="68" t="inlineStr">
        <is>
          <t>6 物业施工费</t>
        </is>
      </c>
      <c r="F2057" s="68" t="inlineStr">
        <is>
          <t>6.1 总承包工程</t>
        </is>
      </c>
      <c r="G2057" s="68" t="inlineStr">
        <is>
          <t>6.1.2 电气工程</t>
        </is>
      </c>
      <c r="H2057" s="68" t="inlineStr">
        <is>
          <t>厨房动力 (包含所有毛坯及辅材）</t>
        </is>
      </c>
      <c r="I2057" s="69" t="inlineStr">
        <is>
          <t>1000021868</t>
        </is>
      </c>
      <c r="J2057" s="69" t="inlineStr">
        <is>
          <t>接线盒---- 热水器</t>
        </is>
      </c>
      <c r="K2057" s="70" t="n"/>
      <c r="L2057" s="70" t="n"/>
      <c r="M2057" s="71" t="inlineStr">
        <is>
          <t>个</t>
        </is>
      </c>
      <c r="N2057" s="72" t="n">
        <v>1088.45</v>
      </c>
      <c r="O2057" s="72">
        <f>ROUND(N2057*(1+$F$10),2)</f>
        <v/>
      </c>
      <c r="P2057" s="73">
        <f>ROUND(K2057*N2057,2)</f>
        <v/>
      </c>
      <c r="Q2057" s="74">
        <f>ROUND(L2057*N2057,2)</f>
        <v/>
      </c>
      <c r="R2057" s="75" t="n"/>
      <c r="S2057" s="76" t="n"/>
      <c r="T2057" s="77">
        <f>K2057-L2057</f>
        <v/>
      </c>
      <c r="U2057" s="77">
        <f>P2057-Q2057</f>
        <v/>
      </c>
      <c r="V2057" s="77">
        <f>ABS(U2057)</f>
        <v/>
      </c>
      <c r="W2057" s="78">
        <f>T2057/L2057</f>
        <v/>
      </c>
      <c r="X2057" s="79">
        <f>ABS(W2057)</f>
        <v/>
      </c>
    </row>
    <row r="2058" ht="11.4" customHeight="1">
      <c r="A2058" s="67" t="inlineStr">
        <is>
          <t>大甜68</t>
        </is>
      </c>
      <c r="B2058" s="67" t="inlineStr">
        <is>
          <t>1066</t>
        </is>
      </c>
      <c r="C2058" s="67" t="inlineStr">
        <is>
          <t>1612</t>
        </is>
      </c>
      <c r="D2058" s="68" t="inlineStr">
        <is>
          <t>03</t>
        </is>
      </c>
      <c r="E2058" s="68" t="inlineStr">
        <is>
          <t>6 物业施工费</t>
        </is>
      </c>
      <c r="F2058" s="68" t="inlineStr">
        <is>
          <t>6.1 总承包工程</t>
        </is>
      </c>
      <c r="G2058" s="68" t="inlineStr">
        <is>
          <t>6.1.2 电气工程</t>
        </is>
      </c>
      <c r="H2058" s="68" t="inlineStr">
        <is>
          <t>厨房动力 (包含所有毛坯及辅材）</t>
        </is>
      </c>
      <c r="I2058" s="69" t="inlineStr">
        <is>
          <t>1000021869</t>
        </is>
      </c>
      <c r="J2058" s="69" t="inlineStr">
        <is>
          <t>接线盒 ---- 卡钟</t>
        </is>
      </c>
      <c r="K2058" s="70" t="n"/>
      <c r="L2058" s="70" t="n"/>
      <c r="M2058" s="71" t="inlineStr">
        <is>
          <t>个</t>
        </is>
      </c>
      <c r="N2058" s="72" t="n">
        <v>359.26</v>
      </c>
      <c r="O2058" s="72">
        <f>ROUND(N2058*(1+$F$10),2)</f>
        <v/>
      </c>
      <c r="P2058" s="73">
        <f>ROUND(K2058*N2058,2)</f>
        <v/>
      </c>
      <c r="Q2058" s="74">
        <f>ROUND(L2058*N2058,2)</f>
        <v/>
      </c>
      <c r="R2058" s="75" t="n"/>
      <c r="S2058" s="76" t="n"/>
      <c r="T2058" s="77">
        <f>K2058-L2058</f>
        <v/>
      </c>
      <c r="U2058" s="77">
        <f>P2058-Q2058</f>
        <v/>
      </c>
      <c r="V2058" s="77">
        <f>ABS(U2058)</f>
        <v/>
      </c>
      <c r="W2058" s="78">
        <f>T2058/L2058</f>
        <v/>
      </c>
      <c r="X2058" s="79">
        <f>ABS(W2058)</f>
        <v/>
      </c>
    </row>
    <row r="2059" ht="11.4" customHeight="1">
      <c r="A2059" s="67" t="inlineStr">
        <is>
          <t>大甜68</t>
        </is>
      </c>
      <c r="B2059" s="67" t="inlineStr">
        <is>
          <t>1066</t>
        </is>
      </c>
      <c r="C2059" s="67" t="inlineStr">
        <is>
          <t>1612</t>
        </is>
      </c>
      <c r="D2059" s="68" t="inlineStr">
        <is>
          <t>03</t>
        </is>
      </c>
      <c r="E2059" s="68" t="inlineStr">
        <is>
          <t>6 物业施工费</t>
        </is>
      </c>
      <c r="F2059" s="68" t="inlineStr">
        <is>
          <t>6.1 总承包工程</t>
        </is>
      </c>
      <c r="G2059" s="68" t="inlineStr">
        <is>
          <t>6.1.2 电气工程</t>
        </is>
      </c>
      <c r="H2059" s="68" t="inlineStr">
        <is>
          <t>厨房动力 (包含所有毛坯及辅材）</t>
        </is>
      </c>
      <c r="I2059" s="69" t="inlineStr">
        <is>
          <t>1000021870</t>
        </is>
      </c>
      <c r="J2059" s="69" t="inlineStr">
        <is>
          <t>接线盒 ---- 肉饼冰箱</t>
        </is>
      </c>
      <c r="K2059" s="70" t="n"/>
      <c r="L2059" s="70" t="n"/>
      <c r="M2059" s="71" t="inlineStr">
        <is>
          <t>个</t>
        </is>
      </c>
      <c r="N2059" s="72" t="n">
        <v>708.28</v>
      </c>
      <c r="O2059" s="72">
        <f>ROUND(N2059*(1+$F$10),2)</f>
        <v/>
      </c>
      <c r="P2059" s="73">
        <f>ROUND(K2059*N2059,2)</f>
        <v/>
      </c>
      <c r="Q2059" s="74">
        <f>ROUND(L2059*N2059,2)</f>
        <v/>
      </c>
      <c r="R2059" s="75" t="n"/>
      <c r="S2059" s="76" t="n"/>
      <c r="T2059" s="77">
        <f>K2059-L2059</f>
        <v/>
      </c>
      <c r="U2059" s="77">
        <f>P2059-Q2059</f>
        <v/>
      </c>
      <c r="V2059" s="77">
        <f>ABS(U2059)</f>
        <v/>
      </c>
      <c r="W2059" s="78">
        <f>T2059/L2059</f>
        <v/>
      </c>
      <c r="X2059" s="79">
        <f>ABS(W2059)</f>
        <v/>
      </c>
    </row>
    <row r="2060" ht="11.4" customHeight="1">
      <c r="A2060" s="67" t="inlineStr">
        <is>
          <t>大甜68</t>
        </is>
      </c>
      <c r="B2060" s="67" t="inlineStr">
        <is>
          <t>1066</t>
        </is>
      </c>
      <c r="C2060" s="67" t="inlineStr">
        <is>
          <t>1612</t>
        </is>
      </c>
      <c r="D2060" s="68" t="inlineStr">
        <is>
          <t>03</t>
        </is>
      </c>
      <c r="E2060" s="68" t="inlineStr">
        <is>
          <t>6 物业施工费</t>
        </is>
      </c>
      <c r="F2060" s="68" t="inlineStr">
        <is>
          <t>6.1 总承包工程</t>
        </is>
      </c>
      <c r="G2060" s="68" t="inlineStr">
        <is>
          <t>6.1.2 电气工程</t>
        </is>
      </c>
      <c r="H2060" s="68" t="inlineStr">
        <is>
          <t>厨房动力 (包含所有毛坯及辅材）</t>
        </is>
      </c>
      <c r="I2060" s="69" t="inlineStr">
        <is>
          <t>1000021871</t>
        </is>
      </c>
      <c r="J2060" s="69" t="inlineStr">
        <is>
          <t>接线盒 ---- 薯条灯</t>
        </is>
      </c>
      <c r="K2060" s="70" t="n"/>
      <c r="L2060" s="70" t="n"/>
      <c r="M2060" s="71" t="inlineStr">
        <is>
          <t>个</t>
        </is>
      </c>
      <c r="N2060" s="72" t="n">
        <v>535.04</v>
      </c>
      <c r="O2060" s="72">
        <f>ROUND(N2060*(1+$F$10),2)</f>
        <v/>
      </c>
      <c r="P2060" s="73">
        <f>ROUND(K2060*N2060,2)</f>
        <v/>
      </c>
      <c r="Q2060" s="74">
        <f>ROUND(L2060*N2060,2)</f>
        <v/>
      </c>
      <c r="R2060" s="75" t="n"/>
      <c r="S2060" s="76" t="n"/>
      <c r="T2060" s="77">
        <f>K2060-L2060</f>
        <v/>
      </c>
      <c r="U2060" s="77">
        <f>P2060-Q2060</f>
        <v/>
      </c>
      <c r="V2060" s="77">
        <f>ABS(U2060)</f>
        <v/>
      </c>
      <c r="W2060" s="78">
        <f>T2060/L2060</f>
        <v/>
      </c>
      <c r="X2060" s="79">
        <f>ABS(W2060)</f>
        <v/>
      </c>
    </row>
    <row r="2061" ht="11.4" customHeight="1">
      <c r="A2061" s="67" t="inlineStr">
        <is>
          <t>大甜68</t>
        </is>
      </c>
      <c r="B2061" s="67" t="inlineStr">
        <is>
          <t>1066</t>
        </is>
      </c>
      <c r="C2061" s="67" t="inlineStr">
        <is>
          <t>1612</t>
        </is>
      </c>
      <c r="D2061" s="68" t="inlineStr">
        <is>
          <t>03</t>
        </is>
      </c>
      <c r="E2061" s="68" t="inlineStr">
        <is>
          <t>6 物业施工费</t>
        </is>
      </c>
      <c r="F2061" s="68" t="inlineStr">
        <is>
          <t>6.1 总承包工程</t>
        </is>
      </c>
      <c r="G2061" s="68" t="inlineStr">
        <is>
          <t>6.1.2 电气工程</t>
        </is>
      </c>
      <c r="H2061" s="68" t="inlineStr">
        <is>
          <t>厨房动力 (包含所有毛坯及辅材）</t>
        </is>
      </c>
      <c r="I2061" s="69" t="inlineStr">
        <is>
          <t>1000021872</t>
        </is>
      </c>
      <c r="J2061" s="69" t="inlineStr">
        <is>
          <t>吊辫电源</t>
        </is>
      </c>
      <c r="K2061" s="70" t="n"/>
      <c r="L2061" s="70" t="n"/>
      <c r="M2061" s="71" t="inlineStr">
        <is>
          <t>个</t>
        </is>
      </c>
      <c r="N2061" s="72" t="n">
        <v>752.5</v>
      </c>
      <c r="O2061" s="72">
        <f>ROUND(N2061*(1+$F$10),2)</f>
        <v/>
      </c>
      <c r="P2061" s="73">
        <f>ROUND(K2061*N2061,2)</f>
        <v/>
      </c>
      <c r="Q2061" s="74">
        <f>ROUND(L2061*N2061,2)</f>
        <v/>
      </c>
      <c r="R2061" s="75" t="n"/>
      <c r="S2061" s="76" t="n"/>
      <c r="T2061" s="77">
        <f>K2061-L2061</f>
        <v/>
      </c>
      <c r="U2061" s="77">
        <f>P2061-Q2061</f>
        <v/>
      </c>
      <c r="V2061" s="77">
        <f>ABS(U2061)</f>
        <v/>
      </c>
      <c r="W2061" s="78">
        <f>T2061/L2061</f>
        <v/>
      </c>
      <c r="X2061" s="79">
        <f>ABS(W2061)</f>
        <v/>
      </c>
    </row>
    <row r="2062" ht="11.4" customHeight="1">
      <c r="A2062" s="67" t="inlineStr">
        <is>
          <t>大甜68</t>
        </is>
      </c>
      <c r="B2062" s="67" t="inlineStr">
        <is>
          <t>1066</t>
        </is>
      </c>
      <c r="C2062" s="67" t="inlineStr">
        <is>
          <t>1612</t>
        </is>
      </c>
      <c r="D2062" s="68" t="inlineStr">
        <is>
          <t>03</t>
        </is>
      </c>
      <c r="E2062" s="68" t="inlineStr">
        <is>
          <t>6 物业施工费</t>
        </is>
      </c>
      <c r="F2062" s="68" t="inlineStr">
        <is>
          <t>6.1 总承包工程</t>
        </is>
      </c>
      <c r="G2062" s="68" t="inlineStr">
        <is>
          <t>6.1.2 电气工程</t>
        </is>
      </c>
      <c r="H2062" s="68" t="inlineStr">
        <is>
          <t>厨房动力 (包含所有毛坯及辅材）</t>
        </is>
      </c>
      <c r="I2062" s="69" t="inlineStr">
        <is>
          <t>1000021873</t>
        </is>
      </c>
      <c r="J2062" s="69" t="inlineStr">
        <is>
          <t>100A三相电源 ---- 中央岛</t>
        </is>
      </c>
      <c r="K2062" s="70" t="n"/>
      <c r="L2062" s="70" t="n"/>
      <c r="M2062" s="71" t="inlineStr">
        <is>
          <t>个</t>
        </is>
      </c>
      <c r="N2062" s="72" t="n">
        <v>2692.88</v>
      </c>
      <c r="O2062" s="72">
        <f>ROUND(N2062*(1+$F$10),2)</f>
        <v/>
      </c>
      <c r="P2062" s="73">
        <f>ROUND(K2062*N2062,2)</f>
        <v/>
      </c>
      <c r="Q2062" s="74">
        <f>ROUND(L2062*N2062,2)</f>
        <v/>
      </c>
      <c r="R2062" s="75" t="n"/>
      <c r="S2062" s="76" t="n"/>
      <c r="T2062" s="77">
        <f>K2062-L2062</f>
        <v/>
      </c>
      <c r="U2062" s="77">
        <f>P2062-Q2062</f>
        <v/>
      </c>
      <c r="V2062" s="77">
        <f>ABS(U2062)</f>
        <v/>
      </c>
      <c r="W2062" s="78">
        <f>T2062/L2062</f>
        <v/>
      </c>
      <c r="X2062" s="79">
        <f>ABS(W2062)</f>
        <v/>
      </c>
    </row>
    <row r="2063" ht="11.4" customHeight="1">
      <c r="A2063" s="67" t="inlineStr">
        <is>
          <t>大甜68</t>
        </is>
      </c>
      <c r="B2063" s="67" t="inlineStr">
        <is>
          <t>1066</t>
        </is>
      </c>
      <c r="C2063" s="67" t="inlineStr">
        <is>
          <t>1612</t>
        </is>
      </c>
      <c r="D2063" s="68" t="inlineStr">
        <is>
          <t>03</t>
        </is>
      </c>
      <c r="E2063" s="68" t="inlineStr">
        <is>
          <t>6 物业施工费</t>
        </is>
      </c>
      <c r="F2063" s="68" t="inlineStr">
        <is>
          <t>6.1 总承包工程</t>
        </is>
      </c>
      <c r="G2063" s="68" t="inlineStr">
        <is>
          <t>6.1.2 电气工程</t>
        </is>
      </c>
      <c r="H2063" s="68" t="inlineStr">
        <is>
          <t>厨房动力 (包含所有毛坯及辅材）</t>
        </is>
      </c>
      <c r="I2063" s="69" t="inlineStr">
        <is>
          <t>1000021874</t>
        </is>
      </c>
      <c r="J2063" s="69" t="inlineStr">
        <is>
          <t>30A三相电源 ---- 煎炉/炸炉</t>
        </is>
      </c>
      <c r="K2063" s="70" t="n"/>
      <c r="L2063" s="70" t="n"/>
      <c r="M2063" s="71" t="inlineStr">
        <is>
          <t>个</t>
        </is>
      </c>
      <c r="N2063" s="72" t="n">
        <v>1626.1</v>
      </c>
      <c r="O2063" s="72">
        <f>ROUND(N2063*(1+$F$10),2)</f>
        <v/>
      </c>
      <c r="P2063" s="73">
        <f>ROUND(K2063*N2063,2)</f>
        <v/>
      </c>
      <c r="Q2063" s="74">
        <f>ROUND(L2063*N2063,2)</f>
        <v/>
      </c>
      <c r="R2063" s="75" t="n"/>
      <c r="S2063" s="76" t="n"/>
      <c r="T2063" s="77">
        <f>K2063-L2063</f>
        <v/>
      </c>
      <c r="U2063" s="77">
        <f>P2063-Q2063</f>
        <v/>
      </c>
      <c r="V2063" s="77">
        <f>ABS(U2063)</f>
        <v/>
      </c>
      <c r="W2063" s="78">
        <f>T2063/L2063</f>
        <v/>
      </c>
      <c r="X2063" s="79">
        <f>ABS(W2063)</f>
        <v/>
      </c>
    </row>
    <row r="2064" ht="11.4" customHeight="1">
      <c r="A2064" s="67" t="inlineStr">
        <is>
          <t>大甜68</t>
        </is>
      </c>
      <c r="B2064" s="67" t="inlineStr">
        <is>
          <t>1066</t>
        </is>
      </c>
      <c r="C2064" s="67" t="inlineStr">
        <is>
          <t>1612</t>
        </is>
      </c>
      <c r="D2064" s="68" t="inlineStr">
        <is>
          <t>03</t>
        </is>
      </c>
      <c r="E2064" s="68" t="inlineStr">
        <is>
          <t>6 物业施工费</t>
        </is>
      </c>
      <c r="F2064" s="68" t="inlineStr">
        <is>
          <t>6.1 总承包工程</t>
        </is>
      </c>
      <c r="G2064" s="68" t="inlineStr">
        <is>
          <t>6.1.2 电气工程</t>
        </is>
      </c>
      <c r="H2064" s="68" t="inlineStr">
        <is>
          <t>厨房动力 (包含所有毛坯及辅材）</t>
        </is>
      </c>
      <c r="I2064" s="69" t="inlineStr">
        <is>
          <t>1000021875</t>
        </is>
      </c>
      <c r="J2064" s="69" t="inlineStr">
        <is>
          <t>30A三相电源 ---- 薯条炉</t>
        </is>
      </c>
      <c r="K2064" s="70" t="n"/>
      <c r="L2064" s="70" t="n"/>
      <c r="M2064" s="71" t="inlineStr">
        <is>
          <t>个</t>
        </is>
      </c>
      <c r="N2064" s="72" t="n">
        <v>1626.1</v>
      </c>
      <c r="O2064" s="72">
        <f>ROUND(N2064*(1+$F$10),2)</f>
        <v/>
      </c>
      <c r="P2064" s="73">
        <f>ROUND(K2064*N2064,2)</f>
        <v/>
      </c>
      <c r="Q2064" s="74">
        <f>ROUND(L2064*N2064,2)</f>
        <v/>
      </c>
      <c r="R2064" s="75" t="n"/>
      <c r="S2064" s="76" t="n"/>
      <c r="T2064" s="77">
        <f>K2064-L2064</f>
        <v/>
      </c>
      <c r="U2064" s="77">
        <f>P2064-Q2064</f>
        <v/>
      </c>
      <c r="V2064" s="77">
        <f>ABS(U2064)</f>
        <v/>
      </c>
      <c r="W2064" s="78">
        <f>T2064/L2064</f>
        <v/>
      </c>
      <c r="X2064" s="79">
        <f>ABS(W2064)</f>
        <v/>
      </c>
    </row>
    <row r="2065" ht="11.4" customHeight="1">
      <c r="A2065" s="67" t="inlineStr">
        <is>
          <t>大甜68</t>
        </is>
      </c>
      <c r="B2065" s="67" t="inlineStr">
        <is>
          <t>1066</t>
        </is>
      </c>
      <c r="C2065" s="67" t="inlineStr">
        <is>
          <t>1612</t>
        </is>
      </c>
      <c r="D2065" s="68" t="inlineStr">
        <is>
          <t>03</t>
        </is>
      </c>
      <c r="E2065" s="68" t="inlineStr">
        <is>
          <t>6 物业施工费</t>
        </is>
      </c>
      <c r="F2065" s="68" t="inlineStr">
        <is>
          <t>6.1 总承包工程</t>
        </is>
      </c>
      <c r="G2065" s="68" t="inlineStr">
        <is>
          <t>6.1.2 电气工程</t>
        </is>
      </c>
      <c r="H2065" s="68" t="inlineStr">
        <is>
          <t>厨房动力 (包含所有毛坯及辅材）</t>
        </is>
      </c>
      <c r="I2065" s="69" t="inlineStr">
        <is>
          <t>1000021876</t>
        </is>
      </c>
      <c r="J2065" s="69" t="inlineStr">
        <is>
          <t>40A三相电源 ---- 冷藏库/冷冻库</t>
        </is>
      </c>
      <c r="K2065" s="70" t="n"/>
      <c r="L2065" s="70" t="n"/>
      <c r="M2065" s="71" t="inlineStr">
        <is>
          <t>个</t>
        </is>
      </c>
      <c r="N2065" s="72" t="n">
        <v>1632.71</v>
      </c>
      <c r="O2065" s="72">
        <f>ROUND(N2065*(1+$F$10),2)</f>
        <v/>
      </c>
      <c r="P2065" s="73">
        <f>ROUND(K2065*N2065,2)</f>
        <v/>
      </c>
      <c r="Q2065" s="74">
        <f>ROUND(L2065*N2065,2)</f>
        <v/>
      </c>
      <c r="R2065" s="75" t="n"/>
      <c r="S2065" s="76" t="n"/>
      <c r="T2065" s="77">
        <f>K2065-L2065</f>
        <v/>
      </c>
      <c r="U2065" s="77">
        <f>P2065-Q2065</f>
        <v/>
      </c>
      <c r="V2065" s="77">
        <f>ABS(U2065)</f>
        <v/>
      </c>
      <c r="W2065" s="78">
        <f>T2065/L2065</f>
        <v/>
      </c>
      <c r="X2065" s="79">
        <f>ABS(W2065)</f>
        <v/>
      </c>
    </row>
    <row r="2066" ht="11.4" customHeight="1">
      <c r="A2066" s="67" t="inlineStr">
        <is>
          <t>大甜68</t>
        </is>
      </c>
      <c r="B2066" s="67" t="inlineStr">
        <is>
          <t>1066</t>
        </is>
      </c>
      <c r="C2066" s="67" t="inlineStr">
        <is>
          <t>1612</t>
        </is>
      </c>
      <c r="D2066" s="68" t="inlineStr">
        <is>
          <t>03</t>
        </is>
      </c>
      <c r="E2066" s="68" t="inlineStr">
        <is>
          <t>6 物业施工费</t>
        </is>
      </c>
      <c r="F2066" s="68" t="inlineStr">
        <is>
          <t>6.1 总承包工程</t>
        </is>
      </c>
      <c r="G2066" s="68" t="inlineStr">
        <is>
          <t>6.1.2 电气工程</t>
        </is>
      </c>
      <c r="H2066" s="68" t="inlineStr">
        <is>
          <t>厨房动力 (包含所有毛坯及辅材）</t>
        </is>
      </c>
      <c r="I2066" s="69" t="inlineStr">
        <is>
          <t>1000021877</t>
        </is>
      </c>
      <c r="J2066" s="69" t="inlineStr">
        <is>
          <t>40A三相电源 ---- 调理台（前端）</t>
        </is>
      </c>
      <c r="K2066" s="70" t="n"/>
      <c r="L2066" s="70" t="n"/>
      <c r="M2066" s="71" t="inlineStr">
        <is>
          <t>个</t>
        </is>
      </c>
      <c r="N2066" s="72" t="n">
        <v>2782.08</v>
      </c>
      <c r="O2066" s="72">
        <f>ROUND(N2066*(1+$F$10),2)</f>
        <v/>
      </c>
      <c r="P2066" s="73">
        <f>ROUND(K2066*N2066,2)</f>
        <v/>
      </c>
      <c r="Q2066" s="74">
        <f>ROUND(L2066*N2066,2)</f>
        <v/>
      </c>
      <c r="R2066" s="75" t="n"/>
      <c r="S2066" s="76" t="n"/>
      <c r="T2066" s="77">
        <f>K2066-L2066</f>
        <v/>
      </c>
      <c r="U2066" s="77">
        <f>P2066-Q2066</f>
        <v/>
      </c>
      <c r="V2066" s="77">
        <f>ABS(U2066)</f>
        <v/>
      </c>
      <c r="W2066" s="78">
        <f>T2066/L2066</f>
        <v/>
      </c>
      <c r="X2066" s="79">
        <f>ABS(W2066)</f>
        <v/>
      </c>
    </row>
    <row r="2067" ht="11.4" customHeight="1">
      <c r="A2067" s="67" t="inlineStr">
        <is>
          <t>大甜68</t>
        </is>
      </c>
      <c r="B2067" s="67" t="inlineStr">
        <is>
          <t>1066</t>
        </is>
      </c>
      <c r="C2067" s="67" t="inlineStr">
        <is>
          <t>1612</t>
        </is>
      </c>
      <c r="D2067" s="68" t="inlineStr">
        <is>
          <t>03</t>
        </is>
      </c>
      <c r="E2067" s="68" t="inlineStr">
        <is>
          <t>6 物业施工费</t>
        </is>
      </c>
      <c r="F2067" s="68" t="inlineStr">
        <is>
          <t>6.1 总承包工程</t>
        </is>
      </c>
      <c r="G2067" s="68" t="inlineStr">
        <is>
          <t>6.1.2 电气工程</t>
        </is>
      </c>
      <c r="H2067" s="68" t="inlineStr">
        <is>
          <t>厨房动力 (包含所有毛坯及辅材）</t>
        </is>
      </c>
      <c r="I2067" s="69" t="inlineStr">
        <is>
          <t>1000021878</t>
        </is>
      </c>
      <c r="J2067" s="69" t="inlineStr">
        <is>
          <t>冷冻与冷藏库室外机电源</t>
        </is>
      </c>
      <c r="K2067" s="70" t="n"/>
      <c r="L2067" s="70" t="n"/>
      <c r="M2067" s="71" t="inlineStr">
        <is>
          <t>米</t>
        </is>
      </c>
      <c r="N2067" s="72" t="n">
        <v>34.6</v>
      </c>
      <c r="O2067" s="72">
        <f>ROUND(N2067*(1+$F$10),2)</f>
        <v/>
      </c>
      <c r="P2067" s="73">
        <f>ROUND(K2067*N2067,2)</f>
        <v/>
      </c>
      <c r="Q2067" s="74">
        <f>ROUND(L2067*N2067,2)</f>
        <v/>
      </c>
      <c r="R2067" s="75" t="n"/>
      <c r="S2067" s="76" t="n"/>
      <c r="T2067" s="77">
        <f>K2067-L2067</f>
        <v/>
      </c>
      <c r="U2067" s="77">
        <f>P2067-Q2067</f>
        <v/>
      </c>
      <c r="V2067" s="77">
        <f>ABS(U2067)</f>
        <v/>
      </c>
      <c r="W2067" s="78">
        <f>T2067/L2067</f>
        <v/>
      </c>
      <c r="X2067" s="79">
        <f>ABS(W2067)</f>
        <v/>
      </c>
    </row>
    <row r="2068" ht="11.4" customHeight="1">
      <c r="A2068" s="67" t="inlineStr">
        <is>
          <t>大甜68</t>
        </is>
      </c>
      <c r="B2068" s="67" t="inlineStr">
        <is>
          <t>1066</t>
        </is>
      </c>
      <c r="C2068" s="67" t="inlineStr">
        <is>
          <t>1612</t>
        </is>
      </c>
      <c r="D2068" s="68" t="inlineStr">
        <is>
          <t>03</t>
        </is>
      </c>
      <c r="E2068" s="68" t="inlineStr">
        <is>
          <t>6 物业施工费</t>
        </is>
      </c>
      <c r="F2068" s="68" t="inlineStr">
        <is>
          <t>6.1 总承包工程</t>
        </is>
      </c>
      <c r="G2068" s="68" t="inlineStr">
        <is>
          <t>6.1.2 电气工程</t>
        </is>
      </c>
      <c r="H2068" s="68" t="inlineStr">
        <is>
          <t>厨房动力 (包含所有毛坯及辅材）</t>
        </is>
      </c>
      <c r="I2068" s="69" t="inlineStr">
        <is>
          <t>1000021879</t>
        </is>
      </c>
      <c r="J2068" s="69" t="inlineStr">
        <is>
          <t>制冰机与汽水机室外机电源</t>
        </is>
      </c>
      <c r="K2068" s="70" t="n"/>
      <c r="L2068" s="70" t="n"/>
      <c r="M2068" s="71" t="inlineStr">
        <is>
          <t>米</t>
        </is>
      </c>
      <c r="N2068" s="72" t="n">
        <v>34.6</v>
      </c>
      <c r="O2068" s="72">
        <f>ROUND(N2068*(1+$F$10),2)</f>
        <v/>
      </c>
      <c r="P2068" s="73">
        <f>ROUND(K2068*N2068,2)</f>
        <v/>
      </c>
      <c r="Q2068" s="74">
        <f>ROUND(L2068*N2068,2)</f>
        <v/>
      </c>
      <c r="R2068" s="75" t="n"/>
      <c r="S2068" s="76" t="n"/>
      <c r="T2068" s="77">
        <f>K2068-L2068</f>
        <v/>
      </c>
      <c r="U2068" s="77">
        <f>P2068-Q2068</f>
        <v/>
      </c>
      <c r="V2068" s="77">
        <f>ABS(U2068)</f>
        <v/>
      </c>
      <c r="W2068" s="78">
        <f>T2068/L2068</f>
        <v/>
      </c>
      <c r="X2068" s="79">
        <f>ABS(W2068)</f>
        <v/>
      </c>
    </row>
    <row r="2069" ht="11.4" customHeight="1">
      <c r="A2069" s="67" t="inlineStr">
        <is>
          <t>大甜68</t>
        </is>
      </c>
      <c r="B2069" s="67" t="inlineStr">
        <is>
          <t>1066</t>
        </is>
      </c>
      <c r="C2069" s="67" t="inlineStr">
        <is>
          <t>1612</t>
        </is>
      </c>
      <c r="D2069" s="68" t="inlineStr">
        <is>
          <t>03</t>
        </is>
      </c>
      <c r="E2069" s="68" t="inlineStr">
        <is>
          <t>6 物业施工费</t>
        </is>
      </c>
      <c r="F2069" s="68" t="inlineStr">
        <is>
          <t>6.1 总承包工程</t>
        </is>
      </c>
      <c r="G2069" s="68" t="inlineStr">
        <is>
          <t>6.1.2 电气工程</t>
        </is>
      </c>
      <c r="H2069" s="68" t="inlineStr">
        <is>
          <t>厨房动力 (包含所有毛坯及辅材）</t>
        </is>
      </c>
      <c r="I2069" s="69" t="inlineStr">
        <is>
          <t>1000021880</t>
        </is>
      </c>
      <c r="J2069" s="69" t="inlineStr">
        <is>
          <t>传送带电源</t>
        </is>
      </c>
      <c r="K2069" s="70" t="n"/>
      <c r="L2069" s="70" t="n"/>
      <c r="M2069" s="71" t="inlineStr">
        <is>
          <t>个</t>
        </is>
      </c>
      <c r="N2069" s="72" t="n">
        <v>711.58</v>
      </c>
      <c r="O2069" s="72">
        <f>ROUND(N2069*(1+$F$10),2)</f>
        <v/>
      </c>
      <c r="P2069" s="73">
        <f>ROUND(K2069*N2069,2)</f>
        <v/>
      </c>
      <c r="Q2069" s="74">
        <f>ROUND(L2069*N2069,2)</f>
        <v/>
      </c>
      <c r="R2069" s="75" t="n"/>
      <c r="S2069" s="76" t="n"/>
      <c r="T2069" s="77">
        <f>K2069-L2069</f>
        <v/>
      </c>
      <c r="U2069" s="77">
        <f>P2069-Q2069</f>
        <v/>
      </c>
      <c r="V2069" s="77">
        <f>ABS(U2069)</f>
        <v/>
      </c>
      <c r="W2069" s="78">
        <f>T2069/L2069</f>
        <v/>
      </c>
      <c r="X2069" s="79">
        <f>ABS(W2069)</f>
        <v/>
      </c>
    </row>
    <row r="2070" ht="11.4" customHeight="1">
      <c r="A2070" s="67" t="inlineStr">
        <is>
          <t>大甜68</t>
        </is>
      </c>
      <c r="B2070" s="67" t="inlineStr">
        <is>
          <t>1066</t>
        </is>
      </c>
      <c r="C2070" s="67" t="inlineStr">
        <is>
          <t>1612</t>
        </is>
      </c>
      <c r="D2070" s="68" t="inlineStr">
        <is>
          <t>03</t>
        </is>
      </c>
      <c r="E2070" s="68" t="inlineStr">
        <is>
          <t>6 物业施工费</t>
        </is>
      </c>
      <c r="F2070" s="68" t="inlineStr">
        <is>
          <t>6.1 总承包工程</t>
        </is>
      </c>
      <c r="G2070" s="68" t="inlineStr">
        <is>
          <t>6.1.2 电气工程</t>
        </is>
      </c>
      <c r="H2070" s="68" t="inlineStr">
        <is>
          <t>厨房动力 (包含所有毛坯及辅材）</t>
        </is>
      </c>
      <c r="I2070" s="69" t="inlineStr">
        <is>
          <t>1000021881</t>
        </is>
      </c>
      <c r="J2070" s="69" t="inlineStr">
        <is>
          <t>厨房大菜牌电源</t>
        </is>
      </c>
      <c r="K2070" s="70" t="n"/>
      <c r="L2070" s="70" t="n"/>
      <c r="M2070" s="71" t="inlineStr">
        <is>
          <t>个</t>
        </is>
      </c>
      <c r="N2070" s="72" t="n">
        <v>560.34</v>
      </c>
      <c r="O2070" s="72">
        <f>ROUND(N2070*(1+$F$10),2)</f>
        <v/>
      </c>
      <c r="P2070" s="73">
        <f>ROUND(K2070*N2070,2)</f>
        <v/>
      </c>
      <c r="Q2070" s="74">
        <f>ROUND(L2070*N2070,2)</f>
        <v/>
      </c>
      <c r="R2070" s="75" t="n"/>
      <c r="S2070" s="76" t="n"/>
      <c r="T2070" s="77">
        <f>K2070-L2070</f>
        <v/>
      </c>
      <c r="U2070" s="77">
        <f>P2070-Q2070</f>
        <v/>
      </c>
      <c r="V2070" s="77">
        <f>ABS(U2070)</f>
        <v/>
      </c>
      <c r="W2070" s="78">
        <f>T2070/L2070</f>
        <v/>
      </c>
      <c r="X2070" s="79">
        <f>ABS(W2070)</f>
        <v/>
      </c>
    </row>
    <row r="2071" ht="11.4" customHeight="1">
      <c r="A2071" s="67" t="inlineStr">
        <is>
          <t>大甜68</t>
        </is>
      </c>
      <c r="B2071" s="67" t="inlineStr">
        <is>
          <t>1066</t>
        </is>
      </c>
      <c r="C2071" s="67" t="inlineStr">
        <is>
          <t>1612</t>
        </is>
      </c>
      <c r="D2071" s="68" t="inlineStr">
        <is>
          <t>03</t>
        </is>
      </c>
      <c r="E2071" s="68" t="inlineStr">
        <is>
          <t>6 物业施工费</t>
        </is>
      </c>
      <c r="F2071" s="68" t="inlineStr">
        <is>
          <t>6.1 总承包工程</t>
        </is>
      </c>
      <c r="G2071" s="68" t="inlineStr">
        <is>
          <t>6.1.2 电气工程</t>
        </is>
      </c>
      <c r="H2071" s="68" t="inlineStr">
        <is>
          <t>厨房动力 (包含所有毛坯及辅材）</t>
        </is>
      </c>
      <c r="I2071" s="69" t="inlineStr">
        <is>
          <t>1000045088</t>
        </is>
      </c>
      <c r="J2071" s="69" t="inlineStr">
        <is>
          <t>洗碗机电源（含元配件等）</t>
        </is>
      </c>
      <c r="K2071" s="70" t="n"/>
      <c r="L2071" s="70" t="n"/>
      <c r="M2071" s="71" t="inlineStr">
        <is>
          <t>套</t>
        </is>
      </c>
      <c r="N2071" s="72" t="n">
        <v>1550.45</v>
      </c>
      <c r="O2071" s="72">
        <f>ROUND(N2071*(1+$F$10),2)</f>
        <v/>
      </c>
      <c r="P2071" s="73">
        <f>ROUND(K2071*N2071,2)</f>
        <v/>
      </c>
      <c r="Q2071" s="74">
        <f>ROUND(L2071*N2071,2)</f>
        <v/>
      </c>
      <c r="R2071" s="75" t="n"/>
      <c r="S2071" s="76" t="n"/>
      <c r="T2071" s="77">
        <f>K2071-L2071</f>
        <v/>
      </c>
      <c r="U2071" s="77">
        <f>P2071-Q2071</f>
        <v/>
      </c>
      <c r="V2071" s="77">
        <f>ABS(U2071)</f>
        <v/>
      </c>
      <c r="W2071" s="78">
        <f>T2071/L2071</f>
        <v/>
      </c>
      <c r="X2071" s="79">
        <f>ABS(W2071)</f>
        <v/>
      </c>
    </row>
    <row r="2072" ht="11.4" customHeight="1">
      <c r="A2072" s="67" t="inlineStr">
        <is>
          <t>大甜68</t>
        </is>
      </c>
      <c r="B2072" s="67" t="inlineStr">
        <is>
          <t>1066</t>
        </is>
      </c>
      <c r="C2072" s="67" t="inlineStr">
        <is>
          <t>1612</t>
        </is>
      </c>
      <c r="D2072" s="68" t="inlineStr">
        <is>
          <t>03</t>
        </is>
      </c>
      <c r="E2072" s="68" t="inlineStr">
        <is>
          <t>6 物业施工费</t>
        </is>
      </c>
      <c r="F2072" s="68" t="inlineStr">
        <is>
          <t>6.1 总承包工程</t>
        </is>
      </c>
      <c r="G2072" s="68" t="inlineStr">
        <is>
          <t>6.1.2 电气工程</t>
        </is>
      </c>
      <c r="H2072" s="68" t="inlineStr">
        <is>
          <t>厨房动力 (包含所有毛坯及辅材）</t>
        </is>
      </c>
      <c r="I2072" s="69" t="inlineStr">
        <is>
          <t>1000051718</t>
        </is>
      </c>
      <c r="J2072" s="69" t="inlineStr">
        <is>
          <t>咖啡机电源（含元配件等）</t>
        </is>
      </c>
      <c r="K2072" s="70" t="n"/>
      <c r="L2072" s="70" t="n"/>
      <c r="M2072" s="71" t="inlineStr">
        <is>
          <t>套</t>
        </is>
      </c>
      <c r="N2072" s="72" t="n">
        <v>1330.45</v>
      </c>
      <c r="O2072" s="72">
        <f>ROUND(N2072*(1+$F$10),2)</f>
        <v/>
      </c>
      <c r="P2072" s="73">
        <f>ROUND(K2072*N2072,2)</f>
        <v/>
      </c>
      <c r="Q2072" s="74">
        <f>ROUND(L2072*N2072,2)</f>
        <v/>
      </c>
      <c r="R2072" s="75" t="n"/>
      <c r="S2072" s="76" t="n"/>
      <c r="T2072" s="77">
        <f>K2072-L2072</f>
        <v/>
      </c>
      <c r="U2072" s="77">
        <f>P2072-Q2072</f>
        <v/>
      </c>
      <c r="V2072" s="77">
        <f>ABS(U2072)</f>
        <v/>
      </c>
      <c r="W2072" s="78">
        <f>T2072/L2072</f>
        <v/>
      </c>
      <c r="X2072" s="79">
        <f>ABS(W2072)</f>
        <v/>
      </c>
    </row>
    <row r="2073" ht="11.4" customHeight="1">
      <c r="A2073" s="67" t="inlineStr">
        <is>
          <t>大甜68</t>
        </is>
      </c>
      <c r="B2073" s="67" t="inlineStr">
        <is>
          <t>1066</t>
        </is>
      </c>
      <c r="C2073" s="67" t="inlineStr">
        <is>
          <t>1612</t>
        </is>
      </c>
      <c r="D2073" s="68" t="inlineStr">
        <is>
          <t>03</t>
        </is>
      </c>
      <c r="E2073" s="68" t="inlineStr">
        <is>
          <t>6 物业施工费</t>
        </is>
      </c>
      <c r="F2073" s="68" t="inlineStr">
        <is>
          <t>6.1 总承包工程</t>
        </is>
      </c>
      <c r="G2073" s="68" t="inlineStr">
        <is>
          <t>6.1.2 电气工程</t>
        </is>
      </c>
      <c r="H2073" s="68" t="inlineStr">
        <is>
          <t>厨房动力 (包含所有毛坯及辅材）</t>
        </is>
      </c>
      <c r="I2073" s="69" t="inlineStr">
        <is>
          <t>1000085720</t>
        </is>
      </c>
      <c r="J2073" s="69" t="inlineStr">
        <is>
          <t>万能烤箱电源</t>
        </is>
      </c>
      <c r="K2073" s="70" t="n"/>
      <c r="L2073" s="70" t="n"/>
      <c r="M2073" s="71" t="inlineStr">
        <is>
          <t>组</t>
        </is>
      </c>
      <c r="N2073" s="72" t="n">
        <v>1736.1</v>
      </c>
      <c r="O2073" s="72">
        <f>ROUND(N2073*(1+$F$10),2)</f>
        <v/>
      </c>
      <c r="P2073" s="73">
        <f>ROUND(K2073*N2073,2)</f>
        <v/>
      </c>
      <c r="Q2073" s="74">
        <f>ROUND(L2073*N2073,2)</f>
        <v/>
      </c>
      <c r="R2073" s="75" t="n"/>
      <c r="S2073" s="76" t="n"/>
      <c r="T2073" s="77">
        <f>K2073-L2073</f>
        <v/>
      </c>
      <c r="U2073" s="77">
        <f>P2073-Q2073</f>
        <v/>
      </c>
      <c r="V2073" s="77">
        <f>ABS(U2073)</f>
        <v/>
      </c>
      <c r="W2073" s="78">
        <f>T2073/L2073</f>
        <v/>
      </c>
      <c r="X2073" s="79">
        <f>ABS(W2073)</f>
        <v/>
      </c>
    </row>
    <row r="2074" ht="11.4" customHeight="1">
      <c r="A2074" s="67" t="inlineStr">
        <is>
          <t>大甜68</t>
        </is>
      </c>
      <c r="B2074" s="67" t="inlineStr">
        <is>
          <t>1066</t>
        </is>
      </c>
      <c r="C2074" s="67" t="inlineStr">
        <is>
          <t>1612</t>
        </is>
      </c>
      <c r="D2074" s="68" t="inlineStr">
        <is>
          <t>03</t>
        </is>
      </c>
      <c r="E2074" s="68" t="inlineStr">
        <is>
          <t>6 物业施工费</t>
        </is>
      </c>
      <c r="F2074" s="68" t="inlineStr">
        <is>
          <t>6.1 总承包工程</t>
        </is>
      </c>
      <c r="G2074" s="68" t="inlineStr">
        <is>
          <t>6.1.2 电气工程</t>
        </is>
      </c>
      <c r="H2074" s="68" t="inlineStr">
        <is>
          <t>厨房弱电管线</t>
        </is>
      </c>
      <c r="I2074" s="69" t="inlineStr">
        <is>
          <t>1000021882</t>
        </is>
      </c>
      <c r="J2074" s="69" t="inlineStr">
        <is>
          <t>电话、电脑网络管线</t>
        </is>
      </c>
      <c r="K2074" s="70" t="n"/>
      <c r="L2074" s="70" t="n"/>
      <c r="M2074" s="71" t="inlineStr">
        <is>
          <t>项</t>
        </is>
      </c>
      <c r="N2074" s="72" t="n">
        <v>836.3099999999999</v>
      </c>
      <c r="O2074" s="72">
        <f>ROUND(N2074*(1+$F$10),2)</f>
        <v/>
      </c>
      <c r="P2074" s="73">
        <f>ROUND(K2074*N2074,2)</f>
        <v/>
      </c>
      <c r="Q2074" s="74">
        <f>ROUND(L2074*N2074,2)</f>
        <v/>
      </c>
      <c r="R2074" s="75" t="n"/>
      <c r="S2074" s="76" t="n"/>
      <c r="T2074" s="77">
        <f>K2074-L2074</f>
        <v/>
      </c>
      <c r="U2074" s="77">
        <f>P2074-Q2074</f>
        <v/>
      </c>
      <c r="V2074" s="77">
        <f>ABS(U2074)</f>
        <v/>
      </c>
      <c r="W2074" s="78">
        <f>T2074/L2074</f>
        <v/>
      </c>
      <c r="X2074" s="79">
        <f>ABS(W2074)</f>
        <v/>
      </c>
    </row>
    <row r="2075" ht="11.4" customHeight="1">
      <c r="A2075" s="67" t="inlineStr">
        <is>
          <t>大甜68</t>
        </is>
      </c>
      <c r="B2075" s="67" t="inlineStr">
        <is>
          <t>1066</t>
        </is>
      </c>
      <c r="C2075" s="67" t="inlineStr">
        <is>
          <t>1612</t>
        </is>
      </c>
      <c r="D2075" s="68" t="inlineStr">
        <is>
          <t>03</t>
        </is>
      </c>
      <c r="E2075" s="68" t="inlineStr">
        <is>
          <t>6 物业施工费</t>
        </is>
      </c>
      <c r="F2075" s="68" t="inlineStr">
        <is>
          <t>6.1 总承包工程</t>
        </is>
      </c>
      <c r="G2075" s="68" t="inlineStr">
        <is>
          <t>6.1.2 电气工程</t>
        </is>
      </c>
      <c r="H2075" s="68" t="inlineStr">
        <is>
          <t>厨房弱电管线</t>
        </is>
      </c>
      <c r="I2075" s="69" t="inlineStr">
        <is>
          <t>1000021883</t>
        </is>
      </c>
      <c r="J2075" s="69" t="inlineStr">
        <is>
          <t>CCU弱电管包括KVS系统管线</t>
        </is>
      </c>
      <c r="K2075" s="70" t="n"/>
      <c r="L2075" s="70" t="n"/>
      <c r="M2075" s="71" t="inlineStr">
        <is>
          <t>项</t>
        </is>
      </c>
      <c r="N2075" s="72" t="n">
        <v>3391.6</v>
      </c>
      <c r="O2075" s="72">
        <f>ROUND(N2075*(1+$F$10),2)</f>
        <v/>
      </c>
      <c r="P2075" s="73">
        <f>ROUND(K2075*N2075,2)</f>
        <v/>
      </c>
      <c r="Q2075" s="74">
        <f>ROUND(L2075*N2075,2)</f>
        <v/>
      </c>
      <c r="R2075" s="75" t="n"/>
      <c r="S2075" s="76" t="n"/>
      <c r="T2075" s="77">
        <f>K2075-L2075</f>
        <v/>
      </c>
      <c r="U2075" s="77">
        <f>P2075-Q2075</f>
        <v/>
      </c>
      <c r="V2075" s="77">
        <f>ABS(U2075)</f>
        <v/>
      </c>
      <c r="W2075" s="78">
        <f>T2075/L2075</f>
        <v/>
      </c>
      <c r="X2075" s="79">
        <f>ABS(W2075)</f>
        <v/>
      </c>
    </row>
    <row r="2076" ht="11.4" customHeight="1">
      <c r="A2076" s="67" t="inlineStr">
        <is>
          <t>大甜68</t>
        </is>
      </c>
      <c r="B2076" s="67" t="inlineStr">
        <is>
          <t>1066</t>
        </is>
      </c>
      <c r="C2076" s="67" t="inlineStr">
        <is>
          <t>1612</t>
        </is>
      </c>
      <c r="D2076" s="68" t="inlineStr">
        <is>
          <t>03</t>
        </is>
      </c>
      <c r="E2076" s="68" t="inlineStr">
        <is>
          <t>6 物业施工费</t>
        </is>
      </c>
      <c r="F2076" s="68" t="inlineStr">
        <is>
          <t>6.1 总承包工程</t>
        </is>
      </c>
      <c r="G2076" s="68" t="inlineStr">
        <is>
          <t>6.1.2 电气工程</t>
        </is>
      </c>
      <c r="H2076" s="68" t="inlineStr">
        <is>
          <t>厨房弱电管线</t>
        </is>
      </c>
      <c r="I2076" s="69" t="inlineStr">
        <is>
          <t>1000021884</t>
        </is>
      </c>
      <c r="J2076" s="69" t="inlineStr">
        <is>
          <t>KVS设备安装配合</t>
        </is>
      </c>
      <c r="K2076" s="70" t="n"/>
      <c r="L2076" s="70" t="n"/>
      <c r="M2076" s="71" t="inlineStr">
        <is>
          <t>项</t>
        </is>
      </c>
      <c r="N2076" s="72" t="n">
        <v>2028.7</v>
      </c>
      <c r="O2076" s="72">
        <f>ROUND(N2076*(1+$F$10),2)</f>
        <v/>
      </c>
      <c r="P2076" s="73">
        <f>ROUND(K2076*N2076,2)</f>
        <v/>
      </c>
      <c r="Q2076" s="74">
        <f>ROUND(L2076*N2076,2)</f>
        <v/>
      </c>
      <c r="R2076" s="75" t="n"/>
      <c r="S2076" s="76" t="n"/>
      <c r="T2076" s="77">
        <f>K2076-L2076</f>
        <v/>
      </c>
      <c r="U2076" s="77">
        <f>P2076-Q2076</f>
        <v/>
      </c>
      <c r="V2076" s="77">
        <f>ABS(U2076)</f>
        <v/>
      </c>
      <c r="W2076" s="78">
        <f>T2076/L2076</f>
        <v/>
      </c>
      <c r="X2076" s="79">
        <f>ABS(W2076)</f>
        <v/>
      </c>
    </row>
    <row r="2077" ht="11.4" customHeight="1">
      <c r="A2077" s="67" t="inlineStr">
        <is>
          <t>大甜68</t>
        </is>
      </c>
      <c r="B2077" s="67" t="inlineStr">
        <is>
          <t>1066</t>
        </is>
      </c>
      <c r="C2077" s="67" t="inlineStr">
        <is>
          <t>1612</t>
        </is>
      </c>
      <c r="D2077" s="68" t="inlineStr">
        <is>
          <t>03</t>
        </is>
      </c>
      <c r="E2077" s="68" t="inlineStr">
        <is>
          <t>6 物业施工费</t>
        </is>
      </c>
      <c r="F2077" s="68" t="inlineStr">
        <is>
          <t>6.1 总承包工程</t>
        </is>
      </c>
      <c r="G2077" s="68" t="inlineStr">
        <is>
          <t>6.1.2 电气工程</t>
        </is>
      </c>
      <c r="H2077" s="68" t="inlineStr">
        <is>
          <t>厨房弱电管线</t>
        </is>
      </c>
      <c r="I2077" s="69" t="inlineStr">
        <is>
          <t>1000021885</t>
        </is>
      </c>
      <c r="J2077" s="69" t="inlineStr">
        <is>
          <t>110管线</t>
        </is>
      </c>
      <c r="K2077" s="70" t="n"/>
      <c r="L2077" s="70" t="n"/>
      <c r="M2077" s="71" t="inlineStr">
        <is>
          <t>项</t>
        </is>
      </c>
      <c r="N2077" s="72" t="n">
        <v>1781.2</v>
      </c>
      <c r="O2077" s="72">
        <f>ROUND(N2077*(1+$F$10),2)</f>
        <v/>
      </c>
      <c r="P2077" s="73">
        <f>ROUND(K2077*N2077,2)</f>
        <v/>
      </c>
      <c r="Q2077" s="74">
        <f>ROUND(L2077*N2077,2)</f>
        <v/>
      </c>
      <c r="R2077" s="75" t="n"/>
      <c r="S2077" s="76" t="n"/>
      <c r="T2077" s="77">
        <f>K2077-L2077</f>
        <v/>
      </c>
      <c r="U2077" s="77">
        <f>P2077-Q2077</f>
        <v/>
      </c>
      <c r="V2077" s="77">
        <f>ABS(U2077)</f>
        <v/>
      </c>
      <c r="W2077" s="78">
        <f>T2077/L2077</f>
        <v/>
      </c>
      <c r="X2077" s="79">
        <f>ABS(W2077)</f>
        <v/>
      </c>
    </row>
    <row r="2078" ht="11.4" customHeight="1">
      <c r="A2078" s="67" t="inlineStr">
        <is>
          <t>大甜68</t>
        </is>
      </c>
      <c r="B2078" s="67" t="inlineStr">
        <is>
          <t>1066</t>
        </is>
      </c>
      <c r="C2078" s="67" t="inlineStr">
        <is>
          <t>1612</t>
        </is>
      </c>
      <c r="D2078" s="68" t="inlineStr">
        <is>
          <t>03</t>
        </is>
      </c>
      <c r="E2078" s="68" t="inlineStr">
        <is>
          <t>6 物业施工费</t>
        </is>
      </c>
      <c r="F2078" s="68" t="inlineStr">
        <is>
          <t>6.1 总承包工程</t>
        </is>
      </c>
      <c r="G2078" s="68" t="inlineStr">
        <is>
          <t>6.1.2 电气工程</t>
        </is>
      </c>
      <c r="H2078" s="68" t="inlineStr">
        <is>
          <t>厨房弱电管线</t>
        </is>
      </c>
      <c r="I2078" s="69" t="inlineStr">
        <is>
          <t>1000021886</t>
        </is>
      </c>
      <c r="J2078" s="69" t="inlineStr">
        <is>
          <t>UPS电源</t>
        </is>
      </c>
      <c r="K2078" s="70" t="n"/>
      <c r="L2078" s="70" t="n"/>
      <c r="M2078" s="71" t="inlineStr">
        <is>
          <t>项</t>
        </is>
      </c>
      <c r="N2078" s="72" t="n">
        <v>406.45</v>
      </c>
      <c r="O2078" s="72">
        <f>ROUND(N2078*(1+$F$10),2)</f>
        <v/>
      </c>
      <c r="P2078" s="73">
        <f>ROUND(K2078*N2078,2)</f>
        <v/>
      </c>
      <c r="Q2078" s="74">
        <f>ROUND(L2078*N2078,2)</f>
        <v/>
      </c>
      <c r="R2078" s="75" t="n"/>
      <c r="S2078" s="76" t="n"/>
      <c r="T2078" s="77">
        <f>K2078-L2078</f>
        <v/>
      </c>
      <c r="U2078" s="77">
        <f>P2078-Q2078</f>
        <v/>
      </c>
      <c r="V2078" s="77">
        <f>ABS(U2078)</f>
        <v/>
      </c>
      <c r="W2078" s="78">
        <f>T2078/L2078</f>
        <v/>
      </c>
      <c r="X2078" s="79">
        <f>ABS(W2078)</f>
        <v/>
      </c>
    </row>
    <row r="2079" ht="11.4" customHeight="1">
      <c r="A2079" s="67" t="inlineStr">
        <is>
          <t>大甜68</t>
        </is>
      </c>
      <c r="B2079" s="67" t="inlineStr">
        <is>
          <t>1066</t>
        </is>
      </c>
      <c r="C2079" s="67" t="inlineStr">
        <is>
          <t>1612</t>
        </is>
      </c>
      <c r="D2079" s="68" t="inlineStr">
        <is>
          <t>03</t>
        </is>
      </c>
      <c r="E2079" s="68" t="inlineStr">
        <is>
          <t>6 物业施工费</t>
        </is>
      </c>
      <c r="F2079" s="68" t="inlineStr">
        <is>
          <t>6.1 总承包工程</t>
        </is>
      </c>
      <c r="G2079" s="68" t="inlineStr">
        <is>
          <t>6.1.2 电气工程</t>
        </is>
      </c>
      <c r="H2079" s="68" t="inlineStr">
        <is>
          <t>厨房弱电管线</t>
        </is>
      </c>
      <c r="I2079" s="69" t="inlineStr">
        <is>
          <t>1000021887</t>
        </is>
      </c>
      <c r="J2079" s="69" t="inlineStr">
        <is>
          <t>收银台POS机布线</t>
        </is>
      </c>
      <c r="K2079" s="70" t="n"/>
      <c r="L2079" s="70" t="n"/>
      <c r="M2079" s="71" t="inlineStr">
        <is>
          <t>项</t>
        </is>
      </c>
      <c r="N2079" s="72" t="n">
        <v>835.76</v>
      </c>
      <c r="O2079" s="72">
        <f>ROUND(N2079*(1+$F$10),2)</f>
        <v/>
      </c>
      <c r="P2079" s="73">
        <f>ROUND(K2079*N2079,2)</f>
        <v/>
      </c>
      <c r="Q2079" s="74">
        <f>ROUND(L2079*N2079,2)</f>
        <v/>
      </c>
      <c r="R2079" s="75" t="n"/>
      <c r="S2079" s="76" t="n"/>
      <c r="T2079" s="77">
        <f>K2079-L2079</f>
        <v/>
      </c>
      <c r="U2079" s="77">
        <f>P2079-Q2079</f>
        <v/>
      </c>
      <c r="V2079" s="77">
        <f>ABS(U2079)</f>
        <v/>
      </c>
      <c r="W2079" s="78">
        <f>T2079/L2079</f>
        <v/>
      </c>
      <c r="X2079" s="79">
        <f>ABS(W2079)</f>
        <v/>
      </c>
    </row>
    <row r="2080" ht="11.4" customHeight="1">
      <c r="A2080" s="67" t="inlineStr">
        <is>
          <t>大甜68</t>
        </is>
      </c>
      <c r="B2080" s="67" t="inlineStr">
        <is>
          <t>1066</t>
        </is>
      </c>
      <c r="C2080" s="67" t="inlineStr">
        <is>
          <t>1612</t>
        </is>
      </c>
      <c r="D2080" s="68" t="inlineStr">
        <is>
          <t>03</t>
        </is>
      </c>
      <c r="E2080" s="68" t="inlineStr">
        <is>
          <t>6 物业施工费</t>
        </is>
      </c>
      <c r="F2080" s="68" t="inlineStr">
        <is>
          <t>6.1 总承包工程</t>
        </is>
      </c>
      <c r="G2080" s="68" t="inlineStr">
        <is>
          <t>6.1.2 电气工程</t>
        </is>
      </c>
      <c r="H2080" s="68" t="inlineStr">
        <is>
          <t>厨房弱电管线</t>
        </is>
      </c>
      <c r="I2080" s="69" t="inlineStr">
        <is>
          <t>1000022171</t>
        </is>
      </c>
      <c r="J2080" s="69" t="inlineStr">
        <is>
          <t>CCTV闭路监控系统（含传送带监控）布线</t>
        </is>
      </c>
      <c r="K2080" s="70" t="n"/>
      <c r="L2080" s="70" t="n"/>
      <c r="M2080" s="71" t="inlineStr">
        <is>
          <t>项</t>
        </is>
      </c>
      <c r="N2080" s="72" t="n">
        <v>846.76</v>
      </c>
      <c r="O2080" s="72">
        <f>ROUND(N2080*(1+$F$10),2)</f>
        <v/>
      </c>
      <c r="P2080" s="73">
        <f>ROUND(K2080*N2080,2)</f>
        <v/>
      </c>
      <c r="Q2080" s="74">
        <f>ROUND(L2080*N2080,2)</f>
        <v/>
      </c>
      <c r="R2080" s="75" t="n"/>
      <c r="S2080" s="76" t="n"/>
      <c r="T2080" s="77">
        <f>K2080-L2080</f>
        <v/>
      </c>
      <c r="U2080" s="77">
        <f>P2080-Q2080</f>
        <v/>
      </c>
      <c r="V2080" s="77">
        <f>ABS(U2080)</f>
        <v/>
      </c>
      <c r="W2080" s="78">
        <f>T2080/L2080</f>
        <v/>
      </c>
      <c r="X2080" s="79">
        <f>ABS(W2080)</f>
        <v/>
      </c>
    </row>
    <row r="2081" ht="11.4" customHeight="1">
      <c r="A2081" s="67" t="inlineStr">
        <is>
          <t>大甜68</t>
        </is>
      </c>
      <c r="B2081" s="67" t="inlineStr">
        <is>
          <t>1066</t>
        </is>
      </c>
      <c r="C2081" s="67" t="inlineStr">
        <is>
          <t>1612</t>
        </is>
      </c>
      <c r="D2081" s="68" t="inlineStr">
        <is>
          <t>03</t>
        </is>
      </c>
      <c r="E2081" s="68" t="inlineStr">
        <is>
          <t>6 物业施工费</t>
        </is>
      </c>
      <c r="F2081" s="68" t="inlineStr">
        <is>
          <t>6.1 总承包工程</t>
        </is>
      </c>
      <c r="G2081" s="68" t="inlineStr">
        <is>
          <t>6.1.2 电气工程</t>
        </is>
      </c>
      <c r="H2081" s="68" t="inlineStr">
        <is>
          <t>厨房弱电管线</t>
        </is>
      </c>
      <c r="I2081" s="69" t="inlineStr">
        <is>
          <t>1000021888</t>
        </is>
      </c>
      <c r="J2081" s="69" t="inlineStr">
        <is>
          <t>员休室电脑一体机布线</t>
        </is>
      </c>
      <c r="K2081" s="70" t="n"/>
      <c r="L2081" s="70" t="n"/>
      <c r="M2081" s="71" t="inlineStr">
        <is>
          <t>项</t>
        </is>
      </c>
      <c r="N2081" s="72" t="n">
        <v>836.3099999999999</v>
      </c>
      <c r="O2081" s="72">
        <f>ROUND(N2081*(1+$F$10),2)</f>
        <v/>
      </c>
      <c r="P2081" s="73">
        <f>ROUND(K2081*N2081,2)</f>
        <v/>
      </c>
      <c r="Q2081" s="74">
        <f>ROUND(L2081*N2081,2)</f>
        <v/>
      </c>
      <c r="R2081" s="75" t="n"/>
      <c r="S2081" s="76" t="n"/>
      <c r="T2081" s="77">
        <f>K2081-L2081</f>
        <v/>
      </c>
      <c r="U2081" s="77">
        <f>P2081-Q2081</f>
        <v/>
      </c>
      <c r="V2081" s="77">
        <f>ABS(U2081)</f>
        <v/>
      </c>
      <c r="W2081" s="78">
        <f>T2081/L2081</f>
        <v/>
      </c>
      <c r="X2081" s="79">
        <f>ABS(W2081)</f>
        <v/>
      </c>
    </row>
    <row r="2082" ht="11.4" customHeight="1">
      <c r="A2082" s="67" t="inlineStr">
        <is>
          <t>大甜68</t>
        </is>
      </c>
      <c r="B2082" s="67" t="inlineStr">
        <is>
          <t>1066</t>
        </is>
      </c>
      <c r="C2082" s="67" t="inlineStr">
        <is>
          <t>1612</t>
        </is>
      </c>
      <c r="D2082" s="68" t="inlineStr">
        <is>
          <t>03</t>
        </is>
      </c>
      <c r="E2082" s="68" t="inlineStr">
        <is>
          <t>6 物业施工费</t>
        </is>
      </c>
      <c r="F2082" s="68" t="inlineStr">
        <is>
          <t>6.1 总承包工程</t>
        </is>
      </c>
      <c r="G2082" s="68" t="inlineStr">
        <is>
          <t>6.1.2 电气工程</t>
        </is>
      </c>
      <c r="H2082" s="68" t="inlineStr">
        <is>
          <t>大堂照明 (包括灯具安装及辅材)</t>
        </is>
      </c>
      <c r="I2082" s="69" t="inlineStr">
        <is>
          <t>1000021889</t>
        </is>
      </c>
      <c r="J2082" s="69" t="inlineStr">
        <is>
          <t>大堂照明回路</t>
        </is>
      </c>
      <c r="K2082" s="70" t="n"/>
      <c r="L2082" s="70" t="n"/>
      <c r="M2082" s="71" t="inlineStr">
        <is>
          <t>组</t>
        </is>
      </c>
      <c r="N2082" s="72" t="n">
        <v>500.38</v>
      </c>
      <c r="O2082" s="72">
        <f>ROUND(N2082*(1+$F$10),2)</f>
        <v/>
      </c>
      <c r="P2082" s="73">
        <f>ROUND(K2082*N2082,2)</f>
        <v/>
      </c>
      <c r="Q2082" s="74">
        <f>ROUND(L2082*N2082,2)</f>
        <v/>
      </c>
      <c r="R2082" s="75" t="n"/>
      <c r="S2082" s="76" t="n"/>
      <c r="T2082" s="77">
        <f>K2082-L2082</f>
        <v/>
      </c>
      <c r="U2082" s="77">
        <f>P2082-Q2082</f>
        <v/>
      </c>
      <c r="V2082" s="77">
        <f>ABS(U2082)</f>
        <v/>
      </c>
      <c r="W2082" s="78">
        <f>T2082/L2082</f>
        <v/>
      </c>
      <c r="X2082" s="79">
        <f>ABS(W2082)</f>
        <v/>
      </c>
    </row>
    <row r="2083" ht="11.4" customHeight="1">
      <c r="A2083" s="67" t="inlineStr">
        <is>
          <t>大甜68</t>
        </is>
      </c>
      <c r="B2083" s="67" t="inlineStr">
        <is>
          <t>1066</t>
        </is>
      </c>
      <c r="C2083" s="67" t="inlineStr">
        <is>
          <t>1612</t>
        </is>
      </c>
      <c r="D2083" s="68" t="inlineStr">
        <is>
          <t>03</t>
        </is>
      </c>
      <c r="E2083" s="68" t="inlineStr">
        <is>
          <t>6 物业施工费</t>
        </is>
      </c>
      <c r="F2083" s="68" t="inlineStr">
        <is>
          <t>6.1 总承包工程</t>
        </is>
      </c>
      <c r="G2083" s="68" t="inlineStr">
        <is>
          <t>6.1.2 电气工程</t>
        </is>
      </c>
      <c r="H2083" s="68" t="inlineStr">
        <is>
          <t>大堂照明 (包括灯具安装及辅材)</t>
        </is>
      </c>
      <c r="I2083" s="69" t="inlineStr">
        <is>
          <t>1000021926</t>
        </is>
      </c>
      <c r="J2083" s="69" t="inlineStr">
        <is>
          <t>室内灯具安装</t>
        </is>
      </c>
      <c r="K2083" s="70" t="n"/>
      <c r="L2083" s="70" t="n"/>
      <c r="M2083" s="71" t="inlineStr">
        <is>
          <t>个</t>
        </is>
      </c>
      <c r="N2083" s="72" t="n">
        <v>136.25</v>
      </c>
      <c r="O2083" s="72">
        <f>ROUND(N2083*(1+$F$10),2)</f>
        <v/>
      </c>
      <c r="P2083" s="73">
        <f>ROUND(K2083*N2083,2)</f>
        <v/>
      </c>
      <c r="Q2083" s="74">
        <f>ROUND(L2083*N2083,2)</f>
        <v/>
      </c>
      <c r="R2083" s="75" t="n"/>
      <c r="S2083" s="76" t="n"/>
      <c r="T2083" s="77">
        <f>K2083-L2083</f>
        <v/>
      </c>
      <c r="U2083" s="77">
        <f>P2083-Q2083</f>
        <v/>
      </c>
      <c r="V2083" s="77">
        <f>ABS(U2083)</f>
        <v/>
      </c>
      <c r="W2083" s="78">
        <f>T2083/L2083</f>
        <v/>
      </c>
      <c r="X2083" s="79">
        <f>ABS(W2083)</f>
        <v/>
      </c>
    </row>
    <row r="2084" ht="11.4" customHeight="1">
      <c r="A2084" s="67" t="inlineStr">
        <is>
          <t>大甜68</t>
        </is>
      </c>
      <c r="B2084" s="67" t="inlineStr">
        <is>
          <t>1066</t>
        </is>
      </c>
      <c r="C2084" s="67" t="inlineStr">
        <is>
          <t>1612</t>
        </is>
      </c>
      <c r="D2084" s="68" t="inlineStr">
        <is>
          <t>03</t>
        </is>
      </c>
      <c r="E2084" s="68" t="inlineStr">
        <is>
          <t>6 物业施工费</t>
        </is>
      </c>
      <c r="F2084" s="68" t="inlineStr">
        <is>
          <t>6.1 总承包工程</t>
        </is>
      </c>
      <c r="G2084" s="68" t="inlineStr">
        <is>
          <t>6.1.2 电气工程</t>
        </is>
      </c>
      <c r="H2084" s="68" t="inlineStr">
        <is>
          <t>大堂照明 (包括灯具安装及辅材)</t>
        </is>
      </c>
      <c r="I2084" s="69" t="inlineStr">
        <is>
          <t>1000021927</t>
        </is>
      </c>
      <c r="J2084" s="69" t="inlineStr">
        <is>
          <t>安装暗藏轨道射灯 LO3</t>
        </is>
      </c>
      <c r="K2084" s="70" t="n"/>
      <c r="L2084" s="70" t="n"/>
      <c r="M2084" s="71" t="inlineStr">
        <is>
          <t>个</t>
        </is>
      </c>
      <c r="N2084" s="72" t="n">
        <v>63.27</v>
      </c>
      <c r="O2084" s="72">
        <f>ROUND(N2084*(1+$F$10),2)</f>
        <v/>
      </c>
      <c r="P2084" s="73">
        <f>ROUND(K2084*N2084,2)</f>
        <v/>
      </c>
      <c r="Q2084" s="74">
        <f>ROUND(L2084*N2084,2)</f>
        <v/>
      </c>
      <c r="R2084" s="75" t="n"/>
      <c r="S2084" s="76" t="n"/>
      <c r="T2084" s="77">
        <f>K2084-L2084</f>
        <v/>
      </c>
      <c r="U2084" s="77">
        <f>P2084-Q2084</f>
        <v/>
      </c>
      <c r="V2084" s="77">
        <f>ABS(U2084)</f>
        <v/>
      </c>
      <c r="W2084" s="78">
        <f>T2084/L2084</f>
        <v/>
      </c>
      <c r="X2084" s="79">
        <f>ABS(W2084)</f>
        <v/>
      </c>
    </row>
    <row r="2085" ht="11.4" customHeight="1">
      <c r="A2085" s="67" t="inlineStr">
        <is>
          <t>大甜68</t>
        </is>
      </c>
      <c r="B2085" s="67" t="inlineStr">
        <is>
          <t>1066</t>
        </is>
      </c>
      <c r="C2085" s="67" t="inlineStr">
        <is>
          <t>1612</t>
        </is>
      </c>
      <c r="D2085" s="68" t="inlineStr">
        <is>
          <t>03</t>
        </is>
      </c>
      <c r="E2085" s="68" t="inlineStr">
        <is>
          <t>6 物业施工费</t>
        </is>
      </c>
      <c r="F2085" s="68" t="inlineStr">
        <is>
          <t>6.1 总承包工程</t>
        </is>
      </c>
      <c r="G2085" s="68" t="inlineStr">
        <is>
          <t>6.1.2 电气工程</t>
        </is>
      </c>
      <c r="H2085" s="68" t="inlineStr">
        <is>
          <t>大堂照明 (包括灯具安装及辅材)</t>
        </is>
      </c>
      <c r="I2085" s="69" t="inlineStr">
        <is>
          <t>1000021928</t>
        </is>
      </c>
      <c r="J2085" s="69" t="inlineStr">
        <is>
          <t>安装LED灯带 L09</t>
        </is>
      </c>
      <c r="K2085" s="70" t="n"/>
      <c r="L2085" s="70" t="n"/>
      <c r="M2085" s="71" t="inlineStr">
        <is>
          <t>米</t>
        </is>
      </c>
      <c r="N2085" s="72" t="n">
        <v>38.86</v>
      </c>
      <c r="O2085" s="72">
        <f>ROUND(N2085*(1+$F$10),2)</f>
        <v/>
      </c>
      <c r="P2085" s="73">
        <f>ROUND(K2085*N2085,2)</f>
        <v/>
      </c>
      <c r="Q2085" s="74">
        <f>ROUND(L2085*N2085,2)</f>
        <v/>
      </c>
      <c r="R2085" s="75" t="n"/>
      <c r="S2085" s="76" t="n"/>
      <c r="T2085" s="77">
        <f>K2085-L2085</f>
        <v/>
      </c>
      <c r="U2085" s="77">
        <f>P2085-Q2085</f>
        <v/>
      </c>
      <c r="V2085" s="77">
        <f>ABS(U2085)</f>
        <v/>
      </c>
      <c r="W2085" s="78">
        <f>T2085/L2085</f>
        <v/>
      </c>
      <c r="X2085" s="79">
        <f>ABS(W2085)</f>
        <v/>
      </c>
    </row>
    <row r="2086" ht="11.4" customHeight="1">
      <c r="A2086" s="67" t="inlineStr">
        <is>
          <t>大甜68</t>
        </is>
      </c>
      <c r="B2086" s="67" t="inlineStr">
        <is>
          <t>1066</t>
        </is>
      </c>
      <c r="C2086" s="67" t="inlineStr">
        <is>
          <t>1612</t>
        </is>
      </c>
      <c r="D2086" s="68" t="inlineStr">
        <is>
          <t>03</t>
        </is>
      </c>
      <c r="E2086" s="68" t="inlineStr">
        <is>
          <t>6 物业施工费</t>
        </is>
      </c>
      <c r="F2086" s="68" t="inlineStr">
        <is>
          <t>6.1 总承包工程</t>
        </is>
      </c>
      <c r="G2086" s="68" t="inlineStr">
        <is>
          <t>6.1.2 电气工程</t>
        </is>
      </c>
      <c r="H2086" s="68" t="inlineStr">
        <is>
          <t>厨房照明 (不包括灯具安装，但包含电管、电线及所有辅材)</t>
        </is>
      </c>
      <c r="I2086" s="69" t="inlineStr">
        <is>
          <t>1000021890</t>
        </is>
      </c>
      <c r="J2086" s="69" t="inlineStr">
        <is>
          <t>厨房照明回路</t>
        </is>
      </c>
      <c r="K2086" s="70" t="n"/>
      <c r="L2086" s="70" t="n"/>
      <c r="M2086" s="71" t="inlineStr">
        <is>
          <t>组</t>
        </is>
      </c>
      <c r="N2086" s="72" t="n">
        <v>500.38</v>
      </c>
      <c r="O2086" s="72">
        <f>ROUND(N2086*(1+$F$10),2)</f>
        <v/>
      </c>
      <c r="P2086" s="73">
        <f>ROUND(K2086*N2086,2)</f>
        <v/>
      </c>
      <c r="Q2086" s="74">
        <f>ROUND(L2086*N2086,2)</f>
        <v/>
      </c>
      <c r="R2086" s="75" t="n"/>
      <c r="S2086" s="76" t="n"/>
      <c r="T2086" s="77">
        <f>K2086-L2086</f>
        <v/>
      </c>
      <c r="U2086" s="77">
        <f>P2086-Q2086</f>
        <v/>
      </c>
      <c r="V2086" s="77">
        <f>ABS(U2086)</f>
        <v/>
      </c>
      <c r="W2086" s="78">
        <f>T2086/L2086</f>
        <v/>
      </c>
      <c r="X2086" s="79">
        <f>ABS(W2086)</f>
        <v/>
      </c>
    </row>
    <row r="2087" ht="11.4" customHeight="1">
      <c r="A2087" s="67" t="inlineStr">
        <is>
          <t>大甜68</t>
        </is>
      </c>
      <c r="B2087" s="67" t="inlineStr">
        <is>
          <t>1066</t>
        </is>
      </c>
      <c r="C2087" s="67" t="inlineStr">
        <is>
          <t>1612</t>
        </is>
      </c>
      <c r="D2087" s="68" t="inlineStr">
        <is>
          <t>03</t>
        </is>
      </c>
      <c r="E2087" s="68" t="inlineStr">
        <is>
          <t>6 物业施工费</t>
        </is>
      </c>
      <c r="F2087" s="68" t="inlineStr">
        <is>
          <t>6.1 总承包工程</t>
        </is>
      </c>
      <c r="G2087" s="68" t="inlineStr">
        <is>
          <t>6.1.2 电气工程</t>
        </is>
      </c>
      <c r="H2087" s="68" t="inlineStr">
        <is>
          <t>厨房照明 (包括灯具安装及辅材)</t>
        </is>
      </c>
      <c r="I2087" s="69" t="inlineStr">
        <is>
          <t>1000022199</t>
        </is>
      </c>
      <c r="J2087" s="69" t="inlineStr">
        <is>
          <t>安装 灭蝇灯 (不含灭蝇灯主材)</t>
        </is>
      </c>
      <c r="K2087" s="70" t="n"/>
      <c r="L2087" s="70" t="n"/>
      <c r="M2087" s="71" t="inlineStr">
        <is>
          <t>个</t>
        </is>
      </c>
      <c r="N2087" s="72" t="n">
        <v>136.25</v>
      </c>
      <c r="O2087" s="72">
        <f>ROUND(N2087*(1+$F$10),2)</f>
        <v/>
      </c>
      <c r="P2087" s="73">
        <f>ROUND(K2087*N2087,2)</f>
        <v/>
      </c>
      <c r="Q2087" s="74">
        <f>ROUND(L2087*N2087,2)</f>
        <v/>
      </c>
      <c r="R2087" s="75" t="n"/>
      <c r="S2087" s="76" t="n"/>
      <c r="T2087" s="77">
        <f>K2087-L2087</f>
        <v/>
      </c>
      <c r="U2087" s="77">
        <f>P2087-Q2087</f>
        <v/>
      </c>
      <c r="V2087" s="77">
        <f>ABS(U2087)</f>
        <v/>
      </c>
      <c r="W2087" s="78">
        <f>T2087/L2087</f>
        <v/>
      </c>
      <c r="X2087" s="79">
        <f>ABS(W2087)</f>
        <v/>
      </c>
    </row>
    <row r="2088" ht="11.4" customHeight="1">
      <c r="A2088" s="67" t="inlineStr">
        <is>
          <t>大甜68</t>
        </is>
      </c>
      <c r="B2088" s="67" t="inlineStr">
        <is>
          <t>1066</t>
        </is>
      </c>
      <c r="C2088" s="67" t="inlineStr">
        <is>
          <t>1612</t>
        </is>
      </c>
      <c r="D2088" s="68" t="inlineStr">
        <is>
          <t>03</t>
        </is>
      </c>
      <c r="E2088" s="68" t="inlineStr">
        <is>
          <t>6 物业施工费</t>
        </is>
      </c>
      <c r="F2088" s="68" t="inlineStr">
        <is>
          <t>6.1 总承包工程</t>
        </is>
      </c>
      <c r="G2088" s="68" t="inlineStr">
        <is>
          <t>6.1.2 电气工程</t>
        </is>
      </c>
      <c r="H2088" s="68" t="inlineStr">
        <is>
          <t>厨房照明 (包括灯具安装及辅材)</t>
        </is>
      </c>
      <c r="I2088" s="69" t="inlineStr">
        <is>
          <t>1000085743</t>
        </is>
      </c>
      <c r="J2088" s="69" t="inlineStr">
        <is>
          <t>室内灯具安装</t>
        </is>
      </c>
      <c r="K2088" s="70" t="n"/>
      <c r="L2088" s="70" t="n"/>
      <c r="M2088" s="71" t="inlineStr">
        <is>
          <t>个</t>
        </is>
      </c>
      <c r="N2088" s="72" t="n">
        <v>136.25</v>
      </c>
      <c r="O2088" s="72">
        <f>ROUND(N2088*(1+$F$10),2)</f>
        <v/>
      </c>
      <c r="P2088" s="73">
        <f>ROUND(K2088*N2088,2)</f>
        <v/>
      </c>
      <c r="Q2088" s="74">
        <f>ROUND(L2088*N2088,2)</f>
        <v/>
      </c>
      <c r="R2088" s="75" t="n"/>
      <c r="S2088" s="76" t="n"/>
      <c r="T2088" s="77">
        <f>K2088-L2088</f>
        <v/>
      </c>
      <c r="U2088" s="77">
        <f>P2088-Q2088</f>
        <v/>
      </c>
      <c r="V2088" s="77">
        <f>ABS(U2088)</f>
        <v/>
      </c>
      <c r="W2088" s="78">
        <f>T2088/L2088</f>
        <v/>
      </c>
      <c r="X2088" s="79">
        <f>ABS(W2088)</f>
        <v/>
      </c>
    </row>
    <row r="2089" ht="11.4" customHeight="1">
      <c r="A2089" s="67" t="inlineStr">
        <is>
          <t>大甜68</t>
        </is>
      </c>
      <c r="B2089" s="67" t="inlineStr">
        <is>
          <t>1066</t>
        </is>
      </c>
      <c r="C2089" s="67" t="inlineStr">
        <is>
          <t>1612</t>
        </is>
      </c>
      <c r="D2089" s="68" t="inlineStr">
        <is>
          <t>03</t>
        </is>
      </c>
      <c r="E2089" s="68" t="inlineStr">
        <is>
          <t>6 物业施工费</t>
        </is>
      </c>
      <c r="F2089" s="68" t="inlineStr">
        <is>
          <t>6.1 总承包工程</t>
        </is>
      </c>
      <c r="G2089" s="68" t="inlineStr">
        <is>
          <t>6.1.2 电气工程</t>
        </is>
      </c>
      <c r="H2089" s="68" t="inlineStr">
        <is>
          <t>空调电气(包含电管、电线及所有配件辅材)</t>
        </is>
      </c>
      <c r="I2089" s="69" t="inlineStr">
        <is>
          <t>1000021891</t>
        </is>
      </c>
      <c r="J2089" s="69" t="inlineStr">
        <is>
          <t>25匹空调机电源线（配电柜-室外机）</t>
        </is>
      </c>
      <c r="K2089" s="70" t="n"/>
      <c r="L2089" s="70" t="n"/>
      <c r="M2089" s="71" t="inlineStr">
        <is>
          <t>米</t>
        </is>
      </c>
      <c r="N2089" s="72" t="n">
        <v>69.84</v>
      </c>
      <c r="O2089" s="72">
        <f>ROUND(N2089*(1+$F$10),2)</f>
        <v/>
      </c>
      <c r="P2089" s="73">
        <f>ROUND(K2089*N2089,2)</f>
        <v/>
      </c>
      <c r="Q2089" s="74">
        <f>ROUND(L2089*N2089,2)</f>
        <v/>
      </c>
      <c r="R2089" s="75" t="n"/>
      <c r="S2089" s="76" t="n"/>
      <c r="T2089" s="77">
        <f>K2089-L2089</f>
        <v/>
      </c>
      <c r="U2089" s="77">
        <f>P2089-Q2089</f>
        <v/>
      </c>
      <c r="V2089" s="77">
        <f>ABS(U2089)</f>
        <v/>
      </c>
      <c r="W2089" s="78">
        <f>T2089/L2089</f>
        <v/>
      </c>
      <c r="X2089" s="79">
        <f>ABS(W2089)</f>
        <v/>
      </c>
    </row>
    <row r="2090" ht="11.4" customHeight="1">
      <c r="A2090" s="67" t="inlineStr">
        <is>
          <t>大甜68</t>
        </is>
      </c>
      <c r="B2090" s="67" t="inlineStr">
        <is>
          <t>1066</t>
        </is>
      </c>
      <c r="C2090" s="67" t="inlineStr">
        <is>
          <t>1612</t>
        </is>
      </c>
      <c r="D2090" s="68" t="inlineStr">
        <is>
          <t>03</t>
        </is>
      </c>
      <c r="E2090" s="68" t="inlineStr">
        <is>
          <t>6 物业施工费</t>
        </is>
      </c>
      <c r="F2090" s="68" t="inlineStr">
        <is>
          <t>6.1 总承包工程</t>
        </is>
      </c>
      <c r="G2090" s="68" t="inlineStr">
        <is>
          <t>6.1.2 电气工程</t>
        </is>
      </c>
      <c r="H2090" s="68" t="inlineStr">
        <is>
          <t>空调电气(包含电管、电线及所有配件辅材)</t>
        </is>
      </c>
      <c r="I2090" s="69" t="inlineStr">
        <is>
          <t>1000021892</t>
        </is>
      </c>
      <c r="J2090" s="69" t="inlineStr">
        <is>
          <t>15-20匹空调机电源线（配电柜-室外机）</t>
        </is>
      </c>
      <c r="K2090" s="70" t="n"/>
      <c r="L2090" s="70" t="n"/>
      <c r="M2090" s="71" t="inlineStr">
        <is>
          <t>米</t>
        </is>
      </c>
      <c r="N2090" s="72" t="n">
        <v>62.59</v>
      </c>
      <c r="O2090" s="72">
        <f>ROUND(N2090*(1+$F$10),2)</f>
        <v/>
      </c>
      <c r="P2090" s="73">
        <f>ROUND(K2090*N2090,2)</f>
        <v/>
      </c>
      <c r="Q2090" s="74">
        <f>ROUND(L2090*N2090,2)</f>
        <v/>
      </c>
      <c r="R2090" s="75" t="n"/>
      <c r="S2090" s="76" t="n"/>
      <c r="T2090" s="77">
        <f>K2090-L2090</f>
        <v/>
      </c>
      <c r="U2090" s="77">
        <f>P2090-Q2090</f>
        <v/>
      </c>
      <c r="V2090" s="77">
        <f>ABS(U2090)</f>
        <v/>
      </c>
      <c r="W2090" s="78">
        <f>T2090/L2090</f>
        <v/>
      </c>
      <c r="X2090" s="79">
        <f>ABS(W2090)</f>
        <v/>
      </c>
    </row>
    <row r="2091" ht="11.4" customHeight="1">
      <c r="A2091" s="67" t="inlineStr">
        <is>
          <t>大甜68</t>
        </is>
      </c>
      <c r="B2091" s="67" t="inlineStr">
        <is>
          <t>1066</t>
        </is>
      </c>
      <c r="C2091" s="67" t="inlineStr">
        <is>
          <t>1612</t>
        </is>
      </c>
      <c r="D2091" s="68" t="inlineStr">
        <is>
          <t>03</t>
        </is>
      </c>
      <c r="E2091" s="68" t="inlineStr">
        <is>
          <t>6 物业施工费</t>
        </is>
      </c>
      <c r="F2091" s="68" t="inlineStr">
        <is>
          <t>6.1 总承包工程</t>
        </is>
      </c>
      <c r="G2091" s="68" t="inlineStr">
        <is>
          <t>6.1.2 电气工程</t>
        </is>
      </c>
      <c r="H2091" s="68" t="inlineStr">
        <is>
          <t>空调电气(包含电管、电线及所有配件辅材)</t>
        </is>
      </c>
      <c r="I2091" s="69" t="inlineStr">
        <is>
          <t>1000021893</t>
        </is>
      </c>
      <c r="J2091" s="69" t="inlineStr">
        <is>
          <t>6-12.5匹空调机电源线（配电柜-室外机）</t>
        </is>
      </c>
      <c r="K2091" s="70" t="n"/>
      <c r="L2091" s="70" t="n"/>
      <c r="M2091" s="71" t="inlineStr">
        <is>
          <t>米</t>
        </is>
      </c>
      <c r="N2091" s="72" t="n">
        <v>52.61</v>
      </c>
      <c r="O2091" s="72">
        <f>ROUND(N2091*(1+$F$10),2)</f>
        <v/>
      </c>
      <c r="P2091" s="73">
        <f>ROUND(K2091*N2091,2)</f>
        <v/>
      </c>
      <c r="Q2091" s="74">
        <f>ROUND(L2091*N2091,2)</f>
        <v/>
      </c>
      <c r="R2091" s="75" t="n"/>
      <c r="S2091" s="76" t="n"/>
      <c r="T2091" s="77">
        <f>K2091-L2091</f>
        <v/>
      </c>
      <c r="U2091" s="77">
        <f>P2091-Q2091</f>
        <v/>
      </c>
      <c r="V2091" s="77">
        <f>ABS(U2091)</f>
        <v/>
      </c>
      <c r="W2091" s="78">
        <f>T2091/L2091</f>
        <v/>
      </c>
      <c r="X2091" s="79">
        <f>ABS(W2091)</f>
        <v/>
      </c>
    </row>
    <row r="2092" ht="11.4" customHeight="1">
      <c r="A2092" s="67" t="inlineStr">
        <is>
          <t>大甜68</t>
        </is>
      </c>
      <c r="B2092" s="67" t="inlineStr">
        <is>
          <t>1066</t>
        </is>
      </c>
      <c r="C2092" s="67" t="inlineStr">
        <is>
          <t>1612</t>
        </is>
      </c>
      <c r="D2092" s="68" t="inlineStr">
        <is>
          <t>03</t>
        </is>
      </c>
      <c r="E2092" s="68" t="inlineStr">
        <is>
          <t>6 物业施工费</t>
        </is>
      </c>
      <c r="F2092" s="68" t="inlineStr">
        <is>
          <t>6.1 总承包工程</t>
        </is>
      </c>
      <c r="G2092" s="68" t="inlineStr">
        <is>
          <t>6.1.2 电气工程</t>
        </is>
      </c>
      <c r="H2092" s="68" t="inlineStr">
        <is>
          <t>空调电气(包含电管、电线及所有配件辅材)</t>
        </is>
      </c>
      <c r="I2092" s="69" t="inlineStr">
        <is>
          <t>1000021894</t>
        </is>
      </c>
      <c r="J2092" s="69" t="inlineStr">
        <is>
          <t>2-5匹空调机电源线（配电柜-室外机）</t>
        </is>
      </c>
      <c r="K2092" s="70" t="n"/>
      <c r="L2092" s="70" t="n"/>
      <c r="M2092" s="71" t="inlineStr">
        <is>
          <t>米</t>
        </is>
      </c>
      <c r="N2092" s="72" t="n">
        <v>33.42</v>
      </c>
      <c r="O2092" s="72">
        <f>ROUND(N2092*(1+$F$10),2)</f>
        <v/>
      </c>
      <c r="P2092" s="73">
        <f>ROUND(K2092*N2092,2)</f>
        <v/>
      </c>
      <c r="Q2092" s="74">
        <f>ROUND(L2092*N2092,2)</f>
        <v/>
      </c>
      <c r="R2092" s="75" t="n"/>
      <c r="S2092" s="76" t="n"/>
      <c r="T2092" s="77">
        <f>K2092-L2092</f>
        <v/>
      </c>
      <c r="U2092" s="77">
        <f>P2092-Q2092</f>
        <v/>
      </c>
      <c r="V2092" s="77">
        <f>ABS(U2092)</f>
        <v/>
      </c>
      <c r="W2092" s="78">
        <f>T2092/L2092</f>
        <v/>
      </c>
      <c r="X2092" s="79">
        <f>ABS(W2092)</f>
        <v/>
      </c>
    </row>
    <row r="2093" ht="11.4" customHeight="1">
      <c r="A2093" s="67" t="inlineStr">
        <is>
          <t>大甜68</t>
        </is>
      </c>
      <c r="B2093" s="67" t="inlineStr">
        <is>
          <t>1066</t>
        </is>
      </c>
      <c r="C2093" s="67" t="inlineStr">
        <is>
          <t>1612</t>
        </is>
      </c>
      <c r="D2093" s="68" t="inlineStr">
        <is>
          <t>03</t>
        </is>
      </c>
      <c r="E2093" s="68" t="inlineStr">
        <is>
          <t>6 物业施工费</t>
        </is>
      </c>
      <c r="F2093" s="68" t="inlineStr">
        <is>
          <t>6.1 总承包工程</t>
        </is>
      </c>
      <c r="G2093" s="68" t="inlineStr">
        <is>
          <t>6.1.2 电气工程</t>
        </is>
      </c>
      <c r="H2093" s="68" t="inlineStr">
        <is>
          <t>空调电气(包含电管、电线及所有配件辅材)</t>
        </is>
      </c>
      <c r="I2093" s="69" t="inlineStr">
        <is>
          <t>1000021895</t>
        </is>
      </c>
      <c r="J2093" s="69" t="inlineStr">
        <is>
          <t>15-20匹空调机电源线（配电柜-室内机主）</t>
        </is>
      </c>
      <c r="K2093" s="70" t="n"/>
      <c r="L2093" s="70" t="n"/>
      <c r="M2093" s="71" t="inlineStr">
        <is>
          <t>米</t>
        </is>
      </c>
      <c r="N2093" s="72" t="n">
        <v>54.17</v>
      </c>
      <c r="O2093" s="72">
        <f>ROUND(N2093*(1+$F$10),2)</f>
        <v/>
      </c>
      <c r="P2093" s="73">
        <f>ROUND(K2093*N2093,2)</f>
        <v/>
      </c>
      <c r="Q2093" s="74">
        <f>ROUND(L2093*N2093,2)</f>
        <v/>
      </c>
      <c r="R2093" s="75" t="n"/>
      <c r="S2093" s="76" t="n"/>
      <c r="T2093" s="77">
        <f>K2093-L2093</f>
        <v/>
      </c>
      <c r="U2093" s="77">
        <f>P2093-Q2093</f>
        <v/>
      </c>
      <c r="V2093" s="77">
        <f>ABS(U2093)</f>
        <v/>
      </c>
      <c r="W2093" s="78">
        <f>T2093/L2093</f>
        <v/>
      </c>
      <c r="X2093" s="79">
        <f>ABS(W2093)</f>
        <v/>
      </c>
    </row>
    <row r="2094" ht="11.4" customHeight="1">
      <c r="A2094" s="67" t="inlineStr">
        <is>
          <t>大甜68</t>
        </is>
      </c>
      <c r="B2094" s="67" t="inlineStr">
        <is>
          <t>1066</t>
        </is>
      </c>
      <c r="C2094" s="67" t="inlineStr">
        <is>
          <t>1612</t>
        </is>
      </c>
      <c r="D2094" s="68" t="inlineStr">
        <is>
          <t>03</t>
        </is>
      </c>
      <c r="E2094" s="68" t="inlineStr">
        <is>
          <t>6 物业施工费</t>
        </is>
      </c>
      <c r="F2094" s="68" t="inlineStr">
        <is>
          <t>6.1 总承包工程</t>
        </is>
      </c>
      <c r="G2094" s="68" t="inlineStr">
        <is>
          <t>6.1.2 电气工程</t>
        </is>
      </c>
      <c r="H2094" s="68" t="inlineStr">
        <is>
          <t>空调电气(包含电管、电线及所有配件辅材)</t>
        </is>
      </c>
      <c r="I2094" s="69" t="inlineStr">
        <is>
          <t>1000021896</t>
        </is>
      </c>
      <c r="J2094" s="69" t="inlineStr">
        <is>
          <t>6-12.5匹空调机电源线（配电柜-室内机主）</t>
        </is>
      </c>
      <c r="K2094" s="70" t="n"/>
      <c r="L2094" s="70" t="n"/>
      <c r="M2094" s="71" t="inlineStr">
        <is>
          <t>米</t>
        </is>
      </c>
      <c r="N2094" s="72" t="n">
        <v>50.32</v>
      </c>
      <c r="O2094" s="72">
        <f>ROUND(N2094*(1+$F$10),2)</f>
        <v/>
      </c>
      <c r="P2094" s="73">
        <f>ROUND(K2094*N2094,2)</f>
        <v/>
      </c>
      <c r="Q2094" s="74">
        <f>ROUND(L2094*N2094,2)</f>
        <v/>
      </c>
      <c r="R2094" s="75" t="n"/>
      <c r="S2094" s="76" t="n"/>
      <c r="T2094" s="77">
        <f>K2094-L2094</f>
        <v/>
      </c>
      <c r="U2094" s="77">
        <f>P2094-Q2094</f>
        <v/>
      </c>
      <c r="V2094" s="77">
        <f>ABS(U2094)</f>
        <v/>
      </c>
      <c r="W2094" s="78">
        <f>T2094/L2094</f>
        <v/>
      </c>
      <c r="X2094" s="79">
        <f>ABS(W2094)</f>
        <v/>
      </c>
    </row>
    <row r="2095" ht="11.4" customHeight="1">
      <c r="A2095" s="67" t="inlineStr">
        <is>
          <t>大甜68</t>
        </is>
      </c>
      <c r="B2095" s="67" t="inlineStr">
        <is>
          <t>1066</t>
        </is>
      </c>
      <c r="C2095" s="67" t="inlineStr">
        <is>
          <t>1612</t>
        </is>
      </c>
      <c r="D2095" s="68" t="inlineStr">
        <is>
          <t>03</t>
        </is>
      </c>
      <c r="E2095" s="68" t="inlineStr">
        <is>
          <t>6 物业施工费</t>
        </is>
      </c>
      <c r="F2095" s="68" t="inlineStr">
        <is>
          <t>6.1 总承包工程</t>
        </is>
      </c>
      <c r="G2095" s="68" t="inlineStr">
        <is>
          <t>6.1.2 电气工程</t>
        </is>
      </c>
      <c r="H2095" s="68" t="inlineStr">
        <is>
          <t>空调电气(包含电管、电线及所有配件辅材)</t>
        </is>
      </c>
      <c r="I2095" s="69" t="inlineStr">
        <is>
          <t>1000021897</t>
        </is>
      </c>
      <c r="J2095" s="69" t="inlineStr">
        <is>
          <t>2-5匹空调机电源线（配电柜-室内机主）</t>
        </is>
      </c>
      <c r="K2095" s="70" t="n"/>
      <c r="L2095" s="70" t="n"/>
      <c r="M2095" s="71" t="inlineStr">
        <is>
          <t>米</t>
        </is>
      </c>
      <c r="N2095" s="72" t="n">
        <v>32.72</v>
      </c>
      <c r="O2095" s="72">
        <f>ROUND(N2095*(1+$F$10),2)</f>
        <v/>
      </c>
      <c r="P2095" s="73">
        <f>ROUND(K2095*N2095,2)</f>
        <v/>
      </c>
      <c r="Q2095" s="74">
        <f>ROUND(L2095*N2095,2)</f>
        <v/>
      </c>
      <c r="R2095" s="75" t="n"/>
      <c r="S2095" s="76" t="n"/>
      <c r="T2095" s="77">
        <f>K2095-L2095</f>
        <v/>
      </c>
      <c r="U2095" s="77">
        <f>P2095-Q2095</f>
        <v/>
      </c>
      <c r="V2095" s="77">
        <f>ABS(U2095)</f>
        <v/>
      </c>
      <c r="W2095" s="78">
        <f>T2095/L2095</f>
        <v/>
      </c>
      <c r="X2095" s="79">
        <f>ABS(W2095)</f>
        <v/>
      </c>
    </row>
    <row r="2096" ht="11.4" customHeight="1">
      <c r="A2096" s="67" t="inlineStr">
        <is>
          <t>大甜68</t>
        </is>
      </c>
      <c r="B2096" s="67" t="inlineStr">
        <is>
          <t>1066</t>
        </is>
      </c>
      <c r="C2096" s="67" t="inlineStr">
        <is>
          <t>1612</t>
        </is>
      </c>
      <c r="D2096" s="68" t="inlineStr">
        <is>
          <t>03</t>
        </is>
      </c>
      <c r="E2096" s="68" t="inlineStr">
        <is>
          <t>6 物业施工费</t>
        </is>
      </c>
      <c r="F2096" s="68" t="inlineStr">
        <is>
          <t>6.1 总承包工程</t>
        </is>
      </c>
      <c r="G2096" s="68" t="inlineStr">
        <is>
          <t>6.1.2 电气工程</t>
        </is>
      </c>
      <c r="H2096" s="68" t="inlineStr">
        <is>
          <t>空调电气(包含电管、电线及所有配件辅材)</t>
        </is>
      </c>
      <c r="I2096" s="69" t="inlineStr">
        <is>
          <t>1000021898</t>
        </is>
      </c>
      <c r="J2096" s="69" t="inlineStr">
        <is>
          <t>25匹空调机控制线（室内外机连线）</t>
        </is>
      </c>
      <c r="K2096" s="70" t="n"/>
      <c r="L2096" s="70" t="n"/>
      <c r="M2096" s="71" t="inlineStr">
        <is>
          <t>米</t>
        </is>
      </c>
      <c r="N2096" s="72" t="n">
        <v>58.29</v>
      </c>
      <c r="O2096" s="72">
        <f>ROUND(N2096*(1+$F$10),2)</f>
        <v/>
      </c>
      <c r="P2096" s="73">
        <f>ROUND(K2096*N2096,2)</f>
        <v/>
      </c>
      <c r="Q2096" s="74">
        <f>ROUND(L2096*N2096,2)</f>
        <v/>
      </c>
      <c r="R2096" s="75" t="n"/>
      <c r="S2096" s="76" t="n"/>
      <c r="T2096" s="77">
        <f>K2096-L2096</f>
        <v/>
      </c>
      <c r="U2096" s="77">
        <f>P2096-Q2096</f>
        <v/>
      </c>
      <c r="V2096" s="77">
        <f>ABS(U2096)</f>
        <v/>
      </c>
      <c r="W2096" s="78">
        <f>T2096/L2096</f>
        <v/>
      </c>
      <c r="X2096" s="79">
        <f>ABS(W2096)</f>
        <v/>
      </c>
    </row>
    <row r="2097" ht="11.4" customHeight="1">
      <c r="A2097" s="67" t="inlineStr">
        <is>
          <t>大甜68</t>
        </is>
      </c>
      <c r="B2097" s="67" t="inlineStr">
        <is>
          <t>1066</t>
        </is>
      </c>
      <c r="C2097" s="67" t="inlineStr">
        <is>
          <t>1612</t>
        </is>
      </c>
      <c r="D2097" s="68" t="inlineStr">
        <is>
          <t>03</t>
        </is>
      </c>
      <c r="E2097" s="68" t="inlineStr">
        <is>
          <t>6 物业施工费</t>
        </is>
      </c>
      <c r="F2097" s="68" t="inlineStr">
        <is>
          <t>6.1 总承包工程</t>
        </is>
      </c>
      <c r="G2097" s="68" t="inlineStr">
        <is>
          <t>6.1.2 电气工程</t>
        </is>
      </c>
      <c r="H2097" s="68" t="inlineStr">
        <is>
          <t>空调电气(包含电管、电线及所有配件辅材)</t>
        </is>
      </c>
      <c r="I2097" s="69" t="inlineStr">
        <is>
          <t>1000021899</t>
        </is>
      </c>
      <c r="J2097" s="69" t="inlineStr">
        <is>
          <t>15-20匹空调机控制线（室内外机连线）</t>
        </is>
      </c>
      <c r="K2097" s="70" t="n"/>
      <c r="L2097" s="70" t="n"/>
      <c r="M2097" s="71" t="inlineStr">
        <is>
          <t>米</t>
        </is>
      </c>
      <c r="N2097" s="72" t="n">
        <v>45.54</v>
      </c>
      <c r="O2097" s="72">
        <f>ROUND(N2097*(1+$F$10),2)</f>
        <v/>
      </c>
      <c r="P2097" s="73">
        <f>ROUND(K2097*N2097,2)</f>
        <v/>
      </c>
      <c r="Q2097" s="74">
        <f>ROUND(L2097*N2097,2)</f>
        <v/>
      </c>
      <c r="R2097" s="75" t="n"/>
      <c r="S2097" s="76" t="n"/>
      <c r="T2097" s="77">
        <f>K2097-L2097</f>
        <v/>
      </c>
      <c r="U2097" s="77">
        <f>P2097-Q2097</f>
        <v/>
      </c>
      <c r="V2097" s="77">
        <f>ABS(U2097)</f>
        <v/>
      </c>
      <c r="W2097" s="78">
        <f>T2097/L2097</f>
        <v/>
      </c>
      <c r="X2097" s="79">
        <f>ABS(W2097)</f>
        <v/>
      </c>
    </row>
    <row r="2098" ht="11.4" customHeight="1">
      <c r="A2098" s="67" t="inlineStr">
        <is>
          <t>大甜68</t>
        </is>
      </c>
      <c r="B2098" s="67" t="inlineStr">
        <is>
          <t>1066</t>
        </is>
      </c>
      <c r="C2098" s="67" t="inlineStr">
        <is>
          <t>1612</t>
        </is>
      </c>
      <c r="D2098" s="68" t="inlineStr">
        <is>
          <t>03</t>
        </is>
      </c>
      <c r="E2098" s="68" t="inlineStr">
        <is>
          <t>6 物业施工费</t>
        </is>
      </c>
      <c r="F2098" s="68" t="inlineStr">
        <is>
          <t>6.1 总承包工程</t>
        </is>
      </c>
      <c r="G2098" s="68" t="inlineStr">
        <is>
          <t>6.1.2 电气工程</t>
        </is>
      </c>
      <c r="H2098" s="68" t="inlineStr">
        <is>
          <t>空调电气(包含电管、电线及所有配件辅材)</t>
        </is>
      </c>
      <c r="I2098" s="69" t="inlineStr">
        <is>
          <t>1000021900</t>
        </is>
      </c>
      <c r="J2098" s="69" t="inlineStr">
        <is>
          <t>6-12.5匹空调机控制线（室内外机连线）</t>
        </is>
      </c>
      <c r="K2098" s="70" t="n"/>
      <c r="L2098" s="70" t="n"/>
      <c r="M2098" s="71" t="inlineStr">
        <is>
          <t>米</t>
        </is>
      </c>
      <c r="N2098" s="72" t="n">
        <v>40.18</v>
      </c>
      <c r="O2098" s="72">
        <f>ROUND(N2098*(1+$F$10),2)</f>
        <v/>
      </c>
      <c r="P2098" s="73">
        <f>ROUND(K2098*N2098,2)</f>
        <v/>
      </c>
      <c r="Q2098" s="74">
        <f>ROUND(L2098*N2098,2)</f>
        <v/>
      </c>
      <c r="R2098" s="75" t="n"/>
      <c r="S2098" s="76" t="n"/>
      <c r="T2098" s="77">
        <f>K2098-L2098</f>
        <v/>
      </c>
      <c r="U2098" s="77">
        <f>P2098-Q2098</f>
        <v/>
      </c>
      <c r="V2098" s="77">
        <f>ABS(U2098)</f>
        <v/>
      </c>
      <c r="W2098" s="78">
        <f>T2098/L2098</f>
        <v/>
      </c>
      <c r="X2098" s="79">
        <f>ABS(W2098)</f>
        <v/>
      </c>
    </row>
    <row r="2099" ht="11.4" customHeight="1">
      <c r="A2099" s="67" t="inlineStr">
        <is>
          <t>大甜68</t>
        </is>
      </c>
      <c r="B2099" s="67" t="inlineStr">
        <is>
          <t>1066</t>
        </is>
      </c>
      <c r="C2099" s="67" t="inlineStr">
        <is>
          <t>1612</t>
        </is>
      </c>
      <c r="D2099" s="68" t="inlineStr">
        <is>
          <t>03</t>
        </is>
      </c>
      <c r="E2099" s="68" t="inlineStr">
        <is>
          <t>6 物业施工费</t>
        </is>
      </c>
      <c r="F2099" s="68" t="inlineStr">
        <is>
          <t>6.1 总承包工程</t>
        </is>
      </c>
      <c r="G2099" s="68" t="inlineStr">
        <is>
          <t>6.1.2 电气工程</t>
        </is>
      </c>
      <c r="H2099" s="68" t="inlineStr">
        <is>
          <t>空调电气(包含电管、电线及所有配件辅材)</t>
        </is>
      </c>
      <c r="I2099" s="69" t="inlineStr">
        <is>
          <t>1000021901</t>
        </is>
      </c>
      <c r="J2099" s="69" t="inlineStr">
        <is>
          <t>2-5匹空调机控制线（室内外机连线）</t>
        </is>
      </c>
      <c r="K2099" s="70" t="n"/>
      <c r="L2099" s="70" t="n"/>
      <c r="M2099" s="71" t="inlineStr">
        <is>
          <t>米</t>
        </is>
      </c>
      <c r="N2099" s="72" t="n">
        <v>28.14</v>
      </c>
      <c r="O2099" s="72">
        <f>ROUND(N2099*(1+$F$10),2)</f>
        <v/>
      </c>
      <c r="P2099" s="73">
        <f>ROUND(K2099*N2099,2)</f>
        <v/>
      </c>
      <c r="Q2099" s="74">
        <f>ROUND(L2099*N2099,2)</f>
        <v/>
      </c>
      <c r="R2099" s="75" t="n"/>
      <c r="S2099" s="76" t="n"/>
      <c r="T2099" s="77">
        <f>K2099-L2099</f>
        <v/>
      </c>
      <c r="U2099" s="77">
        <f>P2099-Q2099</f>
        <v/>
      </c>
      <c r="V2099" s="77">
        <f>ABS(U2099)</f>
        <v/>
      </c>
      <c r="W2099" s="78">
        <f>T2099/L2099</f>
        <v/>
      </c>
      <c r="X2099" s="79">
        <f>ABS(W2099)</f>
        <v/>
      </c>
    </row>
    <row r="2100" ht="11.4" customHeight="1">
      <c r="A2100" s="67" t="inlineStr">
        <is>
          <t>大甜68</t>
        </is>
      </c>
      <c r="B2100" s="67" t="inlineStr">
        <is>
          <t>1066</t>
        </is>
      </c>
      <c r="C2100" s="67" t="inlineStr">
        <is>
          <t>1612</t>
        </is>
      </c>
      <c r="D2100" s="68" t="inlineStr">
        <is>
          <t>03</t>
        </is>
      </c>
      <c r="E2100" s="68" t="inlineStr">
        <is>
          <t>6 物业施工费</t>
        </is>
      </c>
      <c r="F2100" s="68" t="inlineStr">
        <is>
          <t>6.1 总承包工程</t>
        </is>
      </c>
      <c r="G2100" s="68" t="inlineStr">
        <is>
          <t>6.1.2 电气工程</t>
        </is>
      </c>
      <c r="H2100" s="68" t="inlineStr">
        <is>
          <t>空调电气(包含电管、电线及所有配件辅材)</t>
        </is>
      </c>
      <c r="I2100" s="69" t="inlineStr">
        <is>
          <t>1000021902</t>
        </is>
      </c>
      <c r="J2100" s="69" t="inlineStr">
        <is>
          <t>空调机控制线（室内机-控制面板）</t>
        </is>
      </c>
      <c r="K2100" s="70" t="n"/>
      <c r="L2100" s="70" t="n"/>
      <c r="M2100" s="71" t="inlineStr">
        <is>
          <t>米</t>
        </is>
      </c>
      <c r="N2100" s="72" t="n">
        <v>28.15</v>
      </c>
      <c r="O2100" s="72">
        <f>ROUND(N2100*(1+$F$10),2)</f>
        <v/>
      </c>
      <c r="P2100" s="73">
        <f>ROUND(K2100*N2100,2)</f>
        <v/>
      </c>
      <c r="Q2100" s="74">
        <f>ROUND(L2100*N2100,2)</f>
        <v/>
      </c>
      <c r="R2100" s="75" t="n"/>
      <c r="S2100" s="76" t="n"/>
      <c r="T2100" s="77">
        <f>K2100-L2100</f>
        <v/>
      </c>
      <c r="U2100" s="77">
        <f>P2100-Q2100</f>
        <v/>
      </c>
      <c r="V2100" s="77">
        <f>ABS(U2100)</f>
        <v/>
      </c>
      <c r="W2100" s="78">
        <f>T2100/L2100</f>
        <v/>
      </c>
      <c r="X2100" s="79">
        <f>ABS(W2100)</f>
        <v/>
      </c>
    </row>
    <row r="2101" ht="11.4" customHeight="1">
      <c r="A2101" s="67" t="inlineStr">
        <is>
          <t>大甜68</t>
        </is>
      </c>
      <c r="B2101" s="67" t="inlineStr">
        <is>
          <t>1066</t>
        </is>
      </c>
      <c r="C2101" s="67" t="inlineStr">
        <is>
          <t>1612</t>
        </is>
      </c>
      <c r="D2101" s="68" t="inlineStr">
        <is>
          <t>03</t>
        </is>
      </c>
      <c r="E2101" s="68" t="inlineStr">
        <is>
          <t>6 物业施工费</t>
        </is>
      </c>
      <c r="F2101" s="68" t="inlineStr">
        <is>
          <t>6.1 总承包工程</t>
        </is>
      </c>
      <c r="G2101" s="68" t="inlineStr">
        <is>
          <t>6.1.2 电气工程</t>
        </is>
      </c>
      <c r="H2101" s="68" t="inlineStr">
        <is>
          <t>空调电气(包含电管、电线及所有配件辅材)</t>
        </is>
      </c>
      <c r="I2101" s="69" t="inlineStr">
        <is>
          <t>1000021903</t>
        </is>
      </c>
      <c r="J2101" s="69" t="inlineStr">
        <is>
          <t>抽油烟机电源</t>
        </is>
      </c>
      <c r="K2101" s="70" t="n"/>
      <c r="L2101" s="70" t="n"/>
      <c r="M2101" s="71" t="inlineStr">
        <is>
          <t>个</t>
        </is>
      </c>
      <c r="N2101" s="72" t="n">
        <v>1059.51</v>
      </c>
      <c r="O2101" s="72">
        <f>ROUND(N2101*(1+$F$10),2)</f>
        <v/>
      </c>
      <c r="P2101" s="73">
        <f>ROUND(K2101*N2101,2)</f>
        <v/>
      </c>
      <c r="Q2101" s="74">
        <f>ROUND(L2101*N2101,2)</f>
        <v/>
      </c>
      <c r="R2101" s="75" t="n"/>
      <c r="S2101" s="76" t="n"/>
      <c r="T2101" s="77">
        <f>K2101-L2101</f>
        <v/>
      </c>
      <c r="U2101" s="77">
        <f>P2101-Q2101</f>
        <v/>
      </c>
      <c r="V2101" s="77">
        <f>ABS(U2101)</f>
        <v/>
      </c>
      <c r="W2101" s="78">
        <f>T2101/L2101</f>
        <v/>
      </c>
      <c r="X2101" s="79">
        <f>ABS(W2101)</f>
        <v/>
      </c>
    </row>
    <row r="2102" ht="11.4" customHeight="1">
      <c r="A2102" s="67" t="inlineStr">
        <is>
          <t>大甜68</t>
        </is>
      </c>
      <c r="B2102" s="67" t="inlineStr">
        <is>
          <t>1066</t>
        </is>
      </c>
      <c r="C2102" s="67" t="inlineStr">
        <is>
          <t>1612</t>
        </is>
      </c>
      <c r="D2102" s="68" t="inlineStr">
        <is>
          <t>03</t>
        </is>
      </c>
      <c r="E2102" s="68" t="inlineStr">
        <is>
          <t>6 物业施工费</t>
        </is>
      </c>
      <c r="F2102" s="68" t="inlineStr">
        <is>
          <t>6.1 总承包工程</t>
        </is>
      </c>
      <c r="G2102" s="68" t="inlineStr">
        <is>
          <t>6.1.2 电气工程</t>
        </is>
      </c>
      <c r="H2102" s="68" t="inlineStr">
        <is>
          <t>空调电气(包含电管、电线及所有配件辅材)</t>
        </is>
      </c>
      <c r="I2102" s="69" t="inlineStr">
        <is>
          <t>1000021904</t>
        </is>
      </c>
      <c r="J2102" s="69" t="inlineStr">
        <is>
          <t>新风/排风机电源</t>
        </is>
      </c>
      <c r="K2102" s="70" t="n"/>
      <c r="L2102" s="70" t="n"/>
      <c r="M2102" s="71" t="inlineStr">
        <is>
          <t>个</t>
        </is>
      </c>
      <c r="N2102" s="72" t="n">
        <v>829.5</v>
      </c>
      <c r="O2102" s="72">
        <f>ROUND(N2102*(1+$F$10),2)</f>
        <v/>
      </c>
      <c r="P2102" s="73">
        <f>ROUND(K2102*N2102,2)</f>
        <v/>
      </c>
      <c r="Q2102" s="74">
        <f>ROUND(L2102*N2102,2)</f>
        <v/>
      </c>
      <c r="R2102" s="75" t="n"/>
      <c r="S2102" s="76" t="n"/>
      <c r="T2102" s="77">
        <f>K2102-L2102</f>
        <v/>
      </c>
      <c r="U2102" s="77">
        <f>P2102-Q2102</f>
        <v/>
      </c>
      <c r="V2102" s="77">
        <f>ABS(U2102)</f>
        <v/>
      </c>
      <c r="W2102" s="78">
        <f>T2102/L2102</f>
        <v/>
      </c>
      <c r="X2102" s="79">
        <f>ABS(W2102)</f>
        <v/>
      </c>
    </row>
    <row r="2103" ht="11.4" customHeight="1">
      <c r="A2103" s="67" t="inlineStr">
        <is>
          <t>大甜68</t>
        </is>
      </c>
      <c r="B2103" s="67" t="inlineStr">
        <is>
          <t>1066</t>
        </is>
      </c>
      <c r="C2103" s="67" t="inlineStr">
        <is>
          <t>1612</t>
        </is>
      </c>
      <c r="D2103" s="68" t="inlineStr">
        <is>
          <t>03</t>
        </is>
      </c>
      <c r="E2103" s="68" t="inlineStr">
        <is>
          <t>6 物业施工费</t>
        </is>
      </c>
      <c r="F2103" s="68" t="inlineStr">
        <is>
          <t>6.1 总承包工程</t>
        </is>
      </c>
      <c r="G2103" s="68" t="inlineStr">
        <is>
          <t>6.1.2 电气工程</t>
        </is>
      </c>
      <c r="H2103" s="68" t="inlineStr">
        <is>
          <t>空调电气(包含电管、电线及所有配件辅材)</t>
        </is>
      </c>
      <c r="I2103" s="69" t="inlineStr">
        <is>
          <t>1000021905</t>
        </is>
      </c>
      <c r="J2103" s="69" t="inlineStr">
        <is>
          <t>小型排风扇电源</t>
        </is>
      </c>
      <c r="K2103" s="70" t="n"/>
      <c r="L2103" s="70" t="n"/>
      <c r="M2103" s="71" t="inlineStr">
        <is>
          <t>个</t>
        </is>
      </c>
      <c r="N2103" s="72" t="n">
        <v>698.6</v>
      </c>
      <c r="O2103" s="72">
        <f>ROUND(N2103*(1+$F$10),2)</f>
        <v/>
      </c>
      <c r="P2103" s="73">
        <f>ROUND(K2103*N2103,2)</f>
        <v/>
      </c>
      <c r="Q2103" s="74">
        <f>ROUND(L2103*N2103,2)</f>
        <v/>
      </c>
      <c r="R2103" s="75" t="n"/>
      <c r="S2103" s="76" t="n"/>
      <c r="T2103" s="77">
        <f>K2103-L2103</f>
        <v/>
      </c>
      <c r="U2103" s="77">
        <f>P2103-Q2103</f>
        <v/>
      </c>
      <c r="V2103" s="77">
        <f>ABS(U2103)</f>
        <v/>
      </c>
      <c r="W2103" s="78">
        <f>T2103/L2103</f>
        <v/>
      </c>
      <c r="X2103" s="79">
        <f>ABS(W2103)</f>
        <v/>
      </c>
    </row>
    <row r="2104" ht="11.4" customHeight="1">
      <c r="A2104" s="67" t="inlineStr">
        <is>
          <t>大甜68</t>
        </is>
      </c>
      <c r="B2104" s="67" t="inlineStr">
        <is>
          <t>1066</t>
        </is>
      </c>
      <c r="C2104" s="67" t="inlineStr">
        <is>
          <t>1612</t>
        </is>
      </c>
      <c r="D2104" s="68" t="inlineStr">
        <is>
          <t>03</t>
        </is>
      </c>
      <c r="E2104" s="68" t="inlineStr">
        <is>
          <t>6 物业施工费</t>
        </is>
      </c>
      <c r="F2104" s="68" t="inlineStr">
        <is>
          <t>6.1 总承包工程</t>
        </is>
      </c>
      <c r="G2104" s="68" t="inlineStr">
        <is>
          <t>6.1.2 电气工程</t>
        </is>
      </c>
      <c r="H2104" s="68" t="inlineStr">
        <is>
          <t>空调电气(包含电管、电线及所有配件辅材)</t>
        </is>
      </c>
      <c r="I2104" s="69" t="inlineStr">
        <is>
          <t>1000021906</t>
        </is>
      </c>
      <c r="J2104" s="69" t="inlineStr">
        <is>
          <t>油烟净化器电源</t>
        </is>
      </c>
      <c r="K2104" s="70" t="n"/>
      <c r="L2104" s="70" t="n"/>
      <c r="M2104" s="71" t="inlineStr">
        <is>
          <t>个</t>
        </is>
      </c>
      <c r="N2104" s="72" t="n">
        <v>996.7</v>
      </c>
      <c r="O2104" s="72">
        <f>ROUND(N2104*(1+$F$10),2)</f>
        <v/>
      </c>
      <c r="P2104" s="73">
        <f>ROUND(K2104*N2104,2)</f>
        <v/>
      </c>
      <c r="Q2104" s="74">
        <f>ROUND(L2104*N2104,2)</f>
        <v/>
      </c>
      <c r="R2104" s="75" t="n"/>
      <c r="S2104" s="76" t="n"/>
      <c r="T2104" s="77">
        <f>K2104-L2104</f>
        <v/>
      </c>
      <c r="U2104" s="77">
        <f>P2104-Q2104</f>
        <v/>
      </c>
      <c r="V2104" s="77">
        <f>ABS(U2104)</f>
        <v/>
      </c>
      <c r="W2104" s="78">
        <f>T2104/L2104</f>
        <v/>
      </c>
      <c r="X2104" s="79">
        <f>ABS(W2104)</f>
        <v/>
      </c>
    </row>
    <row r="2105" ht="11.4" customHeight="1">
      <c r="A2105" s="67" t="inlineStr">
        <is>
          <t>大甜68</t>
        </is>
      </c>
      <c r="B2105" s="67" t="inlineStr">
        <is>
          <t>1066</t>
        </is>
      </c>
      <c r="C2105" s="67" t="inlineStr">
        <is>
          <t>1612</t>
        </is>
      </c>
      <c r="D2105" s="68" t="inlineStr">
        <is>
          <t>03</t>
        </is>
      </c>
      <c r="E2105" s="68" t="inlineStr">
        <is>
          <t>6 物业施工费</t>
        </is>
      </c>
      <c r="F2105" s="68" t="inlineStr">
        <is>
          <t>6.1 总承包工程</t>
        </is>
      </c>
      <c r="G2105" s="68" t="inlineStr">
        <is>
          <t>6.1.2 电气工程</t>
        </is>
      </c>
      <c r="H2105" s="68" t="inlineStr">
        <is>
          <t>空调电气(包含电管、电线及所有配件辅材)</t>
        </is>
      </c>
      <c r="I2105" s="69" t="inlineStr">
        <is>
          <t>1000021907</t>
        </is>
      </c>
      <c r="J2105" s="69" t="inlineStr">
        <is>
          <t>风幕机电源</t>
        </is>
      </c>
      <c r="K2105" s="70" t="n"/>
      <c r="L2105" s="70" t="n"/>
      <c r="M2105" s="71" t="inlineStr">
        <is>
          <t>个</t>
        </is>
      </c>
      <c r="N2105" s="72" t="n">
        <v>563.75</v>
      </c>
      <c r="O2105" s="72">
        <f>ROUND(N2105*(1+$F$10),2)</f>
        <v/>
      </c>
      <c r="P2105" s="73">
        <f>ROUND(K2105*N2105,2)</f>
        <v/>
      </c>
      <c r="Q2105" s="74">
        <f>ROUND(L2105*N2105,2)</f>
        <v/>
      </c>
      <c r="R2105" s="75" t="n"/>
      <c r="S2105" s="76" t="n"/>
      <c r="T2105" s="77">
        <f>K2105-L2105</f>
        <v/>
      </c>
      <c r="U2105" s="77">
        <f>P2105-Q2105</f>
        <v/>
      </c>
      <c r="V2105" s="77">
        <f>ABS(U2105)</f>
        <v/>
      </c>
      <c r="W2105" s="78">
        <f>T2105/L2105</f>
        <v/>
      </c>
      <c r="X2105" s="79">
        <f>ABS(W2105)</f>
        <v/>
      </c>
    </row>
    <row r="2106" ht="11.4" customHeight="1">
      <c r="A2106" s="67" t="inlineStr">
        <is>
          <t>大甜68</t>
        </is>
      </c>
      <c r="B2106" s="67" t="inlineStr">
        <is>
          <t>1066</t>
        </is>
      </c>
      <c r="C2106" s="67" t="inlineStr">
        <is>
          <t>1612</t>
        </is>
      </c>
      <c r="D2106" s="68" t="inlineStr">
        <is>
          <t>03</t>
        </is>
      </c>
      <c r="E2106" s="68" t="inlineStr">
        <is>
          <t>6 物业施工费</t>
        </is>
      </c>
      <c r="F2106" s="68" t="inlineStr">
        <is>
          <t>6.1 总承包工程</t>
        </is>
      </c>
      <c r="G2106" s="68" t="inlineStr">
        <is>
          <t>6.1.2 电气工程</t>
        </is>
      </c>
      <c r="H2106" s="68" t="inlineStr">
        <is>
          <t>空调电气(包含电管、电线及所有配件辅材)</t>
        </is>
      </c>
      <c r="I2106" s="69" t="inlineStr">
        <is>
          <t>1000021908</t>
        </is>
      </c>
      <c r="J2106" s="69" t="inlineStr">
        <is>
          <t>吊扇电源</t>
        </is>
      </c>
      <c r="K2106" s="70" t="n"/>
      <c r="L2106" s="70" t="n"/>
      <c r="M2106" s="71" t="inlineStr">
        <is>
          <t>个</t>
        </is>
      </c>
      <c r="N2106" s="72" t="n">
        <v>551.65</v>
      </c>
      <c r="O2106" s="72">
        <f>ROUND(N2106*(1+$F$10),2)</f>
        <v/>
      </c>
      <c r="P2106" s="73">
        <f>ROUND(K2106*N2106,2)</f>
        <v/>
      </c>
      <c r="Q2106" s="74">
        <f>ROUND(L2106*N2106,2)</f>
        <v/>
      </c>
      <c r="R2106" s="75" t="n"/>
      <c r="S2106" s="76" t="n"/>
      <c r="T2106" s="77">
        <f>K2106-L2106</f>
        <v/>
      </c>
      <c r="U2106" s="77">
        <f>P2106-Q2106</f>
        <v/>
      </c>
      <c r="V2106" s="77">
        <f>ABS(U2106)</f>
        <v/>
      </c>
      <c r="W2106" s="78">
        <f>T2106/L2106</f>
        <v/>
      </c>
      <c r="X2106" s="79">
        <f>ABS(W2106)</f>
        <v/>
      </c>
    </row>
    <row r="2107" ht="11.4" customHeight="1">
      <c r="A2107" s="67" t="inlineStr">
        <is>
          <t>大甜68</t>
        </is>
      </c>
      <c r="B2107" s="67" t="inlineStr">
        <is>
          <t>1066</t>
        </is>
      </c>
      <c r="C2107" s="67" t="inlineStr">
        <is>
          <t>1612</t>
        </is>
      </c>
      <c r="D2107" s="68" t="inlineStr">
        <is>
          <t>03</t>
        </is>
      </c>
      <c r="E2107" s="68" t="inlineStr">
        <is>
          <t>6 物业施工费</t>
        </is>
      </c>
      <c r="F2107" s="68" t="inlineStr">
        <is>
          <t>6.1 总承包工程</t>
        </is>
      </c>
      <c r="G2107" s="68" t="inlineStr">
        <is>
          <t>6.1.2 电气工程</t>
        </is>
      </c>
      <c r="H2107" s="68" t="inlineStr">
        <is>
          <t>空调电气(包含电管、电线及所有配件辅材)</t>
        </is>
      </c>
      <c r="I2107" s="69" t="inlineStr">
        <is>
          <t>1000021909</t>
        </is>
      </c>
      <c r="J2107" s="69" t="inlineStr">
        <is>
          <t>经理室空调控制箱</t>
        </is>
      </c>
      <c r="K2107" s="70" t="n"/>
      <c r="L2107" s="70" t="n"/>
      <c r="M2107" s="71" t="inlineStr">
        <is>
          <t>个</t>
        </is>
      </c>
      <c r="N2107" s="72" t="n">
        <v>252.22</v>
      </c>
      <c r="O2107" s="72">
        <f>ROUND(N2107*(1+$F$10),2)</f>
        <v/>
      </c>
      <c r="P2107" s="73">
        <f>ROUND(K2107*N2107,2)</f>
        <v/>
      </c>
      <c r="Q2107" s="74">
        <f>ROUND(L2107*N2107,2)</f>
        <v/>
      </c>
      <c r="R2107" s="75" t="n"/>
      <c r="S2107" s="76" t="n"/>
      <c r="T2107" s="77">
        <f>K2107-L2107</f>
        <v/>
      </c>
      <c r="U2107" s="77">
        <f>P2107-Q2107</f>
        <v/>
      </c>
      <c r="V2107" s="77">
        <f>ABS(U2107)</f>
        <v/>
      </c>
      <c r="W2107" s="78">
        <f>T2107/L2107</f>
        <v/>
      </c>
      <c r="X2107" s="79">
        <f>ABS(W2107)</f>
        <v/>
      </c>
    </row>
    <row r="2108" ht="11.4" customHeight="1">
      <c r="A2108" s="67" t="inlineStr">
        <is>
          <t>大甜68</t>
        </is>
      </c>
      <c r="B2108" s="67" t="inlineStr">
        <is>
          <t>1066</t>
        </is>
      </c>
      <c r="C2108" s="67" t="inlineStr">
        <is>
          <t>1612</t>
        </is>
      </c>
      <c r="D2108" s="68" t="inlineStr">
        <is>
          <t>03</t>
        </is>
      </c>
      <c r="E2108" s="68" t="inlineStr">
        <is>
          <t>6 物业施工费</t>
        </is>
      </c>
      <c r="F2108" s="68" t="inlineStr">
        <is>
          <t>6.1 总承包工程</t>
        </is>
      </c>
      <c r="G2108" s="68" t="inlineStr">
        <is>
          <t>6.1.2 电气工程</t>
        </is>
      </c>
      <c r="H2108" s="68" t="inlineStr">
        <is>
          <t>空调电气(包含电管、电线及所有配件辅材)</t>
        </is>
      </c>
      <c r="I2108" s="69" t="inlineStr">
        <is>
          <t>1000021910</t>
        </is>
      </c>
      <c r="J2108" s="69" t="inlineStr">
        <is>
          <t>25匹冷冻水系统风机盘管电源</t>
        </is>
      </c>
      <c r="K2108" s="70" t="n"/>
      <c r="L2108" s="70" t="n"/>
      <c r="M2108" s="71" t="inlineStr">
        <is>
          <t>米</t>
        </is>
      </c>
      <c r="N2108" s="72" t="n">
        <v>51.8</v>
      </c>
      <c r="O2108" s="72">
        <f>ROUND(N2108*(1+$F$10),2)</f>
        <v/>
      </c>
      <c r="P2108" s="73">
        <f>ROUND(K2108*N2108,2)</f>
        <v/>
      </c>
      <c r="Q2108" s="74">
        <f>ROUND(L2108*N2108,2)</f>
        <v/>
      </c>
      <c r="R2108" s="75" t="n"/>
      <c r="S2108" s="76" t="n"/>
      <c r="T2108" s="77">
        <f>K2108-L2108</f>
        <v/>
      </c>
      <c r="U2108" s="77">
        <f>P2108-Q2108</f>
        <v/>
      </c>
      <c r="V2108" s="77">
        <f>ABS(U2108)</f>
        <v/>
      </c>
      <c r="W2108" s="78">
        <f>T2108/L2108</f>
        <v/>
      </c>
      <c r="X2108" s="79">
        <f>ABS(W2108)</f>
        <v/>
      </c>
    </row>
    <row r="2109" ht="11.4" customHeight="1">
      <c r="A2109" s="67" t="inlineStr">
        <is>
          <t>大甜68</t>
        </is>
      </c>
      <c r="B2109" s="67" t="inlineStr">
        <is>
          <t>1066</t>
        </is>
      </c>
      <c r="C2109" s="67" t="inlineStr">
        <is>
          <t>1612</t>
        </is>
      </c>
      <c r="D2109" s="68" t="inlineStr">
        <is>
          <t>03</t>
        </is>
      </c>
      <c r="E2109" s="68" t="inlineStr">
        <is>
          <t>6 物业施工费</t>
        </is>
      </c>
      <c r="F2109" s="68" t="inlineStr">
        <is>
          <t>6.1 总承包工程</t>
        </is>
      </c>
      <c r="G2109" s="68" t="inlineStr">
        <is>
          <t>6.1.2 电气工程</t>
        </is>
      </c>
      <c r="H2109" s="68" t="inlineStr">
        <is>
          <t>空调电气(包含电管、电线及所有配件辅材)</t>
        </is>
      </c>
      <c r="I2109" s="69" t="inlineStr">
        <is>
          <t>1000021911</t>
        </is>
      </c>
      <c r="J2109" s="69" t="inlineStr">
        <is>
          <t>15-20匹冷冻水系统风机盘管电源</t>
        </is>
      </c>
      <c r="K2109" s="70" t="n"/>
      <c r="L2109" s="70" t="n"/>
      <c r="M2109" s="71" t="inlineStr">
        <is>
          <t>米</t>
        </is>
      </c>
      <c r="N2109" s="72" t="n">
        <v>73.06</v>
      </c>
      <c r="O2109" s="72">
        <f>ROUND(N2109*(1+$F$10),2)</f>
        <v/>
      </c>
      <c r="P2109" s="73">
        <f>ROUND(K2109*N2109,2)</f>
        <v/>
      </c>
      <c r="Q2109" s="74">
        <f>ROUND(L2109*N2109,2)</f>
        <v/>
      </c>
      <c r="R2109" s="75" t="n"/>
      <c r="S2109" s="76" t="n"/>
      <c r="T2109" s="77">
        <f>K2109-L2109</f>
        <v/>
      </c>
      <c r="U2109" s="77">
        <f>P2109-Q2109</f>
        <v/>
      </c>
      <c r="V2109" s="77">
        <f>ABS(U2109)</f>
        <v/>
      </c>
      <c r="W2109" s="78">
        <f>T2109/L2109</f>
        <v/>
      </c>
      <c r="X2109" s="79">
        <f>ABS(W2109)</f>
        <v/>
      </c>
    </row>
    <row r="2110" ht="11.4" customHeight="1">
      <c r="A2110" s="67" t="inlineStr">
        <is>
          <t>大甜68</t>
        </is>
      </c>
      <c r="B2110" s="67" t="inlineStr">
        <is>
          <t>1066</t>
        </is>
      </c>
      <c r="C2110" s="67" t="inlineStr">
        <is>
          <t>1612</t>
        </is>
      </c>
      <c r="D2110" s="68" t="inlineStr">
        <is>
          <t>03</t>
        </is>
      </c>
      <c r="E2110" s="68" t="inlineStr">
        <is>
          <t>6 物业施工费</t>
        </is>
      </c>
      <c r="F2110" s="68" t="inlineStr">
        <is>
          <t>6.1 总承包工程</t>
        </is>
      </c>
      <c r="G2110" s="68" t="inlineStr">
        <is>
          <t>6.1.2 电气工程</t>
        </is>
      </c>
      <c r="H2110" s="68" t="inlineStr">
        <is>
          <t>空调电气(包含电管、电线及所有配件辅材)</t>
        </is>
      </c>
      <c r="I2110" s="69" t="inlineStr">
        <is>
          <t>1000021912</t>
        </is>
      </c>
      <c r="J2110" s="69" t="inlineStr">
        <is>
          <t>6-12匹冷冻水系统风机盘管电源</t>
        </is>
      </c>
      <c r="K2110" s="70" t="n"/>
      <c r="L2110" s="70" t="n"/>
      <c r="M2110" s="71" t="inlineStr">
        <is>
          <t>米</t>
        </is>
      </c>
      <c r="N2110" s="72" t="n">
        <v>55.68</v>
      </c>
      <c r="O2110" s="72">
        <f>ROUND(N2110*(1+$F$10),2)</f>
        <v/>
      </c>
      <c r="P2110" s="73">
        <f>ROUND(K2110*N2110,2)</f>
        <v/>
      </c>
      <c r="Q2110" s="74">
        <f>ROUND(L2110*N2110,2)</f>
        <v/>
      </c>
      <c r="R2110" s="75" t="n"/>
      <c r="S2110" s="76" t="n"/>
      <c r="T2110" s="77">
        <f>K2110-L2110</f>
        <v/>
      </c>
      <c r="U2110" s="77">
        <f>P2110-Q2110</f>
        <v/>
      </c>
      <c r="V2110" s="77">
        <f>ABS(U2110)</f>
        <v/>
      </c>
      <c r="W2110" s="78">
        <f>T2110/L2110</f>
        <v/>
      </c>
      <c r="X2110" s="79">
        <f>ABS(W2110)</f>
        <v/>
      </c>
    </row>
    <row r="2111" ht="11.4" customHeight="1">
      <c r="A2111" s="67" t="inlineStr">
        <is>
          <t>大甜68</t>
        </is>
      </c>
      <c r="B2111" s="67" t="inlineStr">
        <is>
          <t>1066</t>
        </is>
      </c>
      <c r="C2111" s="67" t="inlineStr">
        <is>
          <t>1612</t>
        </is>
      </c>
      <c r="D2111" s="68" t="inlineStr">
        <is>
          <t>03</t>
        </is>
      </c>
      <c r="E2111" s="68" t="inlineStr">
        <is>
          <t>6 物业施工费</t>
        </is>
      </c>
      <c r="F2111" s="68" t="inlineStr">
        <is>
          <t>6.1 总承包工程</t>
        </is>
      </c>
      <c r="G2111" s="68" t="inlineStr">
        <is>
          <t>6.1.2 电气工程</t>
        </is>
      </c>
      <c r="H2111" s="68" t="inlineStr">
        <is>
          <t>空调电气(包含电管、电线及所有配件辅材)</t>
        </is>
      </c>
      <c r="I2111" s="69" t="inlineStr">
        <is>
          <t>1000021913</t>
        </is>
      </c>
      <c r="J2111" s="69" t="inlineStr">
        <is>
          <t>2-5匹冷冻水系统风机盘管电源</t>
        </is>
      </c>
      <c r="K2111" s="70" t="n"/>
      <c r="L2111" s="70" t="n"/>
      <c r="M2111" s="71" t="inlineStr">
        <is>
          <t>米</t>
        </is>
      </c>
      <c r="N2111" s="72" t="n">
        <v>37.65</v>
      </c>
      <c r="O2111" s="72">
        <f>ROUND(N2111*(1+$F$10),2)</f>
        <v/>
      </c>
      <c r="P2111" s="73">
        <f>ROUND(K2111*N2111,2)</f>
        <v/>
      </c>
      <c r="Q2111" s="74">
        <f>ROUND(L2111*N2111,2)</f>
        <v/>
      </c>
      <c r="R2111" s="75" t="n"/>
      <c r="S2111" s="76" t="n"/>
      <c r="T2111" s="77">
        <f>K2111-L2111</f>
        <v/>
      </c>
      <c r="U2111" s="77">
        <f>P2111-Q2111</f>
        <v/>
      </c>
      <c r="V2111" s="77">
        <f>ABS(U2111)</f>
        <v/>
      </c>
      <c r="W2111" s="78">
        <f>T2111/L2111</f>
        <v/>
      </c>
      <c r="X2111" s="79">
        <f>ABS(W2111)</f>
        <v/>
      </c>
    </row>
    <row r="2112" ht="11.4" customHeight="1">
      <c r="A2112" s="67" t="inlineStr">
        <is>
          <t>大甜68</t>
        </is>
      </c>
      <c r="B2112" s="67" t="inlineStr">
        <is>
          <t>1066</t>
        </is>
      </c>
      <c r="C2112" s="67" t="inlineStr">
        <is>
          <t>1612</t>
        </is>
      </c>
      <c r="D2112" s="68" t="inlineStr">
        <is>
          <t>03</t>
        </is>
      </c>
      <c r="E2112" s="68" t="inlineStr">
        <is>
          <t>6 物业施工费</t>
        </is>
      </c>
      <c r="F2112" s="68" t="inlineStr">
        <is>
          <t>6.1 总承包工程</t>
        </is>
      </c>
      <c r="G2112" s="68" t="inlineStr">
        <is>
          <t>6.1.2 电气工程</t>
        </is>
      </c>
      <c r="H2112" s="68" t="inlineStr">
        <is>
          <t>空调电气(包含电管、电线及所有配件辅材)</t>
        </is>
      </c>
      <c r="I2112" s="69" t="inlineStr">
        <is>
          <t>1000021914</t>
        </is>
      </c>
      <c r="J2112" s="69" t="inlineStr">
        <is>
          <t>北区电加热电源及控制线</t>
        </is>
      </c>
      <c r="K2112" s="70" t="n"/>
      <c r="L2112" s="70" t="n"/>
      <c r="M2112" s="71" t="inlineStr">
        <is>
          <t>套</t>
        </is>
      </c>
      <c r="N2112" s="72" t="n">
        <v>842.05</v>
      </c>
      <c r="O2112" s="72">
        <f>ROUND(N2112*(1+$F$10),2)</f>
        <v/>
      </c>
      <c r="P2112" s="73">
        <f>ROUND(K2112*N2112,2)</f>
        <v/>
      </c>
      <c r="Q2112" s="74">
        <f>ROUND(L2112*N2112,2)</f>
        <v/>
      </c>
      <c r="R2112" s="75" t="n"/>
      <c r="S2112" s="76" t="n"/>
      <c r="T2112" s="77">
        <f>K2112-L2112</f>
        <v/>
      </c>
      <c r="U2112" s="77">
        <f>P2112-Q2112</f>
        <v/>
      </c>
      <c r="V2112" s="77">
        <f>ABS(U2112)</f>
        <v/>
      </c>
      <c r="W2112" s="78">
        <f>T2112/L2112</f>
        <v/>
      </c>
      <c r="X2112" s="79">
        <f>ABS(W2112)</f>
        <v/>
      </c>
    </row>
    <row r="2113" ht="11.4" customHeight="1">
      <c r="A2113" s="67" t="inlineStr">
        <is>
          <t>大甜68</t>
        </is>
      </c>
      <c r="B2113" s="67" t="inlineStr">
        <is>
          <t>1066</t>
        </is>
      </c>
      <c r="C2113" s="67" t="inlineStr">
        <is>
          <t>1612</t>
        </is>
      </c>
      <c r="D2113" s="68" t="inlineStr">
        <is>
          <t>03</t>
        </is>
      </c>
      <c r="E2113" s="68" t="inlineStr">
        <is>
          <t>6 物业施工费</t>
        </is>
      </c>
      <c r="F2113" s="68" t="inlineStr">
        <is>
          <t>6.1 总承包工程</t>
        </is>
      </c>
      <c r="G2113" s="68" t="inlineStr">
        <is>
          <t>6.1.2 电气工程</t>
        </is>
      </c>
      <c r="H2113" s="68" t="inlineStr">
        <is>
          <t>招牌电气(包含电管、电线及所以配件辅材)</t>
        </is>
      </c>
      <c r="I2113" s="69" t="inlineStr">
        <is>
          <t>1000021915</t>
        </is>
      </c>
      <c r="J2113" s="69" t="inlineStr">
        <is>
          <t>16A门头招牌电源</t>
        </is>
      </c>
      <c r="K2113" s="70" t="n"/>
      <c r="L2113" s="70" t="n"/>
      <c r="M2113" s="71" t="inlineStr">
        <is>
          <t>个</t>
        </is>
      </c>
      <c r="N2113" s="72" t="n">
        <v>505.45</v>
      </c>
      <c r="O2113" s="72">
        <f>ROUND(N2113*(1+$F$10),2)</f>
        <v/>
      </c>
      <c r="P2113" s="73">
        <f>ROUND(K2113*N2113,2)</f>
        <v/>
      </c>
      <c r="Q2113" s="74">
        <f>ROUND(L2113*N2113,2)</f>
        <v/>
      </c>
      <c r="R2113" s="75" t="n"/>
      <c r="S2113" s="76" t="n"/>
      <c r="T2113" s="77">
        <f>K2113-L2113</f>
        <v/>
      </c>
      <c r="U2113" s="77">
        <f>P2113-Q2113</f>
        <v/>
      </c>
      <c r="V2113" s="77">
        <f>ABS(U2113)</f>
        <v/>
      </c>
      <c r="W2113" s="78">
        <f>T2113/L2113</f>
        <v/>
      </c>
      <c r="X2113" s="79">
        <f>ABS(W2113)</f>
        <v/>
      </c>
    </row>
    <row r="2114" ht="11.4" customHeight="1">
      <c r="A2114" s="67" t="inlineStr">
        <is>
          <t>大甜68</t>
        </is>
      </c>
      <c r="B2114" s="67" t="inlineStr">
        <is>
          <t>1066</t>
        </is>
      </c>
      <c r="C2114" s="67" t="inlineStr">
        <is>
          <t>1612</t>
        </is>
      </c>
      <c r="D2114" s="68" t="inlineStr">
        <is>
          <t>03</t>
        </is>
      </c>
      <c r="E2114" s="68" t="inlineStr">
        <is>
          <t>6 物业施工费</t>
        </is>
      </c>
      <c r="F2114" s="68" t="inlineStr">
        <is>
          <t>6.1 总承包工程</t>
        </is>
      </c>
      <c r="G2114" s="68" t="inlineStr">
        <is>
          <t>6.1.2 电气工程</t>
        </is>
      </c>
      <c r="H2114" s="68" t="inlineStr">
        <is>
          <t>招牌电气(包含电管、电线及所以配件辅材)</t>
        </is>
      </c>
      <c r="I2114" s="69" t="inlineStr">
        <is>
          <t>1000021916</t>
        </is>
      </c>
      <c r="J2114" s="69" t="inlineStr">
        <is>
          <t>20A侧招电源</t>
        </is>
      </c>
      <c r="K2114" s="70" t="n"/>
      <c r="L2114" s="70" t="n"/>
      <c r="M2114" s="71" t="inlineStr">
        <is>
          <t>米</t>
        </is>
      </c>
      <c r="N2114" s="72" t="n">
        <v>34.75</v>
      </c>
      <c r="O2114" s="72">
        <f>ROUND(N2114*(1+$F$10),2)</f>
        <v/>
      </c>
      <c r="P2114" s="73">
        <f>ROUND(K2114*N2114,2)</f>
        <v/>
      </c>
      <c r="Q2114" s="74">
        <f>ROUND(L2114*N2114,2)</f>
        <v/>
      </c>
      <c r="R2114" s="75" t="n"/>
      <c r="S2114" s="76" t="n"/>
      <c r="T2114" s="77">
        <f>K2114-L2114</f>
        <v/>
      </c>
      <c r="U2114" s="77">
        <f>P2114-Q2114</f>
        <v/>
      </c>
      <c r="V2114" s="77">
        <f>ABS(U2114)</f>
        <v/>
      </c>
      <c r="W2114" s="78">
        <f>T2114/L2114</f>
        <v/>
      </c>
      <c r="X2114" s="79">
        <f>ABS(W2114)</f>
        <v/>
      </c>
    </row>
    <row r="2115" ht="11.4" customHeight="1">
      <c r="A2115" s="67" t="inlineStr">
        <is>
          <t>大甜68</t>
        </is>
      </c>
      <c r="B2115" s="67" t="inlineStr">
        <is>
          <t>1066</t>
        </is>
      </c>
      <c r="C2115" s="67" t="inlineStr">
        <is>
          <t>1612</t>
        </is>
      </c>
      <c r="D2115" s="68" t="inlineStr">
        <is>
          <t>03</t>
        </is>
      </c>
      <c r="E2115" s="68" t="inlineStr">
        <is>
          <t>6 物业施工费</t>
        </is>
      </c>
      <c r="F2115" s="68" t="inlineStr">
        <is>
          <t>6.1 总承包工程</t>
        </is>
      </c>
      <c r="G2115" s="68" t="inlineStr">
        <is>
          <t>6.1.2 电气工程</t>
        </is>
      </c>
      <c r="H2115" s="68" t="inlineStr">
        <is>
          <t>招牌电气(包含电管、电线及所以配件辅材)</t>
        </is>
      </c>
      <c r="I2115" s="69" t="inlineStr">
        <is>
          <t>1000021917</t>
        </is>
      </c>
      <c r="J2115" s="69" t="inlineStr">
        <is>
          <t>20A杆标电源</t>
        </is>
      </c>
      <c r="K2115" s="70" t="n"/>
      <c r="L2115" s="70" t="n"/>
      <c r="M2115" s="71" t="inlineStr">
        <is>
          <t>米</t>
        </is>
      </c>
      <c r="N2115" s="72" t="n">
        <v>34.75</v>
      </c>
      <c r="O2115" s="72">
        <f>ROUND(N2115*(1+$F$10),2)</f>
        <v/>
      </c>
      <c r="P2115" s="73">
        <f>ROUND(K2115*N2115,2)</f>
        <v/>
      </c>
      <c r="Q2115" s="74">
        <f>ROUND(L2115*N2115,2)</f>
        <v/>
      </c>
      <c r="R2115" s="75" t="n"/>
      <c r="S2115" s="76" t="n"/>
      <c r="T2115" s="77">
        <f>K2115-L2115</f>
        <v/>
      </c>
      <c r="U2115" s="77">
        <f>P2115-Q2115</f>
        <v/>
      </c>
      <c r="V2115" s="77">
        <f>ABS(U2115)</f>
        <v/>
      </c>
      <c r="W2115" s="78">
        <f>T2115/L2115</f>
        <v/>
      </c>
      <c r="X2115" s="79">
        <f>ABS(W2115)</f>
        <v/>
      </c>
    </row>
    <row r="2116" ht="11.4" customHeight="1">
      <c r="A2116" s="67" t="inlineStr">
        <is>
          <t>大甜68</t>
        </is>
      </c>
      <c r="B2116" s="67" t="inlineStr">
        <is>
          <t>1066</t>
        </is>
      </c>
      <c r="C2116" s="67" t="inlineStr">
        <is>
          <t>1612</t>
        </is>
      </c>
      <c r="D2116" s="68" t="inlineStr">
        <is>
          <t>03</t>
        </is>
      </c>
      <c r="E2116" s="68" t="inlineStr">
        <is>
          <t>6 物业施工费</t>
        </is>
      </c>
      <c r="F2116" s="68" t="inlineStr">
        <is>
          <t>6.1 总承包工程</t>
        </is>
      </c>
      <c r="G2116" s="68" t="inlineStr">
        <is>
          <t>6.1.2 电气工程</t>
        </is>
      </c>
      <c r="H2116" s="68" t="inlineStr">
        <is>
          <t>招牌电气(包含电管、电线及所以配件辅材)</t>
        </is>
      </c>
      <c r="I2116" s="69" t="inlineStr">
        <is>
          <t>1000025195</t>
        </is>
      </c>
      <c r="J2116" s="69" t="inlineStr">
        <is>
          <t>高位招牌小电箱（含时控开关及电表等配件）</t>
        </is>
      </c>
      <c r="K2116" s="70" t="n"/>
      <c r="L2116" s="70" t="n"/>
      <c r="M2116" s="71" t="inlineStr">
        <is>
          <t>套</t>
        </is>
      </c>
      <c r="N2116" s="72" t="n">
        <v>762.65</v>
      </c>
      <c r="O2116" s="72">
        <f>ROUND(N2116*(1+$F$10),2)</f>
        <v/>
      </c>
      <c r="P2116" s="73">
        <f>ROUND(K2116*N2116,2)</f>
        <v/>
      </c>
      <c r="Q2116" s="74">
        <f>ROUND(L2116*N2116,2)</f>
        <v/>
      </c>
      <c r="R2116" s="75" t="n"/>
      <c r="S2116" s="76" t="n"/>
      <c r="T2116" s="77">
        <f>K2116-L2116</f>
        <v/>
      </c>
      <c r="U2116" s="77">
        <f>P2116-Q2116</f>
        <v/>
      </c>
      <c r="V2116" s="77">
        <f>ABS(U2116)</f>
        <v/>
      </c>
      <c r="W2116" s="78">
        <f>T2116/L2116</f>
        <v/>
      </c>
      <c r="X2116" s="79">
        <f>ABS(W2116)</f>
        <v/>
      </c>
    </row>
    <row r="2117" ht="11.4" customHeight="1">
      <c r="A2117" s="67" t="inlineStr">
        <is>
          <t>大甜68</t>
        </is>
      </c>
      <c r="B2117" s="67" t="inlineStr">
        <is>
          <t>1066</t>
        </is>
      </c>
      <c r="C2117" s="67" t="inlineStr">
        <is>
          <t>1612</t>
        </is>
      </c>
      <c r="D2117" s="68" t="inlineStr">
        <is>
          <t>03</t>
        </is>
      </c>
      <c r="E2117" s="68" t="inlineStr">
        <is>
          <t>6 物业施工费</t>
        </is>
      </c>
      <c r="F2117" s="68" t="inlineStr">
        <is>
          <t>6.1 总承包工程</t>
        </is>
      </c>
      <c r="G2117" s="68" t="inlineStr">
        <is>
          <t>6.1.2 电气工程</t>
        </is>
      </c>
      <c r="H2117" s="68" t="inlineStr">
        <is>
          <t>招牌电气(包含电管、电线及所以配件辅材)</t>
        </is>
      </c>
      <c r="I2117" s="69" t="inlineStr">
        <is>
          <t>1000021918</t>
        </is>
      </c>
      <c r="J2117" s="69" t="inlineStr">
        <is>
          <t>1000*700菜单箱电源</t>
        </is>
      </c>
      <c r="K2117" s="70" t="n"/>
      <c r="L2117" s="70" t="n"/>
      <c r="M2117" s="71" t="inlineStr">
        <is>
          <t>个</t>
        </is>
      </c>
      <c r="N2117" s="72" t="n">
        <v>374.11</v>
      </c>
      <c r="O2117" s="72">
        <f>ROUND(N2117*(1+$F$10),2)</f>
        <v/>
      </c>
      <c r="P2117" s="73">
        <f>ROUND(K2117*N2117,2)</f>
        <v/>
      </c>
      <c r="Q2117" s="74">
        <f>ROUND(L2117*N2117,2)</f>
        <v/>
      </c>
      <c r="R2117" s="75" t="n"/>
      <c r="S2117" s="76" t="n"/>
      <c r="T2117" s="77">
        <f>K2117-L2117</f>
        <v/>
      </c>
      <c r="U2117" s="77">
        <f>P2117-Q2117</f>
        <v/>
      </c>
      <c r="V2117" s="77">
        <f>ABS(U2117)</f>
        <v/>
      </c>
      <c r="W2117" s="78">
        <f>T2117/L2117</f>
        <v/>
      </c>
      <c r="X2117" s="79">
        <f>ABS(W2117)</f>
        <v/>
      </c>
    </row>
    <row r="2118" ht="11.4" customHeight="1">
      <c r="A2118" s="67" t="inlineStr">
        <is>
          <t>大甜68</t>
        </is>
      </c>
      <c r="B2118" s="67" t="inlineStr">
        <is>
          <t>1066</t>
        </is>
      </c>
      <c r="C2118" s="67" t="inlineStr">
        <is>
          <t>1612</t>
        </is>
      </c>
      <c r="D2118" s="68" t="inlineStr">
        <is>
          <t>03</t>
        </is>
      </c>
      <c r="E2118" s="68" t="inlineStr">
        <is>
          <t>6 物业施工费</t>
        </is>
      </c>
      <c r="F2118" s="68" t="inlineStr">
        <is>
          <t>6.1 总承包工程</t>
        </is>
      </c>
      <c r="G2118" s="68" t="inlineStr">
        <is>
          <t>6.1.2 电气工程</t>
        </is>
      </c>
      <c r="H2118" s="68" t="inlineStr">
        <is>
          <t>招牌电气(包含电管、电线及所以配件辅材)</t>
        </is>
      </c>
      <c r="I2118" s="69" t="inlineStr">
        <is>
          <t>1000021919</t>
        </is>
      </c>
      <c r="J2118" s="69" t="inlineStr">
        <is>
          <t>指示牌、餐牌电源</t>
        </is>
      </c>
      <c r="K2118" s="70" t="n"/>
      <c r="L2118" s="70" t="n"/>
      <c r="M2118" s="71" t="inlineStr">
        <is>
          <t>米</t>
        </is>
      </c>
      <c r="N2118" s="72" t="n">
        <v>37.94</v>
      </c>
      <c r="O2118" s="72">
        <f>ROUND(N2118*(1+$F$10),2)</f>
        <v/>
      </c>
      <c r="P2118" s="73">
        <f>ROUND(K2118*N2118,2)</f>
        <v/>
      </c>
      <c r="Q2118" s="74">
        <f>ROUND(L2118*N2118,2)</f>
        <v/>
      </c>
      <c r="R2118" s="75" t="n"/>
      <c r="S2118" s="76" t="n"/>
      <c r="T2118" s="77">
        <f>K2118-L2118</f>
        <v/>
      </c>
      <c r="U2118" s="77">
        <f>P2118-Q2118</f>
        <v/>
      </c>
      <c r="V2118" s="77">
        <f>ABS(U2118)</f>
        <v/>
      </c>
      <c r="W2118" s="78">
        <f>T2118/L2118</f>
        <v/>
      </c>
      <c r="X2118" s="79">
        <f>ABS(W2118)</f>
        <v/>
      </c>
    </row>
    <row r="2119" ht="11.4" customHeight="1">
      <c r="A2119" s="67" t="inlineStr">
        <is>
          <t>大甜68</t>
        </is>
      </c>
      <c r="B2119" s="67" t="inlineStr">
        <is>
          <t>1066</t>
        </is>
      </c>
      <c r="C2119" s="67" t="inlineStr">
        <is>
          <t>1612</t>
        </is>
      </c>
      <c r="D2119" s="68" t="inlineStr">
        <is>
          <t>03</t>
        </is>
      </c>
      <c r="E2119" s="68" t="inlineStr">
        <is>
          <t>6 物业施工费</t>
        </is>
      </c>
      <c r="F2119" s="68" t="inlineStr">
        <is>
          <t>6.1 总承包工程</t>
        </is>
      </c>
      <c r="G2119" s="68" t="inlineStr">
        <is>
          <t>6.1.2 电气工程</t>
        </is>
      </c>
      <c r="H2119" s="68" t="inlineStr">
        <is>
          <t>其它电气(包含电管、电线及所以配件辅材)</t>
        </is>
      </c>
      <c r="I2119" s="69" t="inlineStr">
        <is>
          <t>1000021920</t>
        </is>
      </c>
      <c r="J2119" s="69" t="inlineStr">
        <is>
          <t>卷帘门电源</t>
        </is>
      </c>
      <c r="K2119" s="70" t="n"/>
      <c r="L2119" s="70" t="n"/>
      <c r="M2119" s="71" t="inlineStr">
        <is>
          <t>个</t>
        </is>
      </c>
      <c r="N2119" s="72" t="n">
        <v>563.75</v>
      </c>
      <c r="O2119" s="72">
        <f>ROUND(N2119*(1+$F$10),2)</f>
        <v/>
      </c>
      <c r="P2119" s="73">
        <f>ROUND(K2119*N2119,2)</f>
        <v/>
      </c>
      <c r="Q2119" s="74">
        <f>ROUND(L2119*N2119,2)</f>
        <v/>
      </c>
      <c r="R2119" s="75" t="n"/>
      <c r="S2119" s="76" t="n"/>
      <c r="T2119" s="77">
        <f>K2119-L2119</f>
        <v/>
      </c>
      <c r="U2119" s="77">
        <f>P2119-Q2119</f>
        <v/>
      </c>
      <c r="V2119" s="77">
        <f>ABS(U2119)</f>
        <v/>
      </c>
      <c r="W2119" s="78">
        <f>T2119/L2119</f>
        <v/>
      </c>
      <c r="X2119" s="79">
        <f>ABS(W2119)</f>
        <v/>
      </c>
    </row>
    <row r="2120" ht="11.4" customHeight="1">
      <c r="A2120" s="67" t="inlineStr">
        <is>
          <t>大甜68</t>
        </is>
      </c>
      <c r="B2120" s="67" t="inlineStr">
        <is>
          <t>1066</t>
        </is>
      </c>
      <c r="C2120" s="67" t="inlineStr">
        <is>
          <t>1612</t>
        </is>
      </c>
      <c r="D2120" s="68" t="inlineStr">
        <is>
          <t>03</t>
        </is>
      </c>
      <c r="E2120" s="68" t="inlineStr">
        <is>
          <t>6 物业施工费</t>
        </is>
      </c>
      <c r="F2120" s="68" t="inlineStr">
        <is>
          <t>6.1 总承包工程</t>
        </is>
      </c>
      <c r="G2120" s="68" t="inlineStr">
        <is>
          <t>6.1.2 电气工程</t>
        </is>
      </c>
      <c r="H2120" s="68" t="inlineStr">
        <is>
          <t>其它电气(包含电管、电线及所以配件辅材)</t>
        </is>
      </c>
      <c r="I2120" s="69" t="inlineStr">
        <is>
          <t>1000021921</t>
        </is>
      </c>
      <c r="J2120" s="69" t="inlineStr">
        <is>
          <t>happy meal电源</t>
        </is>
      </c>
      <c r="K2120" s="70" t="n"/>
      <c r="L2120" s="70" t="n"/>
      <c r="M2120" s="71" t="inlineStr">
        <is>
          <t>个</t>
        </is>
      </c>
      <c r="N2120" s="72" t="n">
        <v>468.33</v>
      </c>
      <c r="O2120" s="72">
        <f>ROUND(N2120*(1+$F$10),2)</f>
        <v/>
      </c>
      <c r="P2120" s="73">
        <f>ROUND(K2120*N2120,2)</f>
        <v/>
      </c>
      <c r="Q2120" s="74">
        <f>ROUND(L2120*N2120,2)</f>
        <v/>
      </c>
      <c r="R2120" s="75" t="n"/>
      <c r="S2120" s="76" t="n"/>
      <c r="T2120" s="77">
        <f>K2120-L2120</f>
        <v/>
      </c>
      <c r="U2120" s="77">
        <f>P2120-Q2120</f>
        <v/>
      </c>
      <c r="V2120" s="77">
        <f>ABS(U2120)</f>
        <v/>
      </c>
      <c r="W2120" s="78">
        <f>T2120/L2120</f>
        <v/>
      </c>
      <c r="X2120" s="79">
        <f>ABS(W2120)</f>
        <v/>
      </c>
    </row>
    <row r="2121" ht="11.4" customHeight="1">
      <c r="A2121" s="67" t="inlineStr">
        <is>
          <t>大甜68</t>
        </is>
      </c>
      <c r="B2121" s="67" t="inlineStr">
        <is>
          <t>1066</t>
        </is>
      </c>
      <c r="C2121" s="67" t="inlineStr">
        <is>
          <t>1612</t>
        </is>
      </c>
      <c r="D2121" s="68" t="inlineStr">
        <is>
          <t>03</t>
        </is>
      </c>
      <c r="E2121" s="68" t="inlineStr">
        <is>
          <t>6 物业施工费</t>
        </is>
      </c>
      <c r="F2121" s="68" t="inlineStr">
        <is>
          <t>6.1 总承包工程</t>
        </is>
      </c>
      <c r="G2121" s="68" t="inlineStr">
        <is>
          <t>6.1.2 电气工程</t>
        </is>
      </c>
      <c r="H2121" s="68" t="inlineStr">
        <is>
          <t>其它电气(包含电管、电线及所以配件辅材)</t>
        </is>
      </c>
      <c r="I2121" s="69" t="inlineStr">
        <is>
          <t>1000022161</t>
        </is>
      </c>
      <c r="J2121" s="69" t="inlineStr">
        <is>
          <t>SOK电源</t>
        </is>
      </c>
      <c r="K2121" s="70" t="n"/>
      <c r="L2121" s="70" t="n"/>
      <c r="M2121" s="71" t="inlineStr">
        <is>
          <t>组</t>
        </is>
      </c>
      <c r="N2121" s="72" t="n">
        <v>748</v>
      </c>
      <c r="O2121" s="72">
        <f>ROUND(N2121*(1+$F$10),2)</f>
        <v/>
      </c>
      <c r="P2121" s="73">
        <f>ROUND(K2121*N2121,2)</f>
        <v/>
      </c>
      <c r="Q2121" s="74">
        <f>ROUND(L2121*N2121,2)</f>
        <v/>
      </c>
      <c r="R2121" s="75" t="n"/>
      <c r="S2121" s="76" t="n"/>
      <c r="T2121" s="77">
        <f>K2121-L2121</f>
        <v/>
      </c>
      <c r="U2121" s="77">
        <f>P2121-Q2121</f>
        <v/>
      </c>
      <c r="V2121" s="77">
        <f>ABS(U2121)</f>
        <v/>
      </c>
      <c r="W2121" s="78">
        <f>T2121/L2121</f>
        <v/>
      </c>
      <c r="X2121" s="79">
        <f>ABS(W2121)</f>
        <v/>
      </c>
    </row>
    <row r="2122" ht="11.4" customHeight="1">
      <c r="A2122" s="67" t="inlineStr">
        <is>
          <t>大甜68</t>
        </is>
      </c>
      <c r="B2122" s="67" t="inlineStr">
        <is>
          <t>1066</t>
        </is>
      </c>
      <c r="C2122" s="67" t="inlineStr">
        <is>
          <t>1612</t>
        </is>
      </c>
      <c r="D2122" s="68" t="inlineStr">
        <is>
          <t>03</t>
        </is>
      </c>
      <c r="E2122" s="68" t="inlineStr">
        <is>
          <t>6 物业施工费</t>
        </is>
      </c>
      <c r="F2122" s="68" t="inlineStr">
        <is>
          <t>6.1 总承包工程</t>
        </is>
      </c>
      <c r="G2122" s="68" t="inlineStr">
        <is>
          <t>6.1.2 电气工程</t>
        </is>
      </c>
      <c r="H2122" s="68" t="inlineStr">
        <is>
          <t>其它电气(包含电管、电线及所以配件辅材)</t>
        </is>
      </c>
      <c r="I2122" s="69" t="inlineStr">
        <is>
          <t>1000021924</t>
        </is>
      </c>
      <c r="J2122" s="69" t="inlineStr">
        <is>
          <t>数盒系统安装</t>
        </is>
      </c>
      <c r="K2122" s="70" t="n"/>
      <c r="L2122" s="70" t="n"/>
      <c r="M2122" s="71" t="inlineStr">
        <is>
          <t>项</t>
        </is>
      </c>
      <c r="N2122" s="72" t="n">
        <v>1950</v>
      </c>
      <c r="O2122" s="72">
        <f>ROUND(N2122*(1+$F$10),2)</f>
        <v/>
      </c>
      <c r="P2122" s="73">
        <f>ROUND(K2122*N2122,2)</f>
        <v/>
      </c>
      <c r="Q2122" s="74">
        <f>ROUND(L2122*N2122,2)</f>
        <v/>
      </c>
      <c r="R2122" s="75" t="n"/>
      <c r="S2122" s="76" t="n"/>
      <c r="T2122" s="77">
        <f>K2122-L2122</f>
        <v/>
      </c>
      <c r="U2122" s="77">
        <f>P2122-Q2122</f>
        <v/>
      </c>
      <c r="V2122" s="77">
        <f>ABS(U2122)</f>
        <v/>
      </c>
      <c r="W2122" s="78">
        <f>T2122/L2122</f>
        <v/>
      </c>
      <c r="X2122" s="79">
        <f>ABS(W2122)</f>
        <v/>
      </c>
    </row>
    <row r="2123" ht="11.4" customHeight="1">
      <c r="A2123" s="67" t="inlineStr">
        <is>
          <t>大甜68</t>
        </is>
      </c>
      <c r="B2123" s="67" t="inlineStr">
        <is>
          <t>1066</t>
        </is>
      </c>
      <c r="C2123" s="67" t="inlineStr">
        <is>
          <t>1612</t>
        </is>
      </c>
      <c r="D2123" s="68" t="inlineStr">
        <is>
          <t>03</t>
        </is>
      </c>
      <c r="E2123" s="68" t="inlineStr">
        <is>
          <t>6 物业施工费</t>
        </is>
      </c>
      <c r="F2123" s="68" t="inlineStr">
        <is>
          <t>6.1 总承包工程</t>
        </is>
      </c>
      <c r="G2123" s="68" t="inlineStr">
        <is>
          <t>6.1.2 电气工程</t>
        </is>
      </c>
      <c r="H2123" s="68" t="inlineStr">
        <is>
          <t>其它电气(包含电管、电线及所以配件辅材)</t>
        </is>
      </c>
      <c r="I2123" s="69" t="inlineStr">
        <is>
          <t>1000051714</t>
        </is>
      </c>
      <c r="J2123" s="69" t="inlineStr">
        <is>
          <t>消防应急集中控制装置（单层）</t>
        </is>
      </c>
      <c r="K2123" s="70" t="n"/>
      <c r="L2123" s="70" t="n"/>
      <c r="M2123" s="71" t="inlineStr">
        <is>
          <t>套</t>
        </is>
      </c>
      <c r="N2123" s="72" t="n">
        <v>3005.9</v>
      </c>
      <c r="O2123" s="72">
        <f>ROUND(N2123*(1+$F$10),2)</f>
        <v/>
      </c>
      <c r="P2123" s="73">
        <f>ROUND(K2123*N2123,2)</f>
        <v/>
      </c>
      <c r="Q2123" s="74">
        <f>ROUND(L2123*N2123,2)</f>
        <v/>
      </c>
      <c r="R2123" s="75" t="n"/>
      <c r="S2123" s="76" t="n"/>
      <c r="T2123" s="77">
        <f>K2123-L2123</f>
        <v/>
      </c>
      <c r="U2123" s="77">
        <f>P2123-Q2123</f>
        <v/>
      </c>
      <c r="V2123" s="77">
        <f>ABS(U2123)</f>
        <v/>
      </c>
      <c r="W2123" s="78">
        <f>T2123/L2123</f>
        <v/>
      </c>
      <c r="X2123" s="79">
        <f>ABS(W2123)</f>
        <v/>
      </c>
    </row>
    <row r="2124" ht="11.4" customHeight="1">
      <c r="A2124" s="67" t="inlineStr">
        <is>
          <t>大甜68</t>
        </is>
      </c>
      <c r="B2124" s="67" t="inlineStr">
        <is>
          <t>1066</t>
        </is>
      </c>
      <c r="C2124" s="67" t="inlineStr">
        <is>
          <t>1612</t>
        </is>
      </c>
      <c r="D2124" s="68" t="inlineStr">
        <is>
          <t>03</t>
        </is>
      </c>
      <c r="E2124" s="68" t="inlineStr">
        <is>
          <t>6 物业施工费</t>
        </is>
      </c>
      <c r="F2124" s="68" t="inlineStr">
        <is>
          <t>6.1 总承包工程</t>
        </is>
      </c>
      <c r="G2124" s="68" t="inlineStr">
        <is>
          <t>6.1.2 电气工程</t>
        </is>
      </c>
      <c r="H2124" s="68" t="inlineStr">
        <is>
          <t>其它电气(包含电管、电线及所以配件辅材)</t>
        </is>
      </c>
      <c r="I2124" s="69" t="inlineStr">
        <is>
          <t>1000051715</t>
        </is>
      </c>
      <c r="J2124" s="69" t="inlineStr">
        <is>
          <t>消防应急集中控制装置（双层）</t>
        </is>
      </c>
      <c r="K2124" s="70" t="n"/>
      <c r="L2124" s="70" t="n"/>
      <c r="M2124" s="71" t="inlineStr">
        <is>
          <t>套</t>
        </is>
      </c>
      <c r="N2124" s="72" t="n">
        <v>4713.1</v>
      </c>
      <c r="O2124" s="72">
        <f>ROUND(N2124*(1+$F$10),2)</f>
        <v/>
      </c>
      <c r="P2124" s="73">
        <f>ROUND(K2124*N2124,2)</f>
        <v/>
      </c>
      <c r="Q2124" s="74">
        <f>ROUND(L2124*N2124,2)</f>
        <v/>
      </c>
      <c r="R2124" s="75" t="n"/>
      <c r="S2124" s="76" t="n"/>
      <c r="T2124" s="77">
        <f>K2124-L2124</f>
        <v/>
      </c>
      <c r="U2124" s="77">
        <f>P2124-Q2124</f>
        <v/>
      </c>
      <c r="V2124" s="77">
        <f>ABS(U2124)</f>
        <v/>
      </c>
      <c r="W2124" s="78">
        <f>T2124/L2124</f>
        <v/>
      </c>
      <c r="X2124" s="79">
        <f>ABS(W2124)</f>
        <v/>
      </c>
    </row>
    <row r="2125" ht="11.4" customHeight="1">
      <c r="A2125" s="67" t="inlineStr">
        <is>
          <t>大甜68</t>
        </is>
      </c>
      <c r="B2125" s="67" t="inlineStr">
        <is>
          <t>1066</t>
        </is>
      </c>
      <c r="C2125" s="67" t="inlineStr">
        <is>
          <t>1612</t>
        </is>
      </c>
      <c r="D2125" s="68" t="inlineStr">
        <is>
          <t>03</t>
        </is>
      </c>
      <c r="E2125" s="68" t="inlineStr">
        <is>
          <t>6 物业施工费</t>
        </is>
      </c>
      <c r="F2125" s="68" t="inlineStr">
        <is>
          <t>6.1 总承包工程</t>
        </is>
      </c>
      <c r="G2125" s="68" t="inlineStr">
        <is>
          <t>6.1.2 电气工程</t>
        </is>
      </c>
      <c r="H2125" s="68" t="inlineStr">
        <is>
          <t>LEED认证配套电气(包含电管、电线及所以配件辅材)</t>
        </is>
      </c>
      <c r="I2125" s="69" t="inlineStr">
        <is>
          <t>1000021523</t>
        </is>
      </c>
      <c r="J2125" s="69" t="inlineStr">
        <is>
          <t>PHILIPS灯具感应装置（房间&lt;25m2时配备）</t>
        </is>
      </c>
      <c r="K2125" s="70" t="n"/>
      <c r="L2125" s="70" t="n"/>
      <c r="M2125" s="71" t="inlineStr">
        <is>
          <t>个</t>
        </is>
      </c>
      <c r="N2125" s="72" t="n">
        <v>269.86</v>
      </c>
      <c r="O2125" s="72">
        <f>ROUND(N2125*(1+$F$10),2)</f>
        <v/>
      </c>
      <c r="P2125" s="73">
        <f>ROUND(K2125*N2125,2)</f>
        <v/>
      </c>
      <c r="Q2125" s="74">
        <f>ROUND(L2125*N2125,2)</f>
        <v/>
      </c>
      <c r="R2125" s="75" t="n"/>
      <c r="S2125" s="76" t="n"/>
      <c r="T2125" s="77">
        <f>K2125-L2125</f>
        <v/>
      </c>
      <c r="U2125" s="77">
        <f>P2125-Q2125</f>
        <v/>
      </c>
      <c r="V2125" s="77">
        <f>ABS(U2125)</f>
        <v/>
      </c>
      <c r="W2125" s="78">
        <f>T2125/L2125</f>
        <v/>
      </c>
      <c r="X2125" s="79">
        <f>ABS(W2125)</f>
        <v/>
      </c>
    </row>
    <row r="2126" ht="11.4" customHeight="1">
      <c r="A2126" s="67" t="inlineStr">
        <is>
          <t>大甜68</t>
        </is>
      </c>
      <c r="B2126" s="67" t="inlineStr">
        <is>
          <t>1066</t>
        </is>
      </c>
      <c r="C2126" s="67" t="inlineStr">
        <is>
          <t>1612</t>
        </is>
      </c>
      <c r="D2126" s="68" t="inlineStr">
        <is>
          <t>03</t>
        </is>
      </c>
      <c r="E2126" s="68" t="inlineStr">
        <is>
          <t>6 物业施工费</t>
        </is>
      </c>
      <c r="F2126" s="68" t="inlineStr">
        <is>
          <t>6.1 总承包工程</t>
        </is>
      </c>
      <c r="G2126" s="68" t="inlineStr">
        <is>
          <t>6.1.2 电气工程</t>
        </is>
      </c>
      <c r="H2126" s="68" t="inlineStr">
        <is>
          <t>LEED认证配套电气(包含电管、电线及所以配件辅材)</t>
        </is>
      </c>
      <c r="I2126" s="69" t="inlineStr">
        <is>
          <t>1000049829</t>
        </is>
      </c>
      <c r="J2126" s="69" t="inlineStr">
        <is>
          <t>OPPLE灯具感应装置（房间&lt;25m2时配备）</t>
        </is>
      </c>
      <c r="K2126" s="70" t="n"/>
      <c r="L2126" s="70" t="n"/>
      <c r="M2126" s="71" t="inlineStr">
        <is>
          <t>个</t>
        </is>
      </c>
      <c r="N2126" s="72" t="n">
        <v>236.86</v>
      </c>
      <c r="O2126" s="72">
        <f>ROUND(N2126*(1+$F$10),2)</f>
        <v/>
      </c>
      <c r="P2126" s="73">
        <f>ROUND(K2126*N2126,2)</f>
        <v/>
      </c>
      <c r="Q2126" s="74">
        <f>ROUND(L2126*N2126,2)</f>
        <v/>
      </c>
      <c r="R2126" s="75" t="n"/>
      <c r="S2126" s="76" t="n"/>
      <c r="T2126" s="77">
        <f>K2126-L2126</f>
        <v/>
      </c>
      <c r="U2126" s="77">
        <f>P2126-Q2126</f>
        <v/>
      </c>
      <c r="V2126" s="77">
        <f>ABS(U2126)</f>
        <v/>
      </c>
      <c r="W2126" s="78">
        <f>T2126/L2126</f>
        <v/>
      </c>
      <c r="X2126" s="79">
        <f>ABS(W2126)</f>
        <v/>
      </c>
    </row>
    <row r="2127" ht="11.4" customHeight="1">
      <c r="A2127" s="67" t="inlineStr">
        <is>
          <t>大甜68</t>
        </is>
      </c>
      <c r="B2127" s="67" t="inlineStr">
        <is>
          <t>1066</t>
        </is>
      </c>
      <c r="C2127" s="67" t="inlineStr">
        <is>
          <t>1612</t>
        </is>
      </c>
      <c r="D2127" s="68" t="inlineStr">
        <is>
          <t>03</t>
        </is>
      </c>
      <c r="E2127" s="68" t="inlineStr">
        <is>
          <t>6 物业施工费</t>
        </is>
      </c>
      <c r="F2127" s="68" t="inlineStr">
        <is>
          <t>6.1 总承包工程</t>
        </is>
      </c>
      <c r="G2127" s="68" t="inlineStr">
        <is>
          <t>6.1.2 电气工程</t>
        </is>
      </c>
      <c r="H2127" s="68" t="inlineStr">
        <is>
          <t>LEED认证配套电气(包含电管、电线及所以配件辅材)</t>
        </is>
      </c>
      <c r="I2127" s="69" t="inlineStr">
        <is>
          <t>1000049830</t>
        </is>
      </c>
      <c r="J2127" s="69" t="inlineStr">
        <is>
          <t>OSRAM灯具感应装置（房间&lt;25m2时配备）</t>
        </is>
      </c>
      <c r="K2127" s="70" t="n"/>
      <c r="L2127" s="70" t="n"/>
      <c r="M2127" s="71" t="inlineStr">
        <is>
          <t>个</t>
        </is>
      </c>
      <c r="N2127" s="72" t="n">
        <v>256.66</v>
      </c>
      <c r="O2127" s="72">
        <f>ROUND(N2127*(1+$F$10),2)</f>
        <v/>
      </c>
      <c r="P2127" s="73">
        <f>ROUND(K2127*N2127,2)</f>
        <v/>
      </c>
      <c r="Q2127" s="74">
        <f>ROUND(L2127*N2127,2)</f>
        <v/>
      </c>
      <c r="R2127" s="75" t="n"/>
      <c r="S2127" s="76" t="n"/>
      <c r="T2127" s="77">
        <f>K2127-L2127</f>
        <v/>
      </c>
      <c r="U2127" s="77">
        <f>P2127-Q2127</f>
        <v/>
      </c>
      <c r="V2127" s="77">
        <f>ABS(U2127)</f>
        <v/>
      </c>
      <c r="W2127" s="78">
        <f>T2127/L2127</f>
        <v/>
      </c>
      <c r="X2127" s="79">
        <f>ABS(W2127)</f>
        <v/>
      </c>
    </row>
    <row r="2128" ht="11.4" customHeight="1">
      <c r="A2128" s="67" t="inlineStr">
        <is>
          <t>大甜68</t>
        </is>
      </c>
      <c r="B2128" s="67" t="inlineStr">
        <is>
          <t>1066</t>
        </is>
      </c>
      <c r="C2128" s="67" t="inlineStr">
        <is>
          <t>1612</t>
        </is>
      </c>
      <c r="D2128" s="68" t="inlineStr">
        <is>
          <t>03</t>
        </is>
      </c>
      <c r="E2128" s="68" t="inlineStr">
        <is>
          <t>6 物业施工费</t>
        </is>
      </c>
      <c r="F2128" s="68" t="inlineStr">
        <is>
          <t>6.1 总承包工程</t>
        </is>
      </c>
      <c r="G2128" s="68" t="inlineStr">
        <is>
          <t>6.1.2 电气工程</t>
        </is>
      </c>
      <c r="H2128" s="68" t="inlineStr">
        <is>
          <t>其它电气(包含电管及所以配件辅材)</t>
        </is>
      </c>
      <c r="I2128" s="69" t="inlineStr">
        <is>
          <t>1000021923</t>
        </is>
      </c>
      <c r="J2128" s="69" t="inlineStr">
        <is>
          <t>智能水表485控制线（不含线主材）</t>
        </is>
      </c>
      <c r="K2128" s="70" t="n"/>
      <c r="L2128" s="70" t="n"/>
      <c r="M2128" s="71" t="inlineStr">
        <is>
          <t>米</t>
        </is>
      </c>
      <c r="N2128" s="72" t="n">
        <v>16.99</v>
      </c>
      <c r="O2128" s="72">
        <f>ROUND(N2128*(1+$F$10),2)</f>
        <v/>
      </c>
      <c r="P2128" s="73">
        <f>ROUND(K2128*N2128,2)</f>
        <v/>
      </c>
      <c r="Q2128" s="74">
        <f>ROUND(L2128*N2128,2)</f>
        <v/>
      </c>
      <c r="R2128" s="75" t="n"/>
      <c r="S2128" s="76" t="n"/>
      <c r="T2128" s="77">
        <f>K2128-L2128</f>
        <v/>
      </c>
      <c r="U2128" s="77">
        <f>P2128-Q2128</f>
        <v/>
      </c>
      <c r="V2128" s="77">
        <f>ABS(U2128)</f>
        <v/>
      </c>
      <c r="W2128" s="78">
        <f>T2128/L2128</f>
        <v/>
      </c>
      <c r="X2128" s="79">
        <f>ABS(W2128)</f>
        <v/>
      </c>
    </row>
    <row r="2129" ht="11.4" customHeight="1">
      <c r="A2129" s="67" t="inlineStr">
        <is>
          <t>大甜68</t>
        </is>
      </c>
      <c r="B2129" s="67" t="inlineStr">
        <is>
          <t>1066</t>
        </is>
      </c>
      <c r="C2129" s="67" t="inlineStr">
        <is>
          <t>1612</t>
        </is>
      </c>
      <c r="D2129" s="68" t="inlineStr">
        <is>
          <t>03</t>
        </is>
      </c>
      <c r="E2129" s="68" t="inlineStr">
        <is>
          <t>6 物业施工费</t>
        </is>
      </c>
      <c r="F2129" s="68" t="inlineStr">
        <is>
          <t>6.1 总承包工程</t>
        </is>
      </c>
      <c r="G2129" s="68" t="inlineStr">
        <is>
          <t>6.1.2 电气工程</t>
        </is>
      </c>
      <c r="H2129" s="68" t="inlineStr">
        <is>
          <t>其它电气(包含电管、电线及所以配件辅材)</t>
        </is>
      </c>
      <c r="I2129" s="69" t="inlineStr">
        <is>
          <t>1000051724</t>
        </is>
      </c>
      <c r="J2129" s="69" t="inlineStr">
        <is>
          <t>空调IOT通讯线</t>
        </is>
      </c>
      <c r="K2129" s="70" t="n"/>
      <c r="L2129" s="70" t="n"/>
      <c r="M2129" s="71" t="inlineStr">
        <is>
          <t>米</t>
        </is>
      </c>
      <c r="N2129" s="72" t="n">
        <v>12.5</v>
      </c>
      <c r="O2129" s="72">
        <f>ROUND(N2129*(1+$F$10),2)</f>
        <v/>
      </c>
      <c r="P2129" s="73">
        <f>ROUND(K2129*N2129,2)</f>
        <v/>
      </c>
      <c r="Q2129" s="74">
        <f>ROUND(L2129*N2129,2)</f>
        <v/>
      </c>
      <c r="R2129" s="75" t="n"/>
      <c r="S2129" s="76" t="n"/>
      <c r="T2129" s="77">
        <f>K2129-L2129</f>
        <v/>
      </c>
      <c r="U2129" s="77">
        <f>P2129-Q2129</f>
        <v/>
      </c>
      <c r="V2129" s="77">
        <f>ABS(U2129)</f>
        <v/>
      </c>
      <c r="W2129" s="78">
        <f>T2129/L2129</f>
        <v/>
      </c>
      <c r="X2129" s="79">
        <f>ABS(W2129)</f>
        <v/>
      </c>
    </row>
    <row r="2130" ht="11.4" customHeight="1">
      <c r="A2130" s="67" t="inlineStr">
        <is>
          <t>大甜68</t>
        </is>
      </c>
      <c r="B2130" s="67" t="inlineStr">
        <is>
          <t>1066</t>
        </is>
      </c>
      <c r="C2130" s="67" t="inlineStr">
        <is>
          <t>1612</t>
        </is>
      </c>
      <c r="D2130" s="68" t="inlineStr">
        <is>
          <t>03</t>
        </is>
      </c>
      <c r="E2130" s="68" t="inlineStr">
        <is>
          <t>6 物业施工费</t>
        </is>
      </c>
      <c r="F2130" s="68" t="inlineStr">
        <is>
          <t>6.1 总承包工程</t>
        </is>
      </c>
      <c r="G2130" s="68" t="inlineStr">
        <is>
          <t>6.1.2 电气工程</t>
        </is>
      </c>
      <c r="H2130" s="68" t="inlineStr">
        <is>
          <t>其它电气(包含电管、电线及所以配件辅材)</t>
        </is>
      </c>
      <c r="I2130" s="69" t="inlineStr">
        <is>
          <t>1000085722</t>
        </is>
      </c>
      <c r="J2130" s="69" t="inlineStr">
        <is>
          <t>冷藏冷库IOT通讯线</t>
        </is>
      </c>
      <c r="K2130" s="70" t="n"/>
      <c r="L2130" s="70" t="n"/>
      <c r="M2130" s="71" t="inlineStr">
        <is>
          <t>米</t>
        </is>
      </c>
      <c r="N2130" s="72" t="n">
        <v>12</v>
      </c>
      <c r="O2130" s="72">
        <f>ROUND(N2130*(1+$F$10),2)</f>
        <v/>
      </c>
      <c r="P2130" s="73">
        <f>ROUND(K2130*N2130,2)</f>
        <v/>
      </c>
      <c r="Q2130" s="74">
        <f>ROUND(L2130*N2130,2)</f>
        <v/>
      </c>
      <c r="R2130" s="75" t="n"/>
      <c r="S2130" s="76" t="n"/>
      <c r="T2130" s="77">
        <f>K2130-L2130</f>
        <v/>
      </c>
      <c r="U2130" s="77">
        <f>P2130-Q2130</f>
        <v/>
      </c>
      <c r="V2130" s="77">
        <f>ABS(U2130)</f>
        <v/>
      </c>
      <c r="W2130" s="78">
        <f>T2130/L2130</f>
        <v/>
      </c>
      <c r="X2130" s="79">
        <f>ABS(W2130)</f>
        <v/>
      </c>
    </row>
    <row r="2131" ht="11.4" customHeight="1">
      <c r="A2131" s="67" t="inlineStr">
        <is>
          <t>大甜70</t>
        </is>
      </c>
      <c r="B2131" s="67" t="inlineStr">
        <is>
          <t>1068</t>
        </is>
      </c>
      <c r="C2131" s="67" t="inlineStr">
        <is>
          <t>1646</t>
        </is>
      </c>
      <c r="D2131" s="68" t="inlineStr">
        <is>
          <t>03</t>
        </is>
      </c>
      <c r="E2131" s="68" t="inlineStr">
        <is>
          <t>6 物业施工费</t>
        </is>
      </c>
      <c r="F2131" s="68" t="inlineStr">
        <is>
          <t>6.1 总承包工程</t>
        </is>
      </c>
      <c r="G2131" s="68" t="inlineStr">
        <is>
          <t>6.1.2A 电气工程-灯具主材</t>
        </is>
      </c>
      <c r="H2131" s="68" t="inlineStr">
        <is>
          <t>灯具主材-大堂</t>
        </is>
      </c>
      <c r="I2131" s="69" t="inlineStr">
        <is>
          <t>1000021524</t>
        </is>
      </c>
      <c r="J2131" s="69" t="inlineStr">
        <is>
          <t>PHILIPS吊灯用LED光源P1</t>
        </is>
      </c>
      <c r="K2131" s="70" t="n"/>
      <c r="L2131" s="70" t="n"/>
      <c r="M2131" s="71" t="inlineStr">
        <is>
          <t>个</t>
        </is>
      </c>
      <c r="N2131" s="72" t="n">
        <v>27.3</v>
      </c>
      <c r="O2131" s="72">
        <f>ROUND(N2131*(1+$F$10),2)</f>
        <v/>
      </c>
      <c r="P2131" s="73">
        <f>ROUND(K2131*N2131,2)</f>
        <v/>
      </c>
      <c r="Q2131" s="74">
        <f>ROUND(L2131*N2131,2)</f>
        <v/>
      </c>
      <c r="R2131" s="75" t="n"/>
      <c r="S2131" s="76" t="n"/>
      <c r="T2131" s="77">
        <f>K2131-L2131</f>
        <v/>
      </c>
      <c r="U2131" s="77">
        <f>P2131-Q2131</f>
        <v/>
      </c>
      <c r="V2131" s="77">
        <f>ABS(U2131)</f>
        <v/>
      </c>
      <c r="W2131" s="78">
        <f>T2131/L2131</f>
        <v/>
      </c>
      <c r="X2131" s="79">
        <f>ABS(W2131)</f>
        <v/>
      </c>
    </row>
    <row r="2132" ht="11.4" customHeight="1">
      <c r="A2132" s="67" t="inlineStr">
        <is>
          <t>大甜70</t>
        </is>
      </c>
      <c r="B2132" s="67" t="inlineStr">
        <is>
          <t>1068</t>
        </is>
      </c>
      <c r="C2132" s="67" t="inlineStr">
        <is>
          <t>1646</t>
        </is>
      </c>
      <c r="D2132" s="68" t="inlineStr">
        <is>
          <t>03</t>
        </is>
      </c>
      <c r="E2132" s="68" t="inlineStr">
        <is>
          <t>6 物业施工费</t>
        </is>
      </c>
      <c r="F2132" s="68" t="inlineStr">
        <is>
          <t>6.1 总承包工程</t>
        </is>
      </c>
      <c r="G2132" s="68" t="inlineStr">
        <is>
          <t>6.1.2A 电气工程-灯具主材</t>
        </is>
      </c>
      <c r="H2132" s="68" t="inlineStr">
        <is>
          <t>灯具主材-大堂</t>
        </is>
      </c>
      <c r="I2132" s="69" t="inlineStr">
        <is>
          <t>1000021929</t>
        </is>
      </c>
      <c r="J2132" s="69" t="inlineStr">
        <is>
          <t>安全出口灯</t>
        </is>
      </c>
      <c r="K2132" s="70" t="n"/>
      <c r="L2132" s="70" t="n"/>
      <c r="M2132" s="71" t="inlineStr">
        <is>
          <t>个</t>
        </is>
      </c>
      <c r="N2132" s="72" t="n">
        <v>63</v>
      </c>
      <c r="O2132" s="72">
        <f>ROUND(N2132*(1+$F$10),2)</f>
        <v/>
      </c>
      <c r="P2132" s="73">
        <f>ROUND(K2132*N2132,2)</f>
        <v/>
      </c>
      <c r="Q2132" s="74">
        <f>ROUND(L2132*N2132,2)</f>
        <v/>
      </c>
      <c r="R2132" s="75" t="n"/>
      <c r="S2132" s="76" t="n"/>
      <c r="T2132" s="77">
        <f>K2132-L2132</f>
        <v/>
      </c>
      <c r="U2132" s="77">
        <f>P2132-Q2132</f>
        <v/>
      </c>
      <c r="V2132" s="77">
        <f>ABS(U2132)</f>
        <v/>
      </c>
      <c r="W2132" s="78">
        <f>T2132/L2132</f>
        <v/>
      </c>
      <c r="X2132" s="79">
        <f>ABS(W2132)</f>
        <v/>
      </c>
    </row>
    <row r="2133" ht="11.4" customHeight="1">
      <c r="A2133" s="67" t="inlineStr">
        <is>
          <t>大甜70</t>
        </is>
      </c>
      <c r="B2133" s="67" t="inlineStr">
        <is>
          <t>1068</t>
        </is>
      </c>
      <c r="C2133" s="67" t="inlineStr">
        <is>
          <t>1646</t>
        </is>
      </c>
      <c r="D2133" s="68" t="inlineStr">
        <is>
          <t>03</t>
        </is>
      </c>
      <c r="E2133" s="68" t="inlineStr">
        <is>
          <t>6 物业施工费</t>
        </is>
      </c>
      <c r="F2133" s="68" t="inlineStr">
        <is>
          <t>6.1 总承包工程</t>
        </is>
      </c>
      <c r="G2133" s="68" t="inlineStr">
        <is>
          <t>6.1.2A 电气工程-灯具主材</t>
        </is>
      </c>
      <c r="H2133" s="68" t="inlineStr">
        <is>
          <t>灯具主材-大堂</t>
        </is>
      </c>
      <c r="I2133" s="69" t="inlineStr">
        <is>
          <t>1000051746</t>
        </is>
      </c>
      <c r="J2133" s="69" t="inlineStr">
        <is>
          <t>A型安全出口灯/单面指示灯</t>
        </is>
      </c>
      <c r="K2133" s="70" t="n"/>
      <c r="L2133" s="70" t="n"/>
      <c r="M2133" s="71" t="inlineStr">
        <is>
          <t>个</t>
        </is>
      </c>
      <c r="N2133" s="72" t="n">
        <v>36.75</v>
      </c>
      <c r="O2133" s="72">
        <f>ROUND(N2133*(1+$F$10),2)</f>
        <v/>
      </c>
      <c r="P2133" s="73">
        <f>ROUND(K2133*N2133,2)</f>
        <v/>
      </c>
      <c r="Q2133" s="74">
        <f>ROUND(L2133*N2133,2)</f>
        <v/>
      </c>
      <c r="R2133" s="75" t="n"/>
      <c r="S2133" s="76" t="n"/>
      <c r="T2133" s="77">
        <f>K2133-L2133</f>
        <v/>
      </c>
      <c r="U2133" s="77">
        <f>P2133-Q2133</f>
        <v/>
      </c>
      <c r="V2133" s="77">
        <f>ABS(U2133)</f>
        <v/>
      </c>
      <c r="W2133" s="78">
        <f>T2133/L2133</f>
        <v/>
      </c>
      <c r="X2133" s="79">
        <f>ABS(W2133)</f>
        <v/>
      </c>
    </row>
    <row r="2134" ht="11.4" customHeight="1">
      <c r="A2134" s="67" t="inlineStr">
        <is>
          <t>大甜70</t>
        </is>
      </c>
      <c r="B2134" s="67" t="inlineStr">
        <is>
          <t>1068</t>
        </is>
      </c>
      <c r="C2134" s="67" t="inlineStr">
        <is>
          <t>1646</t>
        </is>
      </c>
      <c r="D2134" s="68" t="inlineStr">
        <is>
          <t>03</t>
        </is>
      </c>
      <c r="E2134" s="68" t="inlineStr">
        <is>
          <t>6 物业施工费</t>
        </is>
      </c>
      <c r="F2134" s="68" t="inlineStr">
        <is>
          <t>6.1 总承包工程</t>
        </is>
      </c>
      <c r="G2134" s="68" t="inlineStr">
        <is>
          <t>6.1.2A 电气工程-灯具主材</t>
        </is>
      </c>
      <c r="H2134" s="68" t="inlineStr">
        <is>
          <t>灯具主材-大堂</t>
        </is>
      </c>
      <c r="I2134" s="69" t="inlineStr">
        <is>
          <t>1000051747</t>
        </is>
      </c>
      <c r="J2134" s="69" t="inlineStr">
        <is>
          <t>A型双面单向指示灯</t>
        </is>
      </c>
      <c r="K2134" s="70" t="n"/>
      <c r="L2134" s="70" t="n"/>
      <c r="M2134" s="71" t="inlineStr">
        <is>
          <t>个</t>
        </is>
      </c>
      <c r="N2134" s="72" t="n">
        <v>42</v>
      </c>
      <c r="O2134" s="72">
        <f>ROUND(N2134*(1+$F$10),2)</f>
        <v/>
      </c>
      <c r="P2134" s="73">
        <f>ROUND(K2134*N2134,2)</f>
        <v/>
      </c>
      <c r="Q2134" s="74">
        <f>ROUND(L2134*N2134,2)</f>
        <v/>
      </c>
      <c r="R2134" s="75" t="n"/>
      <c r="S2134" s="76" t="n"/>
      <c r="T2134" s="77">
        <f>K2134-L2134</f>
        <v/>
      </c>
      <c r="U2134" s="77">
        <f>P2134-Q2134</f>
        <v/>
      </c>
      <c r="V2134" s="77">
        <f>ABS(U2134)</f>
        <v/>
      </c>
      <c r="W2134" s="78">
        <f>T2134/L2134</f>
        <v/>
      </c>
      <c r="X2134" s="79">
        <f>ABS(W2134)</f>
        <v/>
      </c>
    </row>
    <row r="2135" ht="11.4" customHeight="1">
      <c r="A2135" s="67" t="inlineStr">
        <is>
          <t>大甜70</t>
        </is>
      </c>
      <c r="B2135" s="67" t="inlineStr">
        <is>
          <t>1068</t>
        </is>
      </c>
      <c r="C2135" s="67" t="inlineStr">
        <is>
          <t>1646</t>
        </is>
      </c>
      <c r="D2135" s="68" t="inlineStr">
        <is>
          <t>03</t>
        </is>
      </c>
      <c r="E2135" s="68" t="inlineStr">
        <is>
          <t>6 物业施工费</t>
        </is>
      </c>
      <c r="F2135" s="68" t="inlineStr">
        <is>
          <t>6.1 总承包工程</t>
        </is>
      </c>
      <c r="G2135" s="68" t="inlineStr">
        <is>
          <t>6.1.2A 电气工程-灯具主材</t>
        </is>
      </c>
      <c r="H2135" s="68" t="inlineStr">
        <is>
          <t>灯具主材-大堂</t>
        </is>
      </c>
      <c r="I2135" s="69" t="inlineStr">
        <is>
          <t>1000051748</t>
        </is>
      </c>
      <c r="J2135" s="69" t="inlineStr">
        <is>
          <t>A型应急灯</t>
        </is>
      </c>
      <c r="K2135" s="70" t="n"/>
      <c r="L2135" s="70" t="n"/>
      <c r="M2135" s="71" t="inlineStr">
        <is>
          <t>个</t>
        </is>
      </c>
      <c r="N2135" s="72" t="n">
        <v>40.95</v>
      </c>
      <c r="O2135" s="72">
        <f>ROUND(N2135*(1+$F$10),2)</f>
        <v/>
      </c>
      <c r="P2135" s="73">
        <f>ROUND(K2135*N2135,2)</f>
        <v/>
      </c>
      <c r="Q2135" s="74">
        <f>ROUND(L2135*N2135,2)</f>
        <v/>
      </c>
      <c r="R2135" s="75" t="n"/>
      <c r="S2135" s="76" t="n"/>
      <c r="T2135" s="77">
        <f>K2135-L2135</f>
        <v/>
      </c>
      <c r="U2135" s="77">
        <f>P2135-Q2135</f>
        <v/>
      </c>
      <c r="V2135" s="77">
        <f>ABS(U2135)</f>
        <v/>
      </c>
      <c r="W2135" s="78">
        <f>T2135/L2135</f>
        <v/>
      </c>
      <c r="X2135" s="79">
        <f>ABS(W2135)</f>
        <v/>
      </c>
    </row>
    <row r="2136" ht="11.4" customHeight="1">
      <c r="A2136" s="67" t="inlineStr">
        <is>
          <t>大甜70</t>
        </is>
      </c>
      <c r="B2136" s="67" t="inlineStr">
        <is>
          <t>1068</t>
        </is>
      </c>
      <c r="C2136" s="67" t="inlineStr">
        <is>
          <t>1646</t>
        </is>
      </c>
      <c r="D2136" s="68" t="inlineStr">
        <is>
          <t>03</t>
        </is>
      </c>
      <c r="E2136" s="68" t="inlineStr">
        <is>
          <t>6 物业施工费</t>
        </is>
      </c>
      <c r="F2136" s="68" t="inlineStr">
        <is>
          <t>6.1 总承包工程</t>
        </is>
      </c>
      <c r="G2136" s="68" t="inlineStr">
        <is>
          <t>6.1.2A 电气工程-灯具主材</t>
        </is>
      </c>
      <c r="H2136" s="68" t="inlineStr">
        <is>
          <t>灯具主材-大堂</t>
        </is>
      </c>
      <c r="I2136" s="69" t="inlineStr">
        <is>
          <t>1000021525</t>
        </is>
      </c>
      <c r="J2136" s="69" t="inlineStr">
        <is>
          <t>PHILIPS LED 5W应急灯具90分钟E</t>
        </is>
      </c>
      <c r="K2136" s="70" t="n"/>
      <c r="L2136" s="70" t="n"/>
      <c r="M2136" s="71" t="inlineStr">
        <is>
          <t>个</t>
        </is>
      </c>
      <c r="N2136" s="72" t="n">
        <v>94.5</v>
      </c>
      <c r="O2136" s="72">
        <f>ROUND(N2136*(1+$F$10),2)</f>
        <v/>
      </c>
      <c r="P2136" s="73">
        <f>ROUND(K2136*N2136,2)</f>
        <v/>
      </c>
      <c r="Q2136" s="74">
        <f>ROUND(L2136*N2136,2)</f>
        <v/>
      </c>
      <c r="R2136" s="75" t="n"/>
      <c r="S2136" s="76" t="n"/>
      <c r="T2136" s="77">
        <f>K2136-L2136</f>
        <v/>
      </c>
      <c r="U2136" s="77">
        <f>P2136-Q2136</f>
        <v/>
      </c>
      <c r="V2136" s="77">
        <f>ABS(U2136)</f>
        <v/>
      </c>
      <c r="W2136" s="78">
        <f>T2136/L2136</f>
        <v/>
      </c>
      <c r="X2136" s="79">
        <f>ABS(W2136)</f>
        <v/>
      </c>
    </row>
    <row r="2137" ht="11.4" customHeight="1">
      <c r="A2137" s="67" t="inlineStr">
        <is>
          <t>大甜70</t>
        </is>
      </c>
      <c r="B2137" s="67" t="inlineStr">
        <is>
          <t>1068</t>
        </is>
      </c>
      <c r="C2137" s="67" t="inlineStr">
        <is>
          <t>1646</t>
        </is>
      </c>
      <c r="D2137" s="68" t="inlineStr">
        <is>
          <t>03</t>
        </is>
      </c>
      <c r="E2137" s="68" t="inlineStr">
        <is>
          <t>6 物业施工费</t>
        </is>
      </c>
      <c r="F2137" s="68" t="inlineStr">
        <is>
          <t>6.1 总承包工程</t>
        </is>
      </c>
      <c r="G2137" s="68" t="inlineStr">
        <is>
          <t>6.1.2A 电气工程-灯具主材</t>
        </is>
      </c>
      <c r="H2137" s="68" t="inlineStr">
        <is>
          <t>灯具主材-大堂</t>
        </is>
      </c>
      <c r="I2137" s="69" t="inlineStr">
        <is>
          <t>1000021526</t>
        </is>
      </c>
      <c r="J2137" s="69" t="inlineStr">
        <is>
          <t>PHILIPS方形LED灯筒灯灯具  L1</t>
        </is>
      </c>
      <c r="K2137" s="70" t="n"/>
      <c r="L2137" s="70" t="n"/>
      <c r="M2137" s="71" t="inlineStr">
        <is>
          <t>个</t>
        </is>
      </c>
      <c r="N2137" s="72" t="n">
        <v>131.25</v>
      </c>
      <c r="O2137" s="72">
        <f>ROUND(N2137*(1+$F$10),2)</f>
        <v/>
      </c>
      <c r="P2137" s="73">
        <f>ROUND(K2137*N2137,2)</f>
        <v/>
      </c>
      <c r="Q2137" s="74">
        <f>ROUND(L2137*N2137,2)</f>
        <v/>
      </c>
      <c r="R2137" s="75" t="n"/>
      <c r="S2137" s="76" t="n"/>
      <c r="T2137" s="77">
        <f>K2137-L2137</f>
        <v/>
      </c>
      <c r="U2137" s="77">
        <f>P2137-Q2137</f>
        <v/>
      </c>
      <c r="V2137" s="77">
        <f>ABS(U2137)</f>
        <v/>
      </c>
      <c r="W2137" s="78">
        <f>T2137/L2137</f>
        <v/>
      </c>
      <c r="X2137" s="79">
        <f>ABS(W2137)</f>
        <v/>
      </c>
    </row>
    <row r="2138" ht="11.4" customHeight="1">
      <c r="A2138" s="67" t="inlineStr">
        <is>
          <t>大甜70</t>
        </is>
      </c>
      <c r="B2138" s="67" t="inlineStr">
        <is>
          <t>1068</t>
        </is>
      </c>
      <c r="C2138" s="67" t="inlineStr">
        <is>
          <t>1646</t>
        </is>
      </c>
      <c r="D2138" s="68" t="inlineStr">
        <is>
          <t>03</t>
        </is>
      </c>
      <c r="E2138" s="68" t="inlineStr">
        <is>
          <t>6 物业施工费</t>
        </is>
      </c>
      <c r="F2138" s="68" t="inlineStr">
        <is>
          <t>6.1 总承包工程</t>
        </is>
      </c>
      <c r="G2138" s="68" t="inlineStr">
        <is>
          <t>6.1.2A 电气工程-灯具主材</t>
        </is>
      </c>
      <c r="H2138" s="68" t="inlineStr">
        <is>
          <t>灯具主材-大堂</t>
        </is>
      </c>
      <c r="I2138" s="69" t="inlineStr">
        <is>
          <t>1000021527</t>
        </is>
      </c>
      <c r="J2138" s="69" t="inlineStr">
        <is>
          <t>PHILIPS双头方形LED灯筒灯灯具  L2</t>
        </is>
      </c>
      <c r="K2138" s="70" t="n"/>
      <c r="L2138" s="70" t="n"/>
      <c r="M2138" s="71" t="inlineStr">
        <is>
          <t>个</t>
        </is>
      </c>
      <c r="N2138" s="72" t="n">
        <v>222.6</v>
      </c>
      <c r="O2138" s="72">
        <f>ROUND(N2138*(1+$F$10),2)</f>
        <v/>
      </c>
      <c r="P2138" s="73">
        <f>ROUND(K2138*N2138,2)</f>
        <v/>
      </c>
      <c r="Q2138" s="74">
        <f>ROUND(L2138*N2138,2)</f>
        <v/>
      </c>
      <c r="R2138" s="75" t="n"/>
      <c r="S2138" s="76" t="n"/>
      <c r="T2138" s="77">
        <f>K2138-L2138</f>
        <v/>
      </c>
      <c r="U2138" s="77">
        <f>P2138-Q2138</f>
        <v/>
      </c>
      <c r="V2138" s="77">
        <f>ABS(U2138)</f>
        <v/>
      </c>
      <c r="W2138" s="78">
        <f>T2138/L2138</f>
        <v/>
      </c>
      <c r="X2138" s="79">
        <f>ABS(W2138)</f>
        <v/>
      </c>
    </row>
    <row r="2139" ht="11.4" customHeight="1">
      <c r="A2139" s="67" t="inlineStr">
        <is>
          <t>大甜70</t>
        </is>
      </c>
      <c r="B2139" s="67" t="inlineStr">
        <is>
          <t>1068</t>
        </is>
      </c>
      <c r="C2139" s="67" t="inlineStr">
        <is>
          <t>1646</t>
        </is>
      </c>
      <c r="D2139" s="68" t="inlineStr">
        <is>
          <t>03</t>
        </is>
      </c>
      <c r="E2139" s="68" t="inlineStr">
        <is>
          <t>6 物业施工费</t>
        </is>
      </c>
      <c r="F2139" s="68" t="inlineStr">
        <is>
          <t>6.1 总承包工程</t>
        </is>
      </c>
      <c r="G2139" s="68" t="inlineStr">
        <is>
          <t>6.1.2A 电气工程-灯具主材</t>
        </is>
      </c>
      <c r="H2139" s="68" t="inlineStr">
        <is>
          <t>灯具主材-大堂</t>
        </is>
      </c>
      <c r="I2139" s="69" t="inlineStr">
        <is>
          <t>1000021528</t>
        </is>
      </c>
      <c r="J2139" s="69" t="inlineStr">
        <is>
          <t>PHILIPS方形嵌入式LED射灯28W  L3</t>
        </is>
      </c>
      <c r="K2139" s="70" t="n"/>
      <c r="L2139" s="70" t="n"/>
      <c r="M2139" s="71" t="inlineStr">
        <is>
          <t>个</t>
        </is>
      </c>
      <c r="N2139" s="72" t="n">
        <v>176.4</v>
      </c>
      <c r="O2139" s="72">
        <f>ROUND(N2139*(1+$F$10),2)</f>
        <v/>
      </c>
      <c r="P2139" s="73">
        <f>ROUND(K2139*N2139,2)</f>
        <v/>
      </c>
      <c r="Q2139" s="74">
        <f>ROUND(L2139*N2139,2)</f>
        <v/>
      </c>
      <c r="R2139" s="75" t="n"/>
      <c r="S2139" s="76" t="n"/>
      <c r="T2139" s="77">
        <f>K2139-L2139</f>
        <v/>
      </c>
      <c r="U2139" s="77">
        <f>P2139-Q2139</f>
        <v/>
      </c>
      <c r="V2139" s="77">
        <f>ABS(U2139)</f>
        <v/>
      </c>
      <c r="W2139" s="78">
        <f>T2139/L2139</f>
        <v/>
      </c>
      <c r="X2139" s="79">
        <f>ABS(W2139)</f>
        <v/>
      </c>
    </row>
    <row r="2140" ht="11.4" customHeight="1">
      <c r="A2140" s="67" t="inlineStr">
        <is>
          <t>大甜70</t>
        </is>
      </c>
      <c r="B2140" s="67" t="inlineStr">
        <is>
          <t>1068</t>
        </is>
      </c>
      <c r="C2140" s="67" t="inlineStr">
        <is>
          <t>1646</t>
        </is>
      </c>
      <c r="D2140" s="68" t="inlineStr">
        <is>
          <t>03</t>
        </is>
      </c>
      <c r="E2140" s="68" t="inlineStr">
        <is>
          <t>6 物业施工费</t>
        </is>
      </c>
      <c r="F2140" s="68" t="inlineStr">
        <is>
          <t>6.1 总承包工程</t>
        </is>
      </c>
      <c r="G2140" s="68" t="inlineStr">
        <is>
          <t>6.1.2A 电气工程-灯具主材</t>
        </is>
      </c>
      <c r="H2140" s="68" t="inlineStr">
        <is>
          <t>灯具主材-大堂</t>
        </is>
      </c>
      <c r="I2140" s="69" t="inlineStr">
        <is>
          <t>1000021529</t>
        </is>
      </c>
      <c r="J2140" s="69" t="inlineStr">
        <is>
          <t>PHILIPS深照型圆形LED灯筒灯灯具  L4</t>
        </is>
      </c>
      <c r="K2140" s="70" t="n"/>
      <c r="L2140" s="70" t="n"/>
      <c r="M2140" s="71" t="inlineStr">
        <is>
          <t>个</t>
        </is>
      </c>
      <c r="N2140" s="72" t="n">
        <v>134.4</v>
      </c>
      <c r="O2140" s="72">
        <f>ROUND(N2140*(1+$F$10),2)</f>
        <v/>
      </c>
      <c r="P2140" s="73">
        <f>ROUND(K2140*N2140,2)</f>
        <v/>
      </c>
      <c r="Q2140" s="74">
        <f>ROUND(L2140*N2140,2)</f>
        <v/>
      </c>
      <c r="R2140" s="75" t="n"/>
      <c r="S2140" s="76" t="n"/>
      <c r="T2140" s="77">
        <f>K2140-L2140</f>
        <v/>
      </c>
      <c r="U2140" s="77">
        <f>P2140-Q2140</f>
        <v/>
      </c>
      <c r="V2140" s="77">
        <f>ABS(U2140)</f>
        <v/>
      </c>
      <c r="W2140" s="78">
        <f>T2140/L2140</f>
        <v/>
      </c>
      <c r="X2140" s="79">
        <f>ABS(W2140)</f>
        <v/>
      </c>
    </row>
    <row r="2141" ht="11.4" customHeight="1">
      <c r="A2141" s="67" t="inlineStr">
        <is>
          <t>大甜70</t>
        </is>
      </c>
      <c r="B2141" s="67" t="inlineStr">
        <is>
          <t>1068</t>
        </is>
      </c>
      <c r="C2141" s="67" t="inlineStr">
        <is>
          <t>1646</t>
        </is>
      </c>
      <c r="D2141" s="68" t="inlineStr">
        <is>
          <t>03</t>
        </is>
      </c>
      <c r="E2141" s="68" t="inlineStr">
        <is>
          <t>6 物业施工费</t>
        </is>
      </c>
      <c r="F2141" s="68" t="inlineStr">
        <is>
          <t>6.1 总承包工程</t>
        </is>
      </c>
      <c r="G2141" s="68" t="inlineStr">
        <is>
          <t>6.1.2A 电气工程-灯具主材</t>
        </is>
      </c>
      <c r="H2141" s="68" t="inlineStr">
        <is>
          <t>灯具主材-大堂</t>
        </is>
      </c>
      <c r="I2141" s="69" t="inlineStr">
        <is>
          <t>1000021531</t>
        </is>
      </c>
      <c r="J2141" s="69" t="inlineStr">
        <is>
          <t>PHILIPS圆形嵌入式 LED 筒灯  L5</t>
        </is>
      </c>
      <c r="K2141" s="70" t="n"/>
      <c r="L2141" s="70" t="n"/>
      <c r="M2141" s="71" t="inlineStr">
        <is>
          <t>个</t>
        </is>
      </c>
      <c r="N2141" s="72" t="n">
        <v>152.56</v>
      </c>
      <c r="O2141" s="72">
        <f>ROUND(N2141*(1+$F$10),2)</f>
        <v/>
      </c>
      <c r="P2141" s="73">
        <f>ROUND(K2141*N2141,2)</f>
        <v/>
      </c>
      <c r="Q2141" s="74">
        <f>ROUND(L2141*N2141,2)</f>
        <v/>
      </c>
      <c r="R2141" s="75" t="n"/>
      <c r="S2141" s="76" t="n"/>
      <c r="T2141" s="77">
        <f>K2141-L2141</f>
        <v/>
      </c>
      <c r="U2141" s="77">
        <f>P2141-Q2141</f>
        <v/>
      </c>
      <c r="V2141" s="77">
        <f>ABS(U2141)</f>
        <v/>
      </c>
      <c r="W2141" s="78">
        <f>T2141/L2141</f>
        <v/>
      </c>
      <c r="X2141" s="79">
        <f>ABS(W2141)</f>
        <v/>
      </c>
    </row>
    <row r="2142" ht="11.4" customHeight="1">
      <c r="A2142" s="67" t="inlineStr">
        <is>
          <t>大甜70</t>
        </is>
      </c>
      <c r="B2142" s="67" t="inlineStr">
        <is>
          <t>1068</t>
        </is>
      </c>
      <c r="C2142" s="67" t="inlineStr">
        <is>
          <t>1646</t>
        </is>
      </c>
      <c r="D2142" s="68" t="inlineStr">
        <is>
          <t>03</t>
        </is>
      </c>
      <c r="E2142" s="68" t="inlineStr">
        <is>
          <t>6 物业施工费</t>
        </is>
      </c>
      <c r="F2142" s="68" t="inlineStr">
        <is>
          <t>6.1 总承包工程</t>
        </is>
      </c>
      <c r="G2142" s="68" t="inlineStr">
        <is>
          <t>6.1.2A 电气工程-灯具主材</t>
        </is>
      </c>
      <c r="H2142" s="68" t="inlineStr">
        <is>
          <t>灯具主材-大堂</t>
        </is>
      </c>
      <c r="I2142" s="69" t="inlineStr">
        <is>
          <t>1000021532</t>
        </is>
      </c>
      <c r="J2142" s="69" t="inlineStr">
        <is>
          <t>PHILIPS方形嵌入式 LED 筒灯  L5</t>
        </is>
      </c>
      <c r="K2142" s="70" t="n"/>
      <c r="L2142" s="70" t="n"/>
      <c r="M2142" s="71" t="inlineStr">
        <is>
          <t>个</t>
        </is>
      </c>
      <c r="N2142" s="72" t="n">
        <v>222.6</v>
      </c>
      <c r="O2142" s="72">
        <f>ROUND(N2142*(1+$F$10),2)</f>
        <v/>
      </c>
      <c r="P2142" s="73">
        <f>ROUND(K2142*N2142,2)</f>
        <v/>
      </c>
      <c r="Q2142" s="74">
        <f>ROUND(L2142*N2142,2)</f>
        <v/>
      </c>
      <c r="R2142" s="75" t="n"/>
      <c r="S2142" s="76" t="n"/>
      <c r="T2142" s="77">
        <f>K2142-L2142</f>
        <v/>
      </c>
      <c r="U2142" s="77">
        <f>P2142-Q2142</f>
        <v/>
      </c>
      <c r="V2142" s="77">
        <f>ABS(U2142)</f>
        <v/>
      </c>
      <c r="W2142" s="78">
        <f>T2142/L2142</f>
        <v/>
      </c>
      <c r="X2142" s="79">
        <f>ABS(W2142)</f>
        <v/>
      </c>
    </row>
    <row r="2143" ht="11.4" customHeight="1">
      <c r="A2143" s="67" t="inlineStr">
        <is>
          <t>大甜70</t>
        </is>
      </c>
      <c r="B2143" s="67" t="inlineStr">
        <is>
          <t>1068</t>
        </is>
      </c>
      <c r="C2143" s="67" t="inlineStr">
        <is>
          <t>1646</t>
        </is>
      </c>
      <c r="D2143" s="68" t="inlineStr">
        <is>
          <t>03</t>
        </is>
      </c>
      <c r="E2143" s="68" t="inlineStr">
        <is>
          <t>6 物业施工费</t>
        </is>
      </c>
      <c r="F2143" s="68" t="inlineStr">
        <is>
          <t>6.1 总承包工程</t>
        </is>
      </c>
      <c r="G2143" s="68" t="inlineStr">
        <is>
          <t>6.1.2A 电气工程-灯具主材</t>
        </is>
      </c>
      <c r="H2143" s="68" t="inlineStr">
        <is>
          <t>灯具主材-大堂</t>
        </is>
      </c>
      <c r="I2143" s="69" t="inlineStr">
        <is>
          <t>1000021530</t>
        </is>
      </c>
      <c r="J2143" s="69" t="inlineStr">
        <is>
          <t>PHILIPS圆形嵌入式 LED 防尘防水筒灯  L6</t>
        </is>
      </c>
      <c r="K2143" s="70" t="n"/>
      <c r="L2143" s="70" t="n"/>
      <c r="M2143" s="71" t="inlineStr">
        <is>
          <t>个</t>
        </is>
      </c>
      <c r="N2143" s="72" t="n">
        <v>86.09999999999999</v>
      </c>
      <c r="O2143" s="72">
        <f>ROUND(N2143*(1+$F$10),2)</f>
        <v/>
      </c>
      <c r="P2143" s="73">
        <f>ROUND(K2143*N2143,2)</f>
        <v/>
      </c>
      <c r="Q2143" s="74">
        <f>ROUND(L2143*N2143,2)</f>
        <v/>
      </c>
      <c r="R2143" s="75" t="n"/>
      <c r="S2143" s="76" t="n"/>
      <c r="T2143" s="77">
        <f>K2143-L2143</f>
        <v/>
      </c>
      <c r="U2143" s="77">
        <f>P2143-Q2143</f>
        <v/>
      </c>
      <c r="V2143" s="77">
        <f>ABS(U2143)</f>
        <v/>
      </c>
      <c r="W2143" s="78">
        <f>T2143/L2143</f>
        <v/>
      </c>
      <c r="X2143" s="79">
        <f>ABS(W2143)</f>
        <v/>
      </c>
    </row>
    <row r="2144" ht="11.4" customHeight="1">
      <c r="A2144" s="67" t="inlineStr">
        <is>
          <t>大甜70</t>
        </is>
      </c>
      <c r="B2144" s="67" t="inlineStr">
        <is>
          <t>1068</t>
        </is>
      </c>
      <c r="C2144" s="67" t="inlineStr">
        <is>
          <t>1646</t>
        </is>
      </c>
      <c r="D2144" s="68" t="inlineStr">
        <is>
          <t>03</t>
        </is>
      </c>
      <c r="E2144" s="68" t="inlineStr">
        <is>
          <t>6 物业施工费</t>
        </is>
      </c>
      <c r="F2144" s="68" t="inlineStr">
        <is>
          <t>6.1 总承包工程</t>
        </is>
      </c>
      <c r="G2144" s="68" t="inlineStr">
        <is>
          <t>6.1.2A 电气工程-灯具主材</t>
        </is>
      </c>
      <c r="H2144" s="68" t="inlineStr">
        <is>
          <t>灯具主材-大堂</t>
        </is>
      </c>
      <c r="I2144" s="69" t="inlineStr">
        <is>
          <t>1000021561</t>
        </is>
      </c>
      <c r="J2144" s="69" t="inlineStr">
        <is>
          <t>PHILIPS圆形嵌入式LED防水型射灯 L9</t>
        </is>
      </c>
      <c r="K2144" s="70" t="n"/>
      <c r="L2144" s="70" t="n"/>
      <c r="M2144" s="71" t="inlineStr">
        <is>
          <t>个</t>
        </is>
      </c>
      <c r="N2144" s="72" t="n">
        <v>261.15</v>
      </c>
      <c r="O2144" s="72">
        <f>ROUND(N2144*(1+$F$10),2)</f>
        <v/>
      </c>
      <c r="P2144" s="73">
        <f>ROUND(K2144*N2144,2)</f>
        <v/>
      </c>
      <c r="Q2144" s="74">
        <f>ROUND(L2144*N2144,2)</f>
        <v/>
      </c>
      <c r="R2144" s="75" t="n"/>
      <c r="S2144" s="76" t="n"/>
      <c r="T2144" s="77">
        <f>K2144-L2144</f>
        <v/>
      </c>
      <c r="U2144" s="77">
        <f>P2144-Q2144</f>
        <v/>
      </c>
      <c r="V2144" s="77">
        <f>ABS(U2144)</f>
        <v/>
      </c>
      <c r="W2144" s="78">
        <f>T2144/L2144</f>
        <v/>
      </c>
      <c r="X2144" s="79">
        <f>ABS(W2144)</f>
        <v/>
      </c>
    </row>
    <row r="2145" ht="11.4" customHeight="1">
      <c r="A2145" s="67" t="inlineStr">
        <is>
          <t>大甜70</t>
        </is>
      </c>
      <c r="B2145" s="67" t="inlineStr">
        <is>
          <t>1068</t>
        </is>
      </c>
      <c r="C2145" s="67" t="inlineStr">
        <is>
          <t>1646</t>
        </is>
      </c>
      <c r="D2145" s="68" t="inlineStr">
        <is>
          <t>03</t>
        </is>
      </c>
      <c r="E2145" s="68" t="inlineStr">
        <is>
          <t>6 物业施工费</t>
        </is>
      </c>
      <c r="F2145" s="68" t="inlineStr">
        <is>
          <t>6.1 总承包工程</t>
        </is>
      </c>
      <c r="G2145" s="68" t="inlineStr">
        <is>
          <t>6.1.2A 电气工程-灯具主材</t>
        </is>
      </c>
      <c r="H2145" s="68" t="inlineStr">
        <is>
          <t>灯具主材-大堂</t>
        </is>
      </c>
      <c r="I2145" s="69" t="inlineStr">
        <is>
          <t>1000021536</t>
        </is>
      </c>
      <c r="J2145" s="69" t="inlineStr">
        <is>
          <t>PHILIPS 圆形吊灯 LO1</t>
        </is>
      </c>
      <c r="K2145" s="70" t="n"/>
      <c r="L2145" s="70" t="n"/>
      <c r="M2145" s="71" t="inlineStr">
        <is>
          <t>个</t>
        </is>
      </c>
      <c r="N2145" s="72" t="n">
        <v>420</v>
      </c>
      <c r="O2145" s="72">
        <f>ROUND(N2145*(1+$F$10),2)</f>
        <v/>
      </c>
      <c r="P2145" s="73">
        <f>ROUND(K2145*N2145,2)</f>
        <v/>
      </c>
      <c r="Q2145" s="74">
        <f>ROUND(L2145*N2145,2)</f>
        <v/>
      </c>
      <c r="R2145" s="75" t="n"/>
      <c r="S2145" s="76" t="n"/>
      <c r="T2145" s="77">
        <f>K2145-L2145</f>
        <v/>
      </c>
      <c r="U2145" s="77">
        <f>P2145-Q2145</f>
        <v/>
      </c>
      <c r="V2145" s="77">
        <f>ABS(U2145)</f>
        <v/>
      </c>
      <c r="W2145" s="78">
        <f>T2145/L2145</f>
        <v/>
      </c>
      <c r="X2145" s="79">
        <f>ABS(W2145)</f>
        <v/>
      </c>
    </row>
    <row r="2146" ht="11.4" customHeight="1">
      <c r="A2146" s="67" t="inlineStr">
        <is>
          <t>大甜70</t>
        </is>
      </c>
      <c r="B2146" s="67" t="inlineStr">
        <is>
          <t>1068</t>
        </is>
      </c>
      <c r="C2146" s="67" t="inlineStr">
        <is>
          <t>1646</t>
        </is>
      </c>
      <c r="D2146" s="68" t="inlineStr">
        <is>
          <t>03</t>
        </is>
      </c>
      <c r="E2146" s="68" t="inlineStr">
        <is>
          <t>6 物业施工费</t>
        </is>
      </c>
      <c r="F2146" s="68" t="inlineStr">
        <is>
          <t>6.1 总承包工程</t>
        </is>
      </c>
      <c r="G2146" s="68" t="inlineStr">
        <is>
          <t>6.1.2A 电气工程-灯具主材</t>
        </is>
      </c>
      <c r="H2146" s="68" t="inlineStr">
        <is>
          <t>灯具主材-大堂</t>
        </is>
      </c>
      <c r="I2146" s="69" t="inlineStr">
        <is>
          <t>1000041828</t>
        </is>
      </c>
      <c r="J2146" s="69" t="inlineStr">
        <is>
          <t>PHILIPS双头嵌入式射灯 L02</t>
        </is>
      </c>
      <c r="K2146" s="70" t="n"/>
      <c r="L2146" s="70" t="n"/>
      <c r="M2146" s="71" t="inlineStr">
        <is>
          <t>个</t>
        </is>
      </c>
      <c r="N2146" s="72" t="n">
        <v>222.6</v>
      </c>
      <c r="O2146" s="72">
        <f>ROUND(N2146*(1+$F$10),2)</f>
        <v/>
      </c>
      <c r="P2146" s="73">
        <f>ROUND(K2146*N2146,2)</f>
        <v/>
      </c>
      <c r="Q2146" s="74">
        <f>ROUND(L2146*N2146,2)</f>
        <v/>
      </c>
      <c r="R2146" s="75" t="n"/>
      <c r="S2146" s="76" t="n"/>
      <c r="T2146" s="77">
        <f>K2146-L2146</f>
        <v/>
      </c>
      <c r="U2146" s="77">
        <f>P2146-Q2146</f>
        <v/>
      </c>
      <c r="V2146" s="77">
        <f>ABS(U2146)</f>
        <v/>
      </c>
      <c r="W2146" s="78">
        <f>T2146/L2146</f>
        <v/>
      </c>
      <c r="X2146" s="79">
        <f>ABS(W2146)</f>
        <v/>
      </c>
    </row>
    <row r="2147" ht="11.4" customHeight="1">
      <c r="A2147" s="67" t="inlineStr">
        <is>
          <t>大甜70</t>
        </is>
      </c>
      <c r="B2147" s="67" t="inlineStr">
        <is>
          <t>1068</t>
        </is>
      </c>
      <c r="C2147" s="67" t="inlineStr">
        <is>
          <t>1646</t>
        </is>
      </c>
      <c r="D2147" s="68" t="inlineStr">
        <is>
          <t>03</t>
        </is>
      </c>
      <c r="E2147" s="68" t="inlineStr">
        <is>
          <t>6 物业施工费</t>
        </is>
      </c>
      <c r="F2147" s="68" t="inlineStr">
        <is>
          <t>6.1 总承包工程</t>
        </is>
      </c>
      <c r="G2147" s="68" t="inlineStr">
        <is>
          <t>6.1.2A 电气工程-灯具主材</t>
        </is>
      </c>
      <c r="H2147" s="68" t="inlineStr">
        <is>
          <t>灯具主材-大堂</t>
        </is>
      </c>
      <c r="I2147" s="69" t="inlineStr">
        <is>
          <t>1000021537</t>
        </is>
      </c>
      <c r="J2147" s="69" t="inlineStr">
        <is>
          <t>PHILIPS 暗藏轨道射灯 LO3</t>
        </is>
      </c>
      <c r="K2147" s="70" t="n"/>
      <c r="L2147" s="70" t="n"/>
      <c r="M2147" s="71" t="inlineStr">
        <is>
          <t>个</t>
        </is>
      </c>
      <c r="N2147" s="72" t="n">
        <v>173.25</v>
      </c>
      <c r="O2147" s="72">
        <f>ROUND(N2147*(1+$F$10),2)</f>
        <v/>
      </c>
      <c r="P2147" s="73">
        <f>ROUND(K2147*N2147,2)</f>
        <v/>
      </c>
      <c r="Q2147" s="74">
        <f>ROUND(L2147*N2147,2)</f>
        <v/>
      </c>
      <c r="R2147" s="75" t="n"/>
      <c r="S2147" s="76" t="n"/>
      <c r="T2147" s="77">
        <f>K2147-L2147</f>
        <v/>
      </c>
      <c r="U2147" s="77">
        <f>P2147-Q2147</f>
        <v/>
      </c>
      <c r="V2147" s="77">
        <f>ABS(U2147)</f>
        <v/>
      </c>
      <c r="W2147" s="78">
        <f>T2147/L2147</f>
        <v/>
      </c>
      <c r="X2147" s="79">
        <f>ABS(W2147)</f>
        <v/>
      </c>
    </row>
    <row r="2148" ht="11.4" customHeight="1">
      <c r="A2148" s="67" t="inlineStr">
        <is>
          <t>大甜70</t>
        </is>
      </c>
      <c r="B2148" s="67" t="inlineStr">
        <is>
          <t>1068</t>
        </is>
      </c>
      <c r="C2148" s="67" t="inlineStr">
        <is>
          <t>1646</t>
        </is>
      </c>
      <c r="D2148" s="68" t="inlineStr">
        <is>
          <t>03</t>
        </is>
      </c>
      <c r="E2148" s="68" t="inlineStr">
        <is>
          <t>6 物业施工费</t>
        </is>
      </c>
      <c r="F2148" s="68" t="inlineStr">
        <is>
          <t>6.1 总承包工程</t>
        </is>
      </c>
      <c r="G2148" s="68" t="inlineStr">
        <is>
          <t>6.1.2A 电气工程-灯具主材</t>
        </is>
      </c>
      <c r="H2148" s="68" t="inlineStr">
        <is>
          <t>灯具主材-大堂</t>
        </is>
      </c>
      <c r="I2148" s="69" t="inlineStr">
        <is>
          <t>1000041827</t>
        </is>
      </c>
      <c r="J2148" s="69" t="inlineStr">
        <is>
          <t>PHILIPS圆形嵌入式射灯 L04</t>
        </is>
      </c>
      <c r="K2148" s="70" t="n"/>
      <c r="L2148" s="70" t="n"/>
      <c r="M2148" s="71" t="inlineStr">
        <is>
          <t>个</t>
        </is>
      </c>
      <c r="N2148" s="72" t="n">
        <v>134.4</v>
      </c>
      <c r="O2148" s="72">
        <f>ROUND(N2148*(1+$F$10),2)</f>
        <v/>
      </c>
      <c r="P2148" s="73">
        <f>ROUND(K2148*N2148,2)</f>
        <v/>
      </c>
      <c r="Q2148" s="74">
        <f>ROUND(L2148*N2148,2)</f>
        <v/>
      </c>
      <c r="R2148" s="75" t="n"/>
      <c r="S2148" s="76" t="n"/>
      <c r="T2148" s="77">
        <f>K2148-L2148</f>
        <v/>
      </c>
      <c r="U2148" s="77">
        <f>P2148-Q2148</f>
        <v/>
      </c>
      <c r="V2148" s="77">
        <f>ABS(U2148)</f>
        <v/>
      </c>
      <c r="W2148" s="78">
        <f>T2148/L2148</f>
        <v/>
      </c>
      <c r="X2148" s="79">
        <f>ABS(W2148)</f>
        <v/>
      </c>
    </row>
    <row r="2149" ht="11.4" customHeight="1">
      <c r="A2149" s="67" t="inlineStr">
        <is>
          <t>大甜70</t>
        </is>
      </c>
      <c r="B2149" s="67" t="inlineStr">
        <is>
          <t>1068</t>
        </is>
      </c>
      <c r="C2149" s="67" t="inlineStr">
        <is>
          <t>1646</t>
        </is>
      </c>
      <c r="D2149" s="68" t="inlineStr">
        <is>
          <t>03</t>
        </is>
      </c>
      <c r="E2149" s="68" t="inlineStr">
        <is>
          <t>6 物业施工费</t>
        </is>
      </c>
      <c r="F2149" s="68" t="inlineStr">
        <is>
          <t>6.1 总承包工程</t>
        </is>
      </c>
      <c r="G2149" s="68" t="inlineStr">
        <is>
          <t>6.1.2A 电气工程-灯具主材</t>
        </is>
      </c>
      <c r="H2149" s="68" t="inlineStr">
        <is>
          <t>灯具主材-大堂</t>
        </is>
      </c>
      <c r="I2149" s="69" t="inlineStr">
        <is>
          <t>1000021541</t>
        </is>
      </c>
      <c r="J2149" s="69" t="inlineStr">
        <is>
          <t>PHILIPS 长条壁灯 L07</t>
        </is>
      </c>
      <c r="K2149" s="70" t="n"/>
      <c r="L2149" s="70" t="n"/>
      <c r="M2149" s="71" t="inlineStr">
        <is>
          <t>个</t>
        </is>
      </c>
      <c r="N2149" s="72" t="n">
        <v>498.75</v>
      </c>
      <c r="O2149" s="72">
        <f>ROUND(N2149*(1+$F$10),2)</f>
        <v/>
      </c>
      <c r="P2149" s="73">
        <f>ROUND(K2149*N2149,2)</f>
        <v/>
      </c>
      <c r="Q2149" s="74">
        <f>ROUND(L2149*N2149,2)</f>
        <v/>
      </c>
      <c r="R2149" s="75" t="n"/>
      <c r="S2149" s="76" t="n"/>
      <c r="T2149" s="77">
        <f>K2149-L2149</f>
        <v/>
      </c>
      <c r="U2149" s="77">
        <f>P2149-Q2149</f>
        <v/>
      </c>
      <c r="V2149" s="77">
        <f>ABS(U2149)</f>
        <v/>
      </c>
      <c r="W2149" s="78">
        <f>T2149/L2149</f>
        <v/>
      </c>
      <c r="X2149" s="79">
        <f>ABS(W2149)</f>
        <v/>
      </c>
    </row>
    <row r="2150" ht="11.4" customHeight="1">
      <c r="A2150" s="67" t="inlineStr">
        <is>
          <t>大甜70</t>
        </is>
      </c>
      <c r="B2150" s="67" t="inlineStr">
        <is>
          <t>1068</t>
        </is>
      </c>
      <c r="C2150" s="67" t="inlineStr">
        <is>
          <t>1646</t>
        </is>
      </c>
      <c r="D2150" s="68" t="inlineStr">
        <is>
          <t>03</t>
        </is>
      </c>
      <c r="E2150" s="68" t="inlineStr">
        <is>
          <t>6 物业施工费</t>
        </is>
      </c>
      <c r="F2150" s="68" t="inlineStr">
        <is>
          <t>6.1 总承包工程</t>
        </is>
      </c>
      <c r="G2150" s="68" t="inlineStr">
        <is>
          <t>6.1.2A 电气工程-灯具主材</t>
        </is>
      </c>
      <c r="H2150" s="68" t="inlineStr">
        <is>
          <t>灯具主材-大堂</t>
        </is>
      </c>
      <c r="I2150" s="69" t="inlineStr">
        <is>
          <t>1000021542</t>
        </is>
      </c>
      <c r="J2150" s="69" t="inlineStr">
        <is>
          <t>PHILIPS Wall Light L08</t>
        </is>
      </c>
      <c r="K2150" s="70" t="n"/>
      <c r="L2150" s="70" t="n"/>
      <c r="M2150" s="71" t="inlineStr">
        <is>
          <t>个</t>
        </is>
      </c>
      <c r="N2150" s="72" t="n">
        <v>346.5</v>
      </c>
      <c r="O2150" s="72">
        <f>ROUND(N2150*(1+$F$10),2)</f>
        <v/>
      </c>
      <c r="P2150" s="73">
        <f>ROUND(K2150*N2150,2)</f>
        <v/>
      </c>
      <c r="Q2150" s="74">
        <f>ROUND(L2150*N2150,2)</f>
        <v/>
      </c>
      <c r="R2150" s="75" t="n"/>
      <c r="S2150" s="76" t="n"/>
      <c r="T2150" s="77">
        <f>K2150-L2150</f>
        <v/>
      </c>
      <c r="U2150" s="77">
        <f>P2150-Q2150</f>
        <v/>
      </c>
      <c r="V2150" s="77">
        <f>ABS(U2150)</f>
        <v/>
      </c>
      <c r="W2150" s="78">
        <f>T2150/L2150</f>
        <v/>
      </c>
      <c r="X2150" s="79">
        <f>ABS(W2150)</f>
        <v/>
      </c>
    </row>
    <row r="2151" ht="11.4" customHeight="1">
      <c r="A2151" s="67" t="inlineStr">
        <is>
          <t>大甜70</t>
        </is>
      </c>
      <c r="B2151" s="67" t="inlineStr">
        <is>
          <t>1068</t>
        </is>
      </c>
      <c r="C2151" s="67" t="inlineStr">
        <is>
          <t>1646</t>
        </is>
      </c>
      <c r="D2151" s="68" t="inlineStr">
        <is>
          <t>03</t>
        </is>
      </c>
      <c r="E2151" s="68" t="inlineStr">
        <is>
          <t>6 物业施工费</t>
        </is>
      </c>
      <c r="F2151" s="68" t="inlineStr">
        <is>
          <t>6.1 总承包工程</t>
        </is>
      </c>
      <c r="G2151" s="68" t="inlineStr">
        <is>
          <t>6.1.2A 电气工程-灯具主材</t>
        </is>
      </c>
      <c r="H2151" s="68" t="inlineStr">
        <is>
          <t>灯具主材-大堂</t>
        </is>
      </c>
      <c r="I2151" s="69" t="inlineStr">
        <is>
          <t>1000021543</t>
        </is>
      </c>
      <c r="J2151" s="69" t="inlineStr">
        <is>
          <t>PHILIPS LED灯带 L09</t>
        </is>
      </c>
      <c r="K2151" s="70" t="n"/>
      <c r="L2151" s="70" t="n"/>
      <c r="M2151" s="71" t="inlineStr">
        <is>
          <t>米</t>
        </is>
      </c>
      <c r="N2151" s="72" t="n">
        <v>42</v>
      </c>
      <c r="O2151" s="72">
        <f>ROUND(N2151*(1+$F$10),2)</f>
        <v/>
      </c>
      <c r="P2151" s="73">
        <f>ROUND(K2151*N2151,2)</f>
        <v/>
      </c>
      <c r="Q2151" s="74">
        <f>ROUND(L2151*N2151,2)</f>
        <v/>
      </c>
      <c r="R2151" s="75" t="n"/>
      <c r="S2151" s="76" t="n"/>
      <c r="T2151" s="77">
        <f>K2151-L2151</f>
        <v/>
      </c>
      <c r="U2151" s="77">
        <f>P2151-Q2151</f>
        <v/>
      </c>
      <c r="V2151" s="77">
        <f>ABS(U2151)</f>
        <v/>
      </c>
      <c r="W2151" s="78">
        <f>T2151/L2151</f>
        <v/>
      </c>
      <c r="X2151" s="79">
        <f>ABS(W2151)</f>
        <v/>
      </c>
    </row>
    <row r="2152" ht="11.4" customHeight="1">
      <c r="A2152" s="67" t="inlineStr">
        <is>
          <t>大甜70</t>
        </is>
      </c>
      <c r="B2152" s="67" t="inlineStr">
        <is>
          <t>1068</t>
        </is>
      </c>
      <c r="C2152" s="67" t="inlineStr">
        <is>
          <t>1646</t>
        </is>
      </c>
      <c r="D2152" s="68" t="inlineStr">
        <is>
          <t>03</t>
        </is>
      </c>
      <c r="E2152" s="68" t="inlineStr">
        <is>
          <t>6 物业施工费</t>
        </is>
      </c>
      <c r="F2152" s="68" t="inlineStr">
        <is>
          <t>6.1 总承包工程</t>
        </is>
      </c>
      <c r="G2152" s="68" t="inlineStr">
        <is>
          <t>6.1.2A 电气工程-灯具主材</t>
        </is>
      </c>
      <c r="H2152" s="68" t="inlineStr">
        <is>
          <t>灯具主材-大堂</t>
        </is>
      </c>
      <c r="I2152" s="69" t="inlineStr">
        <is>
          <t>1000021538</t>
        </is>
      </c>
      <c r="J2152" s="69" t="inlineStr">
        <is>
          <t>PHILIPS L05配套导轨 Track L=2000mm</t>
        </is>
      </c>
      <c r="K2152" s="70" t="n"/>
      <c r="L2152" s="70" t="n"/>
      <c r="M2152" s="71" t="inlineStr">
        <is>
          <t>个</t>
        </is>
      </c>
      <c r="N2152" s="72" t="n">
        <v>75.59999999999999</v>
      </c>
      <c r="O2152" s="72">
        <f>ROUND(N2152*(1+$F$10),2)</f>
        <v/>
      </c>
      <c r="P2152" s="73">
        <f>ROUND(K2152*N2152,2)</f>
        <v/>
      </c>
      <c r="Q2152" s="74">
        <f>ROUND(L2152*N2152,2)</f>
        <v/>
      </c>
      <c r="R2152" s="75" t="n"/>
      <c r="S2152" s="76" t="n"/>
      <c r="T2152" s="77">
        <f>K2152-L2152</f>
        <v/>
      </c>
      <c r="U2152" s="77">
        <f>P2152-Q2152</f>
        <v/>
      </c>
      <c r="V2152" s="77">
        <f>ABS(U2152)</f>
        <v/>
      </c>
      <c r="W2152" s="78">
        <f>T2152/L2152</f>
        <v/>
      </c>
      <c r="X2152" s="79">
        <f>ABS(W2152)</f>
        <v/>
      </c>
    </row>
    <row r="2153" ht="11.4" customHeight="1">
      <c r="A2153" s="67" t="inlineStr">
        <is>
          <t>大甜70</t>
        </is>
      </c>
      <c r="B2153" s="67" t="inlineStr">
        <is>
          <t>1068</t>
        </is>
      </c>
      <c r="C2153" s="67" t="inlineStr">
        <is>
          <t>1646</t>
        </is>
      </c>
      <c r="D2153" s="68" t="inlineStr">
        <is>
          <t>03</t>
        </is>
      </c>
      <c r="E2153" s="68" t="inlineStr">
        <is>
          <t>6 物业施工费</t>
        </is>
      </c>
      <c r="F2153" s="68" t="inlineStr">
        <is>
          <t>6.1 总承包工程</t>
        </is>
      </c>
      <c r="G2153" s="68" t="inlineStr">
        <is>
          <t>6.1.2A 电气工程-灯具主材</t>
        </is>
      </c>
      <c r="H2153" s="68" t="inlineStr">
        <is>
          <t>灯具主材-大堂</t>
        </is>
      </c>
      <c r="I2153" s="69" t="inlineStr">
        <is>
          <t>1000021539</t>
        </is>
      </c>
      <c r="J2153" s="69" t="inlineStr">
        <is>
          <t>PHILIPS L05配套导轨 Track L=1000mm</t>
        </is>
      </c>
      <c r="K2153" s="70" t="n"/>
      <c r="L2153" s="70" t="n"/>
      <c r="M2153" s="71" t="inlineStr">
        <is>
          <t>个</t>
        </is>
      </c>
      <c r="N2153" s="72" t="n">
        <v>38.85</v>
      </c>
      <c r="O2153" s="72">
        <f>ROUND(N2153*(1+$F$10),2)</f>
        <v/>
      </c>
      <c r="P2153" s="73">
        <f>ROUND(K2153*N2153,2)</f>
        <v/>
      </c>
      <c r="Q2153" s="74">
        <f>ROUND(L2153*N2153,2)</f>
        <v/>
      </c>
      <c r="R2153" s="75" t="n"/>
      <c r="S2153" s="76" t="n"/>
      <c r="T2153" s="77">
        <f>K2153-L2153</f>
        <v/>
      </c>
      <c r="U2153" s="77">
        <f>P2153-Q2153</f>
        <v/>
      </c>
      <c r="V2153" s="77">
        <f>ABS(U2153)</f>
        <v/>
      </c>
      <c r="W2153" s="78">
        <f>T2153/L2153</f>
        <v/>
      </c>
      <c r="X2153" s="79">
        <f>ABS(W2153)</f>
        <v/>
      </c>
    </row>
    <row r="2154" ht="11.4" customHeight="1">
      <c r="A2154" s="67" t="inlineStr">
        <is>
          <t>大甜70</t>
        </is>
      </c>
      <c r="B2154" s="67" t="inlineStr">
        <is>
          <t>1068</t>
        </is>
      </c>
      <c r="C2154" s="67" t="inlineStr">
        <is>
          <t>1646</t>
        </is>
      </c>
      <c r="D2154" s="68" t="inlineStr">
        <is>
          <t>03</t>
        </is>
      </c>
      <c r="E2154" s="68" t="inlineStr">
        <is>
          <t>6 物业施工费</t>
        </is>
      </c>
      <c r="F2154" s="68" t="inlineStr">
        <is>
          <t>6.1 总承包工程</t>
        </is>
      </c>
      <c r="G2154" s="68" t="inlineStr">
        <is>
          <t>6.1.2A 电气工程-灯具主材</t>
        </is>
      </c>
      <c r="H2154" s="68" t="inlineStr">
        <is>
          <t>灯具主材-大堂</t>
        </is>
      </c>
      <c r="I2154" s="69" t="inlineStr">
        <is>
          <t>1000021540</t>
        </is>
      </c>
      <c r="J2154" s="69" t="inlineStr">
        <is>
          <t>PHILIPS L05配套导轨连接件 Track connector</t>
        </is>
      </c>
      <c r="K2154" s="70" t="n"/>
      <c r="L2154" s="70" t="n"/>
      <c r="M2154" s="71" t="inlineStr">
        <is>
          <t>个</t>
        </is>
      </c>
      <c r="N2154" s="72" t="n">
        <v>8.4</v>
      </c>
      <c r="O2154" s="72">
        <f>ROUND(N2154*(1+$F$10),2)</f>
        <v/>
      </c>
      <c r="P2154" s="73">
        <f>ROUND(K2154*N2154,2)</f>
        <v/>
      </c>
      <c r="Q2154" s="74">
        <f>ROUND(L2154*N2154,2)</f>
        <v/>
      </c>
      <c r="R2154" s="75" t="n"/>
      <c r="S2154" s="76" t="n"/>
      <c r="T2154" s="77">
        <f>K2154-L2154</f>
        <v/>
      </c>
      <c r="U2154" s="77">
        <f>P2154-Q2154</f>
        <v/>
      </c>
      <c r="V2154" s="77">
        <f>ABS(U2154)</f>
        <v/>
      </c>
      <c r="W2154" s="78">
        <f>T2154/L2154</f>
        <v/>
      </c>
      <c r="X2154" s="79">
        <f>ABS(W2154)</f>
        <v/>
      </c>
    </row>
    <row r="2155" ht="11.4" customHeight="1">
      <c r="A2155" s="67" t="inlineStr">
        <is>
          <t>大甜70</t>
        </is>
      </c>
      <c r="B2155" s="67" t="inlineStr">
        <is>
          <t>1068</t>
        </is>
      </c>
      <c r="C2155" s="67" t="inlineStr">
        <is>
          <t>1646</t>
        </is>
      </c>
      <c r="D2155" s="68" t="inlineStr">
        <is>
          <t>03</t>
        </is>
      </c>
      <c r="E2155" s="68" t="inlineStr">
        <is>
          <t>6 物业施工费</t>
        </is>
      </c>
      <c r="F2155" s="68" t="inlineStr">
        <is>
          <t>6.1 总承包工程</t>
        </is>
      </c>
      <c r="G2155" s="68" t="inlineStr">
        <is>
          <t>6.1.2A 电气工程-灯具主材</t>
        </is>
      </c>
      <c r="H2155" s="68" t="inlineStr">
        <is>
          <t>灯具主材-大堂</t>
        </is>
      </c>
      <c r="I2155" s="69" t="inlineStr">
        <is>
          <t>1000021544</t>
        </is>
      </c>
      <c r="J2155" s="69" t="inlineStr">
        <is>
          <t>PHILIPS L09配套电源变压器（每10米配备一个）</t>
        </is>
      </c>
      <c r="K2155" s="70" t="n"/>
      <c r="L2155" s="70" t="n"/>
      <c r="M2155" s="71" t="inlineStr">
        <is>
          <t>个</t>
        </is>
      </c>
      <c r="N2155" s="72" t="n">
        <v>119.7</v>
      </c>
      <c r="O2155" s="72">
        <f>ROUND(N2155*(1+$F$10),2)</f>
        <v/>
      </c>
      <c r="P2155" s="73">
        <f>ROUND(K2155*N2155,2)</f>
        <v/>
      </c>
      <c r="Q2155" s="74">
        <f>ROUND(L2155*N2155,2)</f>
        <v/>
      </c>
      <c r="R2155" s="75" t="n"/>
      <c r="S2155" s="76" t="n"/>
      <c r="T2155" s="77">
        <f>K2155-L2155</f>
        <v/>
      </c>
      <c r="U2155" s="77">
        <f>P2155-Q2155</f>
        <v/>
      </c>
      <c r="V2155" s="77">
        <f>ABS(U2155)</f>
        <v/>
      </c>
      <c r="W2155" s="78">
        <f>T2155/L2155</f>
        <v/>
      </c>
      <c r="X2155" s="79">
        <f>ABS(W2155)</f>
        <v/>
      </c>
    </row>
    <row r="2156" ht="11.4" customHeight="1">
      <c r="A2156" s="67" t="inlineStr">
        <is>
          <t>大甜70</t>
        </is>
      </c>
      <c r="B2156" s="67" t="inlineStr">
        <is>
          <t>1068</t>
        </is>
      </c>
      <c r="C2156" s="67" t="inlineStr">
        <is>
          <t>1646</t>
        </is>
      </c>
      <c r="D2156" s="68" t="inlineStr">
        <is>
          <t>03</t>
        </is>
      </c>
      <c r="E2156" s="68" t="inlineStr">
        <is>
          <t>6 物业施工费</t>
        </is>
      </c>
      <c r="F2156" s="68" t="inlineStr">
        <is>
          <t>6.1 总承包工程</t>
        </is>
      </c>
      <c r="G2156" s="68" t="inlineStr">
        <is>
          <t>6.1.2A 电气工程-灯具主材</t>
        </is>
      </c>
      <c r="H2156" s="68" t="inlineStr">
        <is>
          <t>灯具主材-大堂</t>
        </is>
      </c>
      <c r="I2156" s="69" t="inlineStr">
        <is>
          <t>1000021573</t>
        </is>
      </c>
      <c r="J2156" s="69" t="inlineStr">
        <is>
          <t>PHILIPS装饰性灯具（吊灯光源L3-E/L4-E）</t>
        </is>
      </c>
      <c r="K2156" s="70" t="n"/>
      <c r="L2156" s="70" t="n"/>
      <c r="M2156" s="71" t="inlineStr">
        <is>
          <t>个</t>
        </is>
      </c>
      <c r="N2156" s="72" t="n">
        <v>28.35</v>
      </c>
      <c r="O2156" s="72">
        <f>ROUND(N2156*(1+$F$10),2)</f>
        <v/>
      </c>
      <c r="P2156" s="73">
        <f>ROUND(K2156*N2156,2)</f>
        <v/>
      </c>
      <c r="Q2156" s="74">
        <f>ROUND(L2156*N2156,2)</f>
        <v/>
      </c>
      <c r="R2156" s="75" t="n"/>
      <c r="S2156" s="76" t="n"/>
      <c r="T2156" s="77">
        <f>K2156-L2156</f>
        <v/>
      </c>
      <c r="U2156" s="77">
        <f>P2156-Q2156</f>
        <v/>
      </c>
      <c r="V2156" s="77">
        <f>ABS(U2156)</f>
        <v/>
      </c>
      <c r="W2156" s="78">
        <f>T2156/L2156</f>
        <v/>
      </c>
      <c r="X2156" s="79">
        <f>ABS(W2156)</f>
        <v/>
      </c>
    </row>
    <row r="2157" ht="11.4" customHeight="1">
      <c r="A2157" s="67" t="inlineStr">
        <is>
          <t>大甜70</t>
        </is>
      </c>
      <c r="B2157" s="67" t="inlineStr">
        <is>
          <t>1068</t>
        </is>
      </c>
      <c r="C2157" s="67" t="inlineStr">
        <is>
          <t>1646</t>
        </is>
      </c>
      <c r="D2157" s="68" t="inlineStr">
        <is>
          <t>03</t>
        </is>
      </c>
      <c r="E2157" s="68" t="inlineStr">
        <is>
          <t>6 物业施工费</t>
        </is>
      </c>
      <c r="F2157" s="68" t="inlineStr">
        <is>
          <t>6.1 总承包工程</t>
        </is>
      </c>
      <c r="G2157" s="68" t="inlineStr">
        <is>
          <t>6.1.2A 电气工程-灯具主材</t>
        </is>
      </c>
      <c r="H2157" s="68" t="inlineStr">
        <is>
          <t>灯具主材-大堂</t>
        </is>
      </c>
      <c r="I2157" s="69" t="inlineStr">
        <is>
          <t>1000021574</t>
        </is>
      </c>
      <c r="J2157" s="69" t="inlineStr">
        <is>
          <t>PHILIPS圆形嵌入式射灯 L1-E</t>
        </is>
      </c>
      <c r="K2157" s="70" t="n"/>
      <c r="L2157" s="70" t="n"/>
      <c r="M2157" s="71" t="inlineStr">
        <is>
          <t>个</t>
        </is>
      </c>
      <c r="N2157" s="72" t="n">
        <v>102.9</v>
      </c>
      <c r="O2157" s="72">
        <f>ROUND(N2157*(1+$F$10),2)</f>
        <v/>
      </c>
      <c r="P2157" s="73">
        <f>ROUND(K2157*N2157,2)</f>
        <v/>
      </c>
      <c r="Q2157" s="74">
        <f>ROUND(L2157*N2157,2)</f>
        <v/>
      </c>
      <c r="R2157" s="75" t="n"/>
      <c r="S2157" s="76" t="n"/>
      <c r="T2157" s="77">
        <f>K2157-L2157</f>
        <v/>
      </c>
      <c r="U2157" s="77">
        <f>P2157-Q2157</f>
        <v/>
      </c>
      <c r="V2157" s="77">
        <f>ABS(U2157)</f>
        <v/>
      </c>
      <c r="W2157" s="78">
        <f>T2157/L2157</f>
        <v/>
      </c>
      <c r="X2157" s="79">
        <f>ABS(W2157)</f>
        <v/>
      </c>
    </row>
    <row r="2158" ht="11.4" customHeight="1">
      <c r="A2158" s="67" t="inlineStr">
        <is>
          <t>大甜70</t>
        </is>
      </c>
      <c r="B2158" s="67" t="inlineStr">
        <is>
          <t>1068</t>
        </is>
      </c>
      <c r="C2158" s="67" t="inlineStr">
        <is>
          <t>1646</t>
        </is>
      </c>
      <c r="D2158" s="68" t="inlineStr">
        <is>
          <t>03</t>
        </is>
      </c>
      <c r="E2158" s="68" t="inlineStr">
        <is>
          <t>6 物业施工费</t>
        </is>
      </c>
      <c r="F2158" s="68" t="inlineStr">
        <is>
          <t>6.1 总承包工程</t>
        </is>
      </c>
      <c r="G2158" s="68" t="inlineStr">
        <is>
          <t>6.1.2A 电气工程-灯具主材</t>
        </is>
      </c>
      <c r="H2158" s="68" t="inlineStr">
        <is>
          <t>灯具主材-大堂</t>
        </is>
      </c>
      <c r="I2158" s="69" t="inlineStr">
        <is>
          <t>1000021575</t>
        </is>
      </c>
      <c r="J2158" s="69" t="inlineStr">
        <is>
          <t>PHILIPS圆形嵌入式射灯 L2-E/L5-E</t>
        </is>
      </c>
      <c r="K2158" s="70" t="n"/>
      <c r="L2158" s="70" t="n"/>
      <c r="M2158" s="71" t="inlineStr">
        <is>
          <t>个</t>
        </is>
      </c>
      <c r="N2158" s="72" t="n">
        <v>176.4</v>
      </c>
      <c r="O2158" s="72">
        <f>ROUND(N2158*(1+$F$10),2)</f>
        <v/>
      </c>
      <c r="P2158" s="73">
        <f>ROUND(K2158*N2158,2)</f>
        <v/>
      </c>
      <c r="Q2158" s="74">
        <f>ROUND(L2158*N2158,2)</f>
        <v/>
      </c>
      <c r="R2158" s="75" t="n"/>
      <c r="S2158" s="76" t="n"/>
      <c r="T2158" s="77">
        <f>K2158-L2158</f>
        <v/>
      </c>
      <c r="U2158" s="77">
        <f>P2158-Q2158</f>
        <v/>
      </c>
      <c r="V2158" s="77">
        <f>ABS(U2158)</f>
        <v/>
      </c>
      <c r="W2158" s="78">
        <f>T2158/L2158</f>
        <v/>
      </c>
      <c r="X2158" s="79">
        <f>ABS(W2158)</f>
        <v/>
      </c>
    </row>
    <row r="2159" ht="11.4" customHeight="1">
      <c r="A2159" s="67" t="inlineStr">
        <is>
          <t>大甜70</t>
        </is>
      </c>
      <c r="B2159" s="67" t="inlineStr">
        <is>
          <t>1068</t>
        </is>
      </c>
      <c r="C2159" s="67" t="inlineStr">
        <is>
          <t>1646</t>
        </is>
      </c>
      <c r="D2159" s="68" t="inlineStr">
        <is>
          <t>03</t>
        </is>
      </c>
      <c r="E2159" s="68" t="inlineStr">
        <is>
          <t>6 物业施工费</t>
        </is>
      </c>
      <c r="F2159" s="68" t="inlineStr">
        <is>
          <t>6.1 总承包工程</t>
        </is>
      </c>
      <c r="G2159" s="68" t="inlineStr">
        <is>
          <t>6.1.2A 电气工程-灯具主材</t>
        </is>
      </c>
      <c r="H2159" s="68" t="inlineStr">
        <is>
          <t>灯具主材-大堂</t>
        </is>
      </c>
      <c r="I2159" s="69" t="inlineStr">
        <is>
          <t>1000041825</t>
        </is>
      </c>
      <c r="J2159" s="69" t="inlineStr">
        <is>
          <t>PHILIPS圆形嵌入式灯 L1-L</t>
        </is>
      </c>
      <c r="K2159" s="70" t="n"/>
      <c r="L2159" s="70" t="n"/>
      <c r="M2159" s="71" t="inlineStr">
        <is>
          <t>个</t>
        </is>
      </c>
      <c r="N2159" s="72" t="n">
        <v>176.4</v>
      </c>
      <c r="O2159" s="72">
        <f>ROUND(N2159*(1+$F$10),2)</f>
        <v/>
      </c>
      <c r="P2159" s="73">
        <f>ROUND(K2159*N2159,2)</f>
        <v/>
      </c>
      <c r="Q2159" s="74">
        <f>ROUND(L2159*N2159,2)</f>
        <v/>
      </c>
      <c r="R2159" s="75" t="n"/>
      <c r="S2159" s="76" t="n"/>
      <c r="T2159" s="77">
        <f>K2159-L2159</f>
        <v/>
      </c>
      <c r="U2159" s="77">
        <f>P2159-Q2159</f>
        <v/>
      </c>
      <c r="V2159" s="77">
        <f>ABS(U2159)</f>
        <v/>
      </c>
      <c r="W2159" s="78">
        <f>T2159/L2159</f>
        <v/>
      </c>
      <c r="X2159" s="79">
        <f>ABS(W2159)</f>
        <v/>
      </c>
    </row>
    <row r="2160" ht="11.4" customHeight="1">
      <c r="A2160" s="67" t="inlineStr">
        <is>
          <t>大甜70</t>
        </is>
      </c>
      <c r="B2160" s="67" t="inlineStr">
        <is>
          <t>1068</t>
        </is>
      </c>
      <c r="C2160" s="67" t="inlineStr">
        <is>
          <t>1646</t>
        </is>
      </c>
      <c r="D2160" s="68" t="inlineStr">
        <is>
          <t>03</t>
        </is>
      </c>
      <c r="E2160" s="68" t="inlineStr">
        <is>
          <t>6 物业施工费</t>
        </is>
      </c>
      <c r="F2160" s="68" t="inlineStr">
        <is>
          <t>6.1 总承包工程</t>
        </is>
      </c>
      <c r="G2160" s="68" t="inlineStr">
        <is>
          <t>6.1.2A 电气工程-灯具主材</t>
        </is>
      </c>
      <c r="H2160" s="68" t="inlineStr">
        <is>
          <t>灯具主材-大堂</t>
        </is>
      </c>
      <c r="I2160" s="69" t="inlineStr">
        <is>
          <t>1000041824</t>
        </is>
      </c>
      <c r="J2160" s="69" t="inlineStr">
        <is>
          <t>PHILIPS圆形嵌入式灯 L2-L</t>
        </is>
      </c>
      <c r="K2160" s="70" t="n"/>
      <c r="L2160" s="70" t="n"/>
      <c r="M2160" s="71" t="inlineStr">
        <is>
          <t>个</t>
        </is>
      </c>
      <c r="N2160" s="72" t="n">
        <v>97.65000000000001</v>
      </c>
      <c r="O2160" s="72">
        <f>ROUND(N2160*(1+$F$10),2)</f>
        <v/>
      </c>
      <c r="P2160" s="73">
        <f>ROUND(K2160*N2160,2)</f>
        <v/>
      </c>
      <c r="Q2160" s="74">
        <f>ROUND(L2160*N2160,2)</f>
        <v/>
      </c>
      <c r="R2160" s="75" t="n"/>
      <c r="S2160" s="76" t="n"/>
      <c r="T2160" s="77">
        <f>K2160-L2160</f>
        <v/>
      </c>
      <c r="U2160" s="77">
        <f>P2160-Q2160</f>
        <v/>
      </c>
      <c r="V2160" s="77">
        <f>ABS(U2160)</f>
        <v/>
      </c>
      <c r="W2160" s="78">
        <f>T2160/L2160</f>
        <v/>
      </c>
      <c r="X2160" s="79">
        <f>ABS(W2160)</f>
        <v/>
      </c>
    </row>
    <row r="2161" ht="11.4" customHeight="1">
      <c r="A2161" s="67" t="inlineStr">
        <is>
          <t>大甜70</t>
        </is>
      </c>
      <c r="B2161" s="67" t="inlineStr">
        <is>
          <t>1068</t>
        </is>
      </c>
      <c r="C2161" s="67" t="inlineStr">
        <is>
          <t>1646</t>
        </is>
      </c>
      <c r="D2161" s="68" t="inlineStr">
        <is>
          <t>03</t>
        </is>
      </c>
      <c r="E2161" s="68" t="inlineStr">
        <is>
          <t>6 物业施工费</t>
        </is>
      </c>
      <c r="F2161" s="68" t="inlineStr">
        <is>
          <t>6.1 总承包工程</t>
        </is>
      </c>
      <c r="G2161" s="68" t="inlineStr">
        <is>
          <t>6.1.2A 电气工程-灯具主材</t>
        </is>
      </c>
      <c r="H2161" s="68" t="inlineStr">
        <is>
          <t>灯具主材-大堂</t>
        </is>
      </c>
      <c r="I2161" s="69" t="inlineStr">
        <is>
          <t>1000041826</t>
        </is>
      </c>
      <c r="J2161" s="69" t="inlineStr">
        <is>
          <t>PHILIPS LED灯带含变压器 L3-L</t>
        </is>
      </c>
      <c r="K2161" s="70" t="n"/>
      <c r="L2161" s="70" t="n"/>
      <c r="M2161" s="71" t="inlineStr">
        <is>
          <t>米</t>
        </is>
      </c>
      <c r="N2161" s="72" t="n">
        <v>46.2</v>
      </c>
      <c r="O2161" s="72">
        <f>ROUND(N2161*(1+$F$10),2)</f>
        <v/>
      </c>
      <c r="P2161" s="73">
        <f>ROUND(K2161*N2161,2)</f>
        <v/>
      </c>
      <c r="Q2161" s="74">
        <f>ROUND(L2161*N2161,2)</f>
        <v/>
      </c>
      <c r="R2161" s="75" t="n"/>
      <c r="S2161" s="76" t="n"/>
      <c r="T2161" s="77">
        <f>K2161-L2161</f>
        <v/>
      </c>
      <c r="U2161" s="77">
        <f>P2161-Q2161</f>
        <v/>
      </c>
      <c r="V2161" s="77">
        <f>ABS(U2161)</f>
        <v/>
      </c>
      <c r="W2161" s="78">
        <f>T2161/L2161</f>
        <v/>
      </c>
      <c r="X2161" s="79">
        <f>ABS(W2161)</f>
        <v/>
      </c>
    </row>
    <row r="2162" ht="11.4" customHeight="1">
      <c r="A2162" s="67" t="inlineStr">
        <is>
          <t>大甜70</t>
        </is>
      </c>
      <c r="B2162" s="67" t="inlineStr">
        <is>
          <t>1068</t>
        </is>
      </c>
      <c r="C2162" s="67" t="inlineStr">
        <is>
          <t>1646</t>
        </is>
      </c>
      <c r="D2162" s="68" t="inlineStr">
        <is>
          <t>03</t>
        </is>
      </c>
      <c r="E2162" s="68" t="inlineStr">
        <is>
          <t>6 物业施工费</t>
        </is>
      </c>
      <c r="F2162" s="68" t="inlineStr">
        <is>
          <t>6.1 总承包工程</t>
        </is>
      </c>
      <c r="G2162" s="68" t="inlineStr">
        <is>
          <t>6.1.1A 电气工程-灯具主材</t>
        </is>
      </c>
      <c r="H2162" s="68" t="inlineStr">
        <is>
          <t>灯具主材-大堂</t>
        </is>
      </c>
      <c r="I2162" s="69" t="inlineStr">
        <is>
          <t>1000021572</t>
        </is>
      </c>
      <c r="J2162" s="69" t="inlineStr">
        <is>
          <t>OSRAM吊灯用LED光源P1</t>
        </is>
      </c>
      <c r="K2162" s="70" t="n"/>
      <c r="L2162" s="70" t="n"/>
      <c r="M2162" s="71" t="inlineStr">
        <is>
          <t>个</t>
        </is>
      </c>
      <c r="N2162" s="72" t="n">
        <v>36.75</v>
      </c>
      <c r="O2162" s="72">
        <f>ROUND(N2162*(1+$F$10),2)</f>
        <v/>
      </c>
      <c r="P2162" s="73">
        <f>ROUND(K2162*N2162,2)</f>
        <v/>
      </c>
      <c r="Q2162" s="74">
        <f>ROUND(L2162*N2162,2)</f>
        <v/>
      </c>
      <c r="R2162" s="75" t="n"/>
      <c r="S2162" s="76" t="n"/>
      <c r="T2162" s="77">
        <f>K2162-L2162</f>
        <v/>
      </c>
      <c r="U2162" s="77">
        <f>P2162-Q2162</f>
        <v/>
      </c>
      <c r="V2162" s="77">
        <f>ABS(U2162)</f>
        <v/>
      </c>
      <c r="W2162" s="78">
        <f>T2162/L2162</f>
        <v/>
      </c>
      <c r="X2162" s="79">
        <f>ABS(W2162)</f>
        <v/>
      </c>
    </row>
    <row r="2163" ht="11.4" customHeight="1">
      <c r="A2163" s="67" t="inlineStr">
        <is>
          <t>大甜70</t>
        </is>
      </c>
      <c r="B2163" s="67" t="inlineStr">
        <is>
          <t>1068</t>
        </is>
      </c>
      <c r="C2163" s="67" t="inlineStr">
        <is>
          <t>1646</t>
        </is>
      </c>
      <c r="D2163" s="68" t="inlineStr">
        <is>
          <t>03</t>
        </is>
      </c>
      <c r="E2163" s="68" t="inlineStr">
        <is>
          <t>6 物业施工费</t>
        </is>
      </c>
      <c r="F2163" s="68" t="inlineStr">
        <is>
          <t>6.1 总承包工程</t>
        </is>
      </c>
      <c r="G2163" s="68" t="inlineStr">
        <is>
          <t>6.1.2A 电气工程-灯具主材</t>
        </is>
      </c>
      <c r="H2163" s="68" t="inlineStr">
        <is>
          <t>灯具主材-大堂</t>
        </is>
      </c>
      <c r="I2163" s="69" t="inlineStr">
        <is>
          <t>1000021571</t>
        </is>
      </c>
      <c r="J2163" s="69" t="inlineStr">
        <is>
          <t>OSRAM LED 5W应急灯具90分钟E</t>
        </is>
      </c>
      <c r="K2163" s="70" t="n"/>
      <c r="L2163" s="70" t="n"/>
      <c r="M2163" s="71" t="inlineStr">
        <is>
          <t>个</t>
        </is>
      </c>
      <c r="N2163" s="72" t="n">
        <v>92.40000000000001</v>
      </c>
      <c r="O2163" s="72">
        <f>ROUND(N2163*(1+$F$10),2)</f>
        <v/>
      </c>
      <c r="P2163" s="73">
        <f>ROUND(K2163*N2163,2)</f>
        <v/>
      </c>
      <c r="Q2163" s="74">
        <f>ROUND(L2163*N2163,2)</f>
        <v/>
      </c>
      <c r="R2163" s="75" t="n"/>
      <c r="S2163" s="76" t="n"/>
      <c r="T2163" s="77">
        <f>K2163-L2163</f>
        <v/>
      </c>
      <c r="U2163" s="77">
        <f>P2163-Q2163</f>
        <v/>
      </c>
      <c r="V2163" s="77">
        <f>ABS(U2163)</f>
        <v/>
      </c>
      <c r="W2163" s="78">
        <f>T2163/L2163</f>
        <v/>
      </c>
      <c r="X2163" s="79">
        <f>ABS(W2163)</f>
        <v/>
      </c>
    </row>
    <row r="2164" ht="11.4" customHeight="1">
      <c r="A2164" s="67" t="inlineStr">
        <is>
          <t>大甜70</t>
        </is>
      </c>
      <c r="B2164" s="67" t="inlineStr">
        <is>
          <t>1068</t>
        </is>
      </c>
      <c r="C2164" s="67" t="inlineStr">
        <is>
          <t>1646</t>
        </is>
      </c>
      <c r="D2164" s="68" t="inlineStr">
        <is>
          <t>03</t>
        </is>
      </c>
      <c r="E2164" s="68" t="inlineStr">
        <is>
          <t>6 物业施工费</t>
        </is>
      </c>
      <c r="F2164" s="68" t="inlineStr">
        <is>
          <t>6.1 总承包工程</t>
        </is>
      </c>
      <c r="G2164" s="68" t="inlineStr">
        <is>
          <t>6.1.2A 电气工程-灯具主材</t>
        </is>
      </c>
      <c r="H2164" s="68" t="inlineStr">
        <is>
          <t>灯具主材-大堂</t>
        </is>
      </c>
      <c r="I2164" s="69" t="inlineStr">
        <is>
          <t>1000021554</t>
        </is>
      </c>
      <c r="J2164" s="69" t="inlineStr">
        <is>
          <t>OSRAM方形LED灯筒灯灯具  L1</t>
        </is>
      </c>
      <c r="K2164" s="70" t="n"/>
      <c r="L2164" s="70" t="n"/>
      <c r="M2164" s="71" t="inlineStr">
        <is>
          <t>个</t>
        </is>
      </c>
      <c r="N2164" s="72" t="n">
        <v>111.3</v>
      </c>
      <c r="O2164" s="72">
        <f>ROUND(N2164*(1+$F$10),2)</f>
        <v/>
      </c>
      <c r="P2164" s="73">
        <f>ROUND(K2164*N2164,2)</f>
        <v/>
      </c>
      <c r="Q2164" s="74">
        <f>ROUND(L2164*N2164,2)</f>
        <v/>
      </c>
      <c r="R2164" s="75" t="n"/>
      <c r="S2164" s="76" t="n"/>
      <c r="T2164" s="77">
        <f>K2164-L2164</f>
        <v/>
      </c>
      <c r="U2164" s="77">
        <f>P2164-Q2164</f>
        <v/>
      </c>
      <c r="V2164" s="77">
        <f>ABS(U2164)</f>
        <v/>
      </c>
      <c r="W2164" s="78">
        <f>T2164/L2164</f>
        <v/>
      </c>
      <c r="X2164" s="79">
        <f>ABS(W2164)</f>
        <v/>
      </c>
    </row>
    <row r="2165" ht="11.4" customHeight="1">
      <c r="A2165" s="67" t="inlineStr">
        <is>
          <t>大甜70</t>
        </is>
      </c>
      <c r="B2165" s="67" t="inlineStr">
        <is>
          <t>1068</t>
        </is>
      </c>
      <c r="C2165" s="67" t="inlineStr">
        <is>
          <t>1646</t>
        </is>
      </c>
      <c r="D2165" s="68" t="inlineStr">
        <is>
          <t>03</t>
        </is>
      </c>
      <c r="E2165" s="68" t="inlineStr">
        <is>
          <t>6 物业施工费</t>
        </is>
      </c>
      <c r="F2165" s="68" t="inlineStr">
        <is>
          <t>6.1 总承包工程</t>
        </is>
      </c>
      <c r="G2165" s="68" t="inlineStr">
        <is>
          <t>6.1.2A 电气工程-灯具主材</t>
        </is>
      </c>
      <c r="H2165" s="68" t="inlineStr">
        <is>
          <t>灯具主材-大堂</t>
        </is>
      </c>
      <c r="I2165" s="69" t="inlineStr">
        <is>
          <t>1000021555</t>
        </is>
      </c>
      <c r="J2165" s="69" t="inlineStr">
        <is>
          <t>OSRAM双头方形LED灯筒灯灯具  L2</t>
        </is>
      </c>
      <c r="K2165" s="70" t="n"/>
      <c r="L2165" s="70" t="n"/>
      <c r="M2165" s="71" t="inlineStr">
        <is>
          <t>个</t>
        </is>
      </c>
      <c r="N2165" s="72" t="n">
        <v>181.65</v>
      </c>
      <c r="O2165" s="72">
        <f>ROUND(N2165*(1+$F$10),2)</f>
        <v/>
      </c>
      <c r="P2165" s="73">
        <f>ROUND(K2165*N2165,2)</f>
        <v/>
      </c>
      <c r="Q2165" s="74">
        <f>ROUND(L2165*N2165,2)</f>
        <v/>
      </c>
      <c r="R2165" s="75" t="n"/>
      <c r="S2165" s="76" t="n"/>
      <c r="T2165" s="77">
        <f>K2165-L2165</f>
        <v/>
      </c>
      <c r="U2165" s="77">
        <f>P2165-Q2165</f>
        <v/>
      </c>
      <c r="V2165" s="77">
        <f>ABS(U2165)</f>
        <v/>
      </c>
      <c r="W2165" s="78">
        <f>T2165/L2165</f>
        <v/>
      </c>
      <c r="X2165" s="79">
        <f>ABS(W2165)</f>
        <v/>
      </c>
    </row>
    <row r="2166" ht="11.4" customHeight="1">
      <c r="A2166" s="67" t="inlineStr">
        <is>
          <t>大甜70</t>
        </is>
      </c>
      <c r="B2166" s="67" t="inlineStr">
        <is>
          <t>1068</t>
        </is>
      </c>
      <c r="C2166" s="67" t="inlineStr">
        <is>
          <t>1646</t>
        </is>
      </c>
      <c r="D2166" s="68" t="inlineStr">
        <is>
          <t>03</t>
        </is>
      </c>
      <c r="E2166" s="68" t="inlineStr">
        <is>
          <t>6 物业施工费</t>
        </is>
      </c>
      <c r="F2166" s="68" t="inlineStr">
        <is>
          <t>6.1 总承包工程</t>
        </is>
      </c>
      <c r="G2166" s="68" t="inlineStr">
        <is>
          <t>6.1.2A 电气工程-灯具主材</t>
        </is>
      </c>
      <c r="H2166" s="68" t="inlineStr">
        <is>
          <t>灯具主材-大堂</t>
        </is>
      </c>
      <c r="I2166" s="69" t="inlineStr">
        <is>
          <t>1000021567</t>
        </is>
      </c>
      <c r="J2166" s="69" t="inlineStr">
        <is>
          <t>OSRAM方形嵌入式LED射灯28W  L3</t>
        </is>
      </c>
      <c r="K2166" s="70" t="n"/>
      <c r="L2166" s="70" t="n"/>
      <c r="M2166" s="71" t="inlineStr">
        <is>
          <t>个</t>
        </is>
      </c>
      <c r="N2166" s="72" t="n">
        <v>198.45</v>
      </c>
      <c r="O2166" s="72">
        <f>ROUND(N2166*(1+$F$10),2)</f>
        <v/>
      </c>
      <c r="P2166" s="73">
        <f>ROUND(K2166*N2166,2)</f>
        <v/>
      </c>
      <c r="Q2166" s="74">
        <f>ROUND(L2166*N2166,2)</f>
        <v/>
      </c>
      <c r="R2166" s="75" t="n"/>
      <c r="S2166" s="76" t="n"/>
      <c r="T2166" s="77">
        <f>K2166-L2166</f>
        <v/>
      </c>
      <c r="U2166" s="77">
        <f>P2166-Q2166</f>
        <v/>
      </c>
      <c r="V2166" s="77">
        <f>ABS(U2166)</f>
        <v/>
      </c>
      <c r="W2166" s="78">
        <f>T2166/L2166</f>
        <v/>
      </c>
      <c r="X2166" s="79">
        <f>ABS(W2166)</f>
        <v/>
      </c>
    </row>
    <row r="2167" ht="11.4" customHeight="1">
      <c r="A2167" s="67" t="inlineStr">
        <is>
          <t>大甜70</t>
        </is>
      </c>
      <c r="B2167" s="67" t="inlineStr">
        <is>
          <t>1068</t>
        </is>
      </c>
      <c r="C2167" s="67" t="inlineStr">
        <is>
          <t>1646</t>
        </is>
      </c>
      <c r="D2167" s="68" t="inlineStr">
        <is>
          <t>03</t>
        </is>
      </c>
      <c r="E2167" s="68" t="inlineStr">
        <is>
          <t>6 物业施工费</t>
        </is>
      </c>
      <c r="F2167" s="68" t="inlineStr">
        <is>
          <t>6.1 总承包工程</t>
        </is>
      </c>
      <c r="G2167" s="68" t="inlineStr">
        <is>
          <t>6.1.2A 电气工程-灯具主材</t>
        </is>
      </c>
      <c r="H2167" s="68" t="inlineStr">
        <is>
          <t>灯具主材-大堂</t>
        </is>
      </c>
      <c r="I2167" s="69" t="inlineStr">
        <is>
          <t>1000021556</t>
        </is>
      </c>
      <c r="J2167" s="69" t="inlineStr">
        <is>
          <t>OSRAM深照型圆形LED灯筒灯灯具  L4</t>
        </is>
      </c>
      <c r="K2167" s="70" t="n"/>
      <c r="L2167" s="70" t="n"/>
      <c r="M2167" s="71" t="inlineStr">
        <is>
          <t>个</t>
        </is>
      </c>
      <c r="N2167" s="72" t="n">
        <v>113.4</v>
      </c>
      <c r="O2167" s="72">
        <f>ROUND(N2167*(1+$F$10),2)</f>
        <v/>
      </c>
      <c r="P2167" s="73">
        <f>ROUND(K2167*N2167,2)</f>
        <v/>
      </c>
      <c r="Q2167" s="74">
        <f>ROUND(L2167*N2167,2)</f>
        <v/>
      </c>
      <c r="R2167" s="75" t="n"/>
      <c r="S2167" s="76" t="n"/>
      <c r="T2167" s="77">
        <f>K2167-L2167</f>
        <v/>
      </c>
      <c r="U2167" s="77">
        <f>P2167-Q2167</f>
        <v/>
      </c>
      <c r="V2167" s="77">
        <f>ABS(U2167)</f>
        <v/>
      </c>
      <c r="W2167" s="78">
        <f>T2167/L2167</f>
        <v/>
      </c>
      <c r="X2167" s="79">
        <f>ABS(W2167)</f>
        <v/>
      </c>
    </row>
    <row r="2168" ht="11.4" customHeight="1">
      <c r="A2168" s="67" t="inlineStr">
        <is>
          <t>大甜70</t>
        </is>
      </c>
      <c r="B2168" s="67" t="inlineStr">
        <is>
          <t>1068</t>
        </is>
      </c>
      <c r="C2168" s="67" t="inlineStr">
        <is>
          <t>1646</t>
        </is>
      </c>
      <c r="D2168" s="68" t="inlineStr">
        <is>
          <t>03</t>
        </is>
      </c>
      <c r="E2168" s="68" t="inlineStr">
        <is>
          <t>6 物业施工费</t>
        </is>
      </c>
      <c r="F2168" s="68" t="inlineStr">
        <is>
          <t>6.1 总承包工程</t>
        </is>
      </c>
      <c r="G2168" s="68" t="inlineStr">
        <is>
          <t>6.1.2A 电气工程-灯具主材</t>
        </is>
      </c>
      <c r="H2168" s="68" t="inlineStr">
        <is>
          <t>灯具主材-大堂</t>
        </is>
      </c>
      <c r="I2168" s="69" t="inlineStr">
        <is>
          <t>1000021557</t>
        </is>
      </c>
      <c r="J2168" s="69" t="inlineStr">
        <is>
          <t>OSRAM圆形嵌入式 LED 筒灯  L5</t>
        </is>
      </c>
      <c r="K2168" s="70" t="n"/>
      <c r="L2168" s="70" t="n"/>
      <c r="M2168" s="71" t="inlineStr">
        <is>
          <t>个</t>
        </is>
      </c>
      <c r="N2168" s="72" t="n">
        <v>152.56</v>
      </c>
      <c r="O2168" s="72">
        <f>ROUND(N2168*(1+$F$10),2)</f>
        <v/>
      </c>
      <c r="P2168" s="73">
        <f>ROUND(K2168*N2168,2)</f>
        <v/>
      </c>
      <c r="Q2168" s="74">
        <f>ROUND(L2168*N2168,2)</f>
        <v/>
      </c>
      <c r="R2168" s="75" t="n"/>
      <c r="S2168" s="76" t="n"/>
      <c r="T2168" s="77">
        <f>K2168-L2168</f>
        <v/>
      </c>
      <c r="U2168" s="77">
        <f>P2168-Q2168</f>
        <v/>
      </c>
      <c r="V2168" s="77">
        <f>ABS(U2168)</f>
        <v/>
      </c>
      <c r="W2168" s="78">
        <f>T2168/L2168</f>
        <v/>
      </c>
      <c r="X2168" s="79">
        <f>ABS(W2168)</f>
        <v/>
      </c>
    </row>
    <row r="2169" ht="11.4" customHeight="1">
      <c r="A2169" s="67" t="inlineStr">
        <is>
          <t>大甜70</t>
        </is>
      </c>
      <c r="B2169" s="67" t="inlineStr">
        <is>
          <t>1068</t>
        </is>
      </c>
      <c r="C2169" s="67" t="inlineStr">
        <is>
          <t>1646</t>
        </is>
      </c>
      <c r="D2169" s="68" t="inlineStr">
        <is>
          <t>03</t>
        </is>
      </c>
      <c r="E2169" s="68" t="inlineStr">
        <is>
          <t>6 物业施工费</t>
        </is>
      </c>
      <c r="F2169" s="68" t="inlineStr">
        <is>
          <t>6.1 总承包工程</t>
        </is>
      </c>
      <c r="G2169" s="68" t="inlineStr">
        <is>
          <t>6.1.2A 电气工程-灯具主材</t>
        </is>
      </c>
      <c r="H2169" s="68" t="inlineStr">
        <is>
          <t>灯具主材-大堂</t>
        </is>
      </c>
      <c r="I2169" s="69" t="inlineStr">
        <is>
          <t>1000021565</t>
        </is>
      </c>
      <c r="J2169" s="69" t="inlineStr">
        <is>
          <t>OSRAM方形嵌入式 LED 筒灯  L5</t>
        </is>
      </c>
      <c r="K2169" s="70" t="n"/>
      <c r="L2169" s="70" t="n"/>
      <c r="M2169" s="71" t="inlineStr">
        <is>
          <t>个</t>
        </is>
      </c>
      <c r="N2169" s="72" t="n">
        <v>184.8</v>
      </c>
      <c r="O2169" s="72">
        <f>ROUND(N2169*(1+$F$10),2)</f>
        <v/>
      </c>
      <c r="P2169" s="73">
        <f>ROUND(K2169*N2169,2)</f>
        <v/>
      </c>
      <c r="Q2169" s="74">
        <f>ROUND(L2169*N2169,2)</f>
        <v/>
      </c>
      <c r="R2169" s="75" t="n"/>
      <c r="S2169" s="76" t="n"/>
      <c r="T2169" s="77">
        <f>K2169-L2169</f>
        <v/>
      </c>
      <c r="U2169" s="77">
        <f>P2169-Q2169</f>
        <v/>
      </c>
      <c r="V2169" s="77">
        <f>ABS(U2169)</f>
        <v/>
      </c>
      <c r="W2169" s="78">
        <f>T2169/L2169</f>
        <v/>
      </c>
      <c r="X2169" s="79">
        <f>ABS(W2169)</f>
        <v/>
      </c>
    </row>
    <row r="2170" ht="11.4" customHeight="1">
      <c r="A2170" s="67" t="inlineStr">
        <is>
          <t>大甜70</t>
        </is>
      </c>
      <c r="B2170" s="67" t="inlineStr">
        <is>
          <t>1068</t>
        </is>
      </c>
      <c r="C2170" s="67" t="inlineStr">
        <is>
          <t>1646</t>
        </is>
      </c>
      <c r="D2170" s="68" t="inlineStr">
        <is>
          <t>03</t>
        </is>
      </c>
      <c r="E2170" s="68" t="inlineStr">
        <is>
          <t>6 物业施工费</t>
        </is>
      </c>
      <c r="F2170" s="68" t="inlineStr">
        <is>
          <t>6.1 总承包工程</t>
        </is>
      </c>
      <c r="G2170" s="68" t="inlineStr">
        <is>
          <t>6.1.2A 电气工程-灯具主材</t>
        </is>
      </c>
      <c r="H2170" s="68" t="inlineStr">
        <is>
          <t>灯具主材-大堂</t>
        </is>
      </c>
      <c r="I2170" s="69" t="inlineStr">
        <is>
          <t>1000021560</t>
        </is>
      </c>
      <c r="J2170" s="69" t="inlineStr">
        <is>
          <t>OSRAM圆形嵌入式 LED 防尘防水筒灯  L6</t>
        </is>
      </c>
      <c r="K2170" s="70" t="n"/>
      <c r="L2170" s="70" t="n"/>
      <c r="M2170" s="71" t="inlineStr">
        <is>
          <t>个</t>
        </is>
      </c>
      <c r="N2170" s="72" t="n">
        <v>89.25</v>
      </c>
      <c r="O2170" s="72">
        <f>ROUND(N2170*(1+$F$10),2)</f>
        <v/>
      </c>
      <c r="P2170" s="73">
        <f>ROUND(K2170*N2170,2)</f>
        <v/>
      </c>
      <c r="Q2170" s="74">
        <f>ROUND(L2170*N2170,2)</f>
        <v/>
      </c>
      <c r="R2170" s="75" t="n"/>
      <c r="S2170" s="76" t="n"/>
      <c r="T2170" s="77">
        <f>K2170-L2170</f>
        <v/>
      </c>
      <c r="U2170" s="77">
        <f>P2170-Q2170</f>
        <v/>
      </c>
      <c r="V2170" s="77">
        <f>ABS(U2170)</f>
        <v/>
      </c>
      <c r="W2170" s="78">
        <f>T2170/L2170</f>
        <v/>
      </c>
      <c r="X2170" s="79">
        <f>ABS(W2170)</f>
        <v/>
      </c>
    </row>
    <row r="2171" ht="11.4" customHeight="1">
      <c r="A2171" s="67" t="inlineStr">
        <is>
          <t>大甜70</t>
        </is>
      </c>
      <c r="B2171" s="67" t="inlineStr">
        <is>
          <t>1068</t>
        </is>
      </c>
      <c r="C2171" s="67" t="inlineStr">
        <is>
          <t>1646</t>
        </is>
      </c>
      <c r="D2171" s="68" t="inlineStr">
        <is>
          <t>03</t>
        </is>
      </c>
      <c r="E2171" s="68" t="inlineStr">
        <is>
          <t>6 物业施工费</t>
        </is>
      </c>
      <c r="F2171" s="68" t="inlineStr">
        <is>
          <t>6.1 总承包工程</t>
        </is>
      </c>
      <c r="G2171" s="68" t="inlineStr">
        <is>
          <t>6.1.2A 电气工程-灯具主材</t>
        </is>
      </c>
      <c r="H2171" s="68" t="inlineStr">
        <is>
          <t>灯具主材-大堂</t>
        </is>
      </c>
      <c r="I2171" s="69" t="inlineStr">
        <is>
          <t>1000021566</t>
        </is>
      </c>
      <c r="J2171" s="69" t="inlineStr">
        <is>
          <t>OSRAM圆形嵌入式LED防水型射灯 L9</t>
        </is>
      </c>
      <c r="K2171" s="70" t="n"/>
      <c r="L2171" s="70" t="n"/>
      <c r="M2171" s="71" t="inlineStr">
        <is>
          <t>个</t>
        </is>
      </c>
      <c r="N2171" s="72" t="n">
        <v>159.74</v>
      </c>
      <c r="O2171" s="72">
        <f>ROUND(N2171*(1+$F$10),2)</f>
        <v/>
      </c>
      <c r="P2171" s="73">
        <f>ROUND(K2171*N2171,2)</f>
        <v/>
      </c>
      <c r="Q2171" s="74">
        <f>ROUND(L2171*N2171,2)</f>
        <v/>
      </c>
      <c r="R2171" s="75" t="n"/>
      <c r="S2171" s="76" t="n"/>
      <c r="T2171" s="77">
        <f>K2171-L2171</f>
        <v/>
      </c>
      <c r="U2171" s="77">
        <f>P2171-Q2171</f>
        <v/>
      </c>
      <c r="V2171" s="77">
        <f>ABS(U2171)</f>
        <v/>
      </c>
      <c r="W2171" s="78">
        <f>T2171/L2171</f>
        <v/>
      </c>
      <c r="X2171" s="79">
        <f>ABS(W2171)</f>
        <v/>
      </c>
    </row>
    <row r="2172" ht="11.4" customHeight="1">
      <c r="A2172" s="67" t="inlineStr">
        <is>
          <t>大甜70</t>
        </is>
      </c>
      <c r="B2172" s="67" t="inlineStr">
        <is>
          <t>1068</t>
        </is>
      </c>
      <c r="C2172" s="67" t="inlineStr">
        <is>
          <t>1646</t>
        </is>
      </c>
      <c r="D2172" s="68" t="inlineStr">
        <is>
          <t>03</t>
        </is>
      </c>
      <c r="E2172" s="68" t="inlineStr">
        <is>
          <t>6 物业施工费</t>
        </is>
      </c>
      <c r="F2172" s="68" t="inlineStr">
        <is>
          <t>6.1 总承包工程</t>
        </is>
      </c>
      <c r="G2172" s="68" t="inlineStr">
        <is>
          <t>6.1.2A 电气工程-灯具主材</t>
        </is>
      </c>
      <c r="H2172" s="68" t="inlineStr">
        <is>
          <t>灯具主材-大堂</t>
        </is>
      </c>
      <c r="I2172" s="69" t="inlineStr">
        <is>
          <t>1000021545</t>
        </is>
      </c>
      <c r="J2172" s="69" t="inlineStr">
        <is>
          <t>OSRAM 圆形吊灯 LO1</t>
        </is>
      </c>
      <c r="K2172" s="70" t="n"/>
      <c r="L2172" s="70" t="n"/>
      <c r="M2172" s="71" t="inlineStr">
        <is>
          <t>个</t>
        </is>
      </c>
      <c r="N2172" s="72" t="n">
        <v>346.5</v>
      </c>
      <c r="O2172" s="72">
        <f>ROUND(N2172*(1+$F$10),2)</f>
        <v/>
      </c>
      <c r="P2172" s="73">
        <f>ROUND(K2172*N2172,2)</f>
        <v/>
      </c>
      <c r="Q2172" s="74">
        <f>ROUND(L2172*N2172,2)</f>
        <v/>
      </c>
      <c r="R2172" s="75" t="n"/>
      <c r="S2172" s="76" t="n"/>
      <c r="T2172" s="77">
        <f>K2172-L2172</f>
        <v/>
      </c>
      <c r="U2172" s="77">
        <f>P2172-Q2172</f>
        <v/>
      </c>
      <c r="V2172" s="77">
        <f>ABS(U2172)</f>
        <v/>
      </c>
      <c r="W2172" s="78">
        <f>T2172/L2172</f>
        <v/>
      </c>
      <c r="X2172" s="79">
        <f>ABS(W2172)</f>
        <v/>
      </c>
    </row>
    <row r="2173" ht="11.4" customHeight="1">
      <c r="A2173" s="67" t="inlineStr">
        <is>
          <t>大甜70</t>
        </is>
      </c>
      <c r="B2173" s="67" t="inlineStr">
        <is>
          <t>1068</t>
        </is>
      </c>
      <c r="C2173" s="67" t="inlineStr">
        <is>
          <t>1646</t>
        </is>
      </c>
      <c r="D2173" s="68" t="inlineStr">
        <is>
          <t>03</t>
        </is>
      </c>
      <c r="E2173" s="68" t="inlineStr">
        <is>
          <t>6 物业施工费</t>
        </is>
      </c>
      <c r="F2173" s="68" t="inlineStr">
        <is>
          <t>6.1 总承包工程</t>
        </is>
      </c>
      <c r="G2173" s="68" t="inlineStr">
        <is>
          <t>6.1.2A 电气工程-灯具主材</t>
        </is>
      </c>
      <c r="H2173" s="68" t="inlineStr">
        <is>
          <t>灯具主材-大堂</t>
        </is>
      </c>
      <c r="I2173" s="69" t="inlineStr">
        <is>
          <t>1000041833</t>
        </is>
      </c>
      <c r="J2173" s="69" t="inlineStr">
        <is>
          <t>OSRAM双头嵌入式射灯 L02</t>
        </is>
      </c>
      <c r="K2173" s="70" t="n"/>
      <c r="L2173" s="70" t="n"/>
      <c r="M2173" s="71" t="inlineStr">
        <is>
          <t>个</t>
        </is>
      </c>
      <c r="N2173" s="72" t="n">
        <v>181.65</v>
      </c>
      <c r="O2173" s="72">
        <f>ROUND(N2173*(1+$F$10),2)</f>
        <v/>
      </c>
      <c r="P2173" s="73">
        <f>ROUND(K2173*N2173,2)</f>
        <v/>
      </c>
      <c r="Q2173" s="74">
        <f>ROUND(L2173*N2173,2)</f>
        <v/>
      </c>
      <c r="R2173" s="75" t="n"/>
      <c r="S2173" s="76" t="n"/>
      <c r="T2173" s="77">
        <f>K2173-L2173</f>
        <v/>
      </c>
      <c r="U2173" s="77">
        <f>P2173-Q2173</f>
        <v/>
      </c>
      <c r="V2173" s="77">
        <f>ABS(U2173)</f>
        <v/>
      </c>
      <c r="W2173" s="78">
        <f>T2173/L2173</f>
        <v/>
      </c>
      <c r="X2173" s="79">
        <f>ABS(W2173)</f>
        <v/>
      </c>
    </row>
    <row r="2174" ht="11.4" customHeight="1">
      <c r="A2174" s="67" t="inlineStr">
        <is>
          <t>大甜70</t>
        </is>
      </c>
      <c r="B2174" s="67" t="inlineStr">
        <is>
          <t>1068</t>
        </is>
      </c>
      <c r="C2174" s="67" t="inlineStr">
        <is>
          <t>1646</t>
        </is>
      </c>
      <c r="D2174" s="68" t="inlineStr">
        <is>
          <t>03</t>
        </is>
      </c>
      <c r="E2174" s="68" t="inlineStr">
        <is>
          <t>6 物业施工费</t>
        </is>
      </c>
      <c r="F2174" s="68" t="inlineStr">
        <is>
          <t>6.1 总承包工程</t>
        </is>
      </c>
      <c r="G2174" s="68" t="inlineStr">
        <is>
          <t>6.1.2A 电气工程-灯具主材</t>
        </is>
      </c>
      <c r="H2174" s="68" t="inlineStr">
        <is>
          <t>灯具主材-大堂</t>
        </is>
      </c>
      <c r="I2174" s="69" t="inlineStr">
        <is>
          <t>1000021546</t>
        </is>
      </c>
      <c r="J2174" s="69" t="inlineStr">
        <is>
          <t>OSRAM 暗藏轨道射灯 LO3</t>
        </is>
      </c>
      <c r="K2174" s="70" t="n"/>
      <c r="L2174" s="70" t="n"/>
      <c r="M2174" s="71" t="inlineStr">
        <is>
          <t>个</t>
        </is>
      </c>
      <c r="N2174" s="72" t="n">
        <v>149.1</v>
      </c>
      <c r="O2174" s="72">
        <f>ROUND(N2174*(1+$F$10),2)</f>
        <v/>
      </c>
      <c r="P2174" s="73">
        <f>ROUND(K2174*N2174,2)</f>
        <v/>
      </c>
      <c r="Q2174" s="74">
        <f>ROUND(L2174*N2174,2)</f>
        <v/>
      </c>
      <c r="R2174" s="75" t="n"/>
      <c r="S2174" s="76" t="n"/>
      <c r="T2174" s="77">
        <f>K2174-L2174</f>
        <v/>
      </c>
      <c r="U2174" s="77">
        <f>P2174-Q2174</f>
        <v/>
      </c>
      <c r="V2174" s="77">
        <f>ABS(U2174)</f>
        <v/>
      </c>
      <c r="W2174" s="78">
        <f>T2174/L2174</f>
        <v/>
      </c>
      <c r="X2174" s="79">
        <f>ABS(W2174)</f>
        <v/>
      </c>
    </row>
    <row r="2175" ht="11.4" customHeight="1">
      <c r="A2175" s="67" t="inlineStr">
        <is>
          <t>大甜70</t>
        </is>
      </c>
      <c r="B2175" s="67" t="inlineStr">
        <is>
          <t>1068</t>
        </is>
      </c>
      <c r="C2175" s="67" t="inlineStr">
        <is>
          <t>1646</t>
        </is>
      </c>
      <c r="D2175" s="68" t="inlineStr">
        <is>
          <t>03</t>
        </is>
      </c>
      <c r="E2175" s="68" t="inlineStr">
        <is>
          <t>6 物业施工费</t>
        </is>
      </c>
      <c r="F2175" s="68" t="inlineStr">
        <is>
          <t>6.1 总承包工程</t>
        </is>
      </c>
      <c r="G2175" s="68" t="inlineStr">
        <is>
          <t>6.1.2A 电气工程-灯具主材</t>
        </is>
      </c>
      <c r="H2175" s="68" t="inlineStr">
        <is>
          <t>灯具主材-大堂</t>
        </is>
      </c>
      <c r="I2175" s="69" t="inlineStr">
        <is>
          <t>1000041832</t>
        </is>
      </c>
      <c r="J2175" s="69" t="inlineStr">
        <is>
          <t>OSRAM圆形嵌入式射灯 L04</t>
        </is>
      </c>
      <c r="K2175" s="70" t="n"/>
      <c r="L2175" s="70" t="n"/>
      <c r="M2175" s="71" t="inlineStr">
        <is>
          <t>个</t>
        </is>
      </c>
      <c r="N2175" s="72" t="n">
        <v>113.4</v>
      </c>
      <c r="O2175" s="72">
        <f>ROUND(N2175*(1+$F$10),2)</f>
        <v/>
      </c>
      <c r="P2175" s="73">
        <f>ROUND(K2175*N2175,2)</f>
        <v/>
      </c>
      <c r="Q2175" s="74">
        <f>ROUND(L2175*N2175,2)</f>
        <v/>
      </c>
      <c r="R2175" s="75" t="n"/>
      <c r="S2175" s="76" t="n"/>
      <c r="T2175" s="77">
        <f>K2175-L2175</f>
        <v/>
      </c>
      <c r="U2175" s="77">
        <f>P2175-Q2175</f>
        <v/>
      </c>
      <c r="V2175" s="77">
        <f>ABS(U2175)</f>
        <v/>
      </c>
      <c r="W2175" s="78">
        <f>T2175/L2175</f>
        <v/>
      </c>
      <c r="X2175" s="79">
        <f>ABS(W2175)</f>
        <v/>
      </c>
    </row>
    <row r="2176" ht="11.4" customHeight="1">
      <c r="A2176" s="67" t="inlineStr">
        <is>
          <t>大甜70</t>
        </is>
      </c>
      <c r="B2176" s="67" t="inlineStr">
        <is>
          <t>1068</t>
        </is>
      </c>
      <c r="C2176" s="67" t="inlineStr">
        <is>
          <t>1646</t>
        </is>
      </c>
      <c r="D2176" s="68" t="inlineStr">
        <is>
          <t>03</t>
        </is>
      </c>
      <c r="E2176" s="68" t="inlineStr">
        <is>
          <t>6 物业施工费</t>
        </is>
      </c>
      <c r="F2176" s="68" t="inlineStr">
        <is>
          <t>6.1 总承包工程</t>
        </is>
      </c>
      <c r="G2176" s="68" t="inlineStr">
        <is>
          <t>6.1.2A 电气工程-灯具主材</t>
        </is>
      </c>
      <c r="H2176" s="68" t="inlineStr">
        <is>
          <t>灯具主材-大堂</t>
        </is>
      </c>
      <c r="I2176" s="69" t="inlineStr">
        <is>
          <t>1000021550</t>
        </is>
      </c>
      <c r="J2176" s="69" t="inlineStr">
        <is>
          <t>OSRAM 长条壁灯 L07</t>
        </is>
      </c>
      <c r="K2176" s="70" t="n"/>
      <c r="L2176" s="70" t="n"/>
      <c r="M2176" s="71" t="inlineStr">
        <is>
          <t>个</t>
        </is>
      </c>
      <c r="N2176" s="72" t="n">
        <v>483</v>
      </c>
      <c r="O2176" s="72">
        <f>ROUND(N2176*(1+$F$10),2)</f>
        <v/>
      </c>
      <c r="P2176" s="73">
        <f>ROUND(K2176*N2176,2)</f>
        <v/>
      </c>
      <c r="Q2176" s="74">
        <f>ROUND(L2176*N2176,2)</f>
        <v/>
      </c>
      <c r="R2176" s="75" t="n"/>
      <c r="S2176" s="76" t="n"/>
      <c r="T2176" s="77">
        <f>K2176-L2176</f>
        <v/>
      </c>
      <c r="U2176" s="77">
        <f>P2176-Q2176</f>
        <v/>
      </c>
      <c r="V2176" s="77">
        <f>ABS(U2176)</f>
        <v/>
      </c>
      <c r="W2176" s="78">
        <f>T2176/L2176</f>
        <v/>
      </c>
      <c r="X2176" s="79">
        <f>ABS(W2176)</f>
        <v/>
      </c>
    </row>
    <row r="2177" ht="11.4" customHeight="1">
      <c r="A2177" s="67" t="inlineStr">
        <is>
          <t>大甜70</t>
        </is>
      </c>
      <c r="B2177" s="67" t="inlineStr">
        <is>
          <t>1068</t>
        </is>
      </c>
      <c r="C2177" s="67" t="inlineStr">
        <is>
          <t>1646</t>
        </is>
      </c>
      <c r="D2177" s="68" t="inlineStr">
        <is>
          <t>03</t>
        </is>
      </c>
      <c r="E2177" s="68" t="inlineStr">
        <is>
          <t>6 物业施工费</t>
        </is>
      </c>
      <c r="F2177" s="68" t="inlineStr">
        <is>
          <t>6.1 总承包工程</t>
        </is>
      </c>
      <c r="G2177" s="68" t="inlineStr">
        <is>
          <t>6.1.2A 电气工程-灯具主材</t>
        </is>
      </c>
      <c r="H2177" s="68" t="inlineStr">
        <is>
          <t>灯具主材-大堂</t>
        </is>
      </c>
      <c r="I2177" s="69" t="inlineStr">
        <is>
          <t>1000021551</t>
        </is>
      </c>
      <c r="J2177" s="69" t="inlineStr">
        <is>
          <t>OSRAM Wall Light L08</t>
        </is>
      </c>
      <c r="K2177" s="70" t="n"/>
      <c r="L2177" s="70" t="n"/>
      <c r="M2177" s="71" t="inlineStr">
        <is>
          <t>个</t>
        </is>
      </c>
      <c r="N2177" s="72" t="n">
        <v>367.5</v>
      </c>
      <c r="O2177" s="72">
        <f>ROUND(N2177*(1+$F$10),2)</f>
        <v/>
      </c>
      <c r="P2177" s="73">
        <f>ROUND(K2177*N2177,2)</f>
        <v/>
      </c>
      <c r="Q2177" s="74">
        <f>ROUND(L2177*N2177,2)</f>
        <v/>
      </c>
      <c r="R2177" s="75" t="n"/>
      <c r="S2177" s="76" t="n"/>
      <c r="T2177" s="77">
        <f>K2177-L2177</f>
        <v/>
      </c>
      <c r="U2177" s="77">
        <f>P2177-Q2177</f>
        <v/>
      </c>
      <c r="V2177" s="77">
        <f>ABS(U2177)</f>
        <v/>
      </c>
      <c r="W2177" s="78">
        <f>T2177/L2177</f>
        <v/>
      </c>
      <c r="X2177" s="79">
        <f>ABS(W2177)</f>
        <v/>
      </c>
    </row>
    <row r="2178" ht="11.4" customHeight="1">
      <c r="A2178" s="67" t="inlineStr">
        <is>
          <t>大甜70</t>
        </is>
      </c>
      <c r="B2178" s="67" t="inlineStr">
        <is>
          <t>1068</t>
        </is>
      </c>
      <c r="C2178" s="67" t="inlineStr">
        <is>
          <t>1646</t>
        </is>
      </c>
      <c r="D2178" s="68" t="inlineStr">
        <is>
          <t>03</t>
        </is>
      </c>
      <c r="E2178" s="68" t="inlineStr">
        <is>
          <t>6 物业施工费</t>
        </is>
      </c>
      <c r="F2178" s="68" t="inlineStr">
        <is>
          <t>6.1 总承包工程</t>
        </is>
      </c>
      <c r="G2178" s="68" t="inlineStr">
        <is>
          <t>6.1.2A 电气工程-灯具主材</t>
        </is>
      </c>
      <c r="H2178" s="68" t="inlineStr">
        <is>
          <t>灯具主材-大堂</t>
        </is>
      </c>
      <c r="I2178" s="69" t="inlineStr">
        <is>
          <t>1000021552</t>
        </is>
      </c>
      <c r="J2178" s="69" t="inlineStr">
        <is>
          <t>OSRAM LED灯带 L09</t>
        </is>
      </c>
      <c r="K2178" s="70" t="n"/>
      <c r="L2178" s="70" t="n"/>
      <c r="M2178" s="71" t="inlineStr">
        <is>
          <t>米</t>
        </is>
      </c>
      <c r="N2178" s="72" t="n">
        <v>52.5</v>
      </c>
      <c r="O2178" s="72">
        <f>ROUND(N2178*(1+$F$10),2)</f>
        <v/>
      </c>
      <c r="P2178" s="73">
        <f>ROUND(K2178*N2178,2)</f>
        <v/>
      </c>
      <c r="Q2178" s="74">
        <f>ROUND(L2178*N2178,2)</f>
        <v/>
      </c>
      <c r="R2178" s="75" t="n"/>
      <c r="S2178" s="76" t="n"/>
      <c r="T2178" s="77">
        <f>K2178-L2178</f>
        <v/>
      </c>
      <c r="U2178" s="77">
        <f>P2178-Q2178</f>
        <v/>
      </c>
      <c r="V2178" s="77">
        <f>ABS(U2178)</f>
        <v/>
      </c>
      <c r="W2178" s="78">
        <f>T2178/L2178</f>
        <v/>
      </c>
      <c r="X2178" s="79">
        <f>ABS(W2178)</f>
        <v/>
      </c>
    </row>
    <row r="2179" ht="11.4" customHeight="1">
      <c r="A2179" s="67" t="inlineStr">
        <is>
          <t>大甜70</t>
        </is>
      </c>
      <c r="B2179" s="67" t="inlineStr">
        <is>
          <t>1068</t>
        </is>
      </c>
      <c r="C2179" s="67" t="inlineStr">
        <is>
          <t>1646</t>
        </is>
      </c>
      <c r="D2179" s="68" t="inlineStr">
        <is>
          <t>03</t>
        </is>
      </c>
      <c r="E2179" s="68" t="inlineStr">
        <is>
          <t>6 物业施工费</t>
        </is>
      </c>
      <c r="F2179" s="68" t="inlineStr">
        <is>
          <t>6.1 总承包工程</t>
        </is>
      </c>
      <c r="G2179" s="68" t="inlineStr">
        <is>
          <t>6.1.2A 电气工程-灯具主材</t>
        </is>
      </c>
      <c r="H2179" s="68" t="inlineStr">
        <is>
          <t>灯具主材-大堂</t>
        </is>
      </c>
      <c r="I2179" s="69" t="inlineStr">
        <is>
          <t>1000021553</t>
        </is>
      </c>
      <c r="J2179" s="69" t="inlineStr">
        <is>
          <t>OSRAM L09配套电源变压器（每10米配备一个）</t>
        </is>
      </c>
      <c r="K2179" s="70" t="n"/>
      <c r="L2179" s="70" t="n"/>
      <c r="M2179" s="71" t="inlineStr">
        <is>
          <t>个</t>
        </is>
      </c>
      <c r="N2179" s="72" t="n">
        <v>116.55</v>
      </c>
      <c r="O2179" s="72">
        <f>ROUND(N2179*(1+$F$10),2)</f>
        <v/>
      </c>
      <c r="P2179" s="73">
        <f>ROUND(K2179*N2179,2)</f>
        <v/>
      </c>
      <c r="Q2179" s="74">
        <f>ROUND(L2179*N2179,2)</f>
        <v/>
      </c>
      <c r="R2179" s="75" t="n"/>
      <c r="S2179" s="76" t="n"/>
      <c r="T2179" s="77">
        <f>K2179-L2179</f>
        <v/>
      </c>
      <c r="U2179" s="77">
        <f>P2179-Q2179</f>
        <v/>
      </c>
      <c r="V2179" s="77">
        <f>ABS(U2179)</f>
        <v/>
      </c>
      <c r="W2179" s="78">
        <f>T2179/L2179</f>
        <v/>
      </c>
      <c r="X2179" s="79">
        <f>ABS(W2179)</f>
        <v/>
      </c>
    </row>
    <row r="2180" ht="11.4" customHeight="1">
      <c r="A2180" s="67" t="inlineStr">
        <is>
          <t>大甜70</t>
        </is>
      </c>
      <c r="B2180" s="67" t="inlineStr">
        <is>
          <t>1068</t>
        </is>
      </c>
      <c r="C2180" s="67" t="inlineStr">
        <is>
          <t>1646</t>
        </is>
      </c>
      <c r="D2180" s="68" t="inlineStr">
        <is>
          <t>03</t>
        </is>
      </c>
      <c r="E2180" s="68" t="inlineStr">
        <is>
          <t>6 物业施工费</t>
        </is>
      </c>
      <c r="F2180" s="68" t="inlineStr">
        <is>
          <t>6.1 总承包工程</t>
        </is>
      </c>
      <c r="G2180" s="68" t="inlineStr">
        <is>
          <t>6.1.2A 电气工程-灯具主材</t>
        </is>
      </c>
      <c r="H2180" s="68" t="inlineStr">
        <is>
          <t>灯具主材-大堂</t>
        </is>
      </c>
      <c r="I2180" s="69" t="inlineStr">
        <is>
          <t>1000021547</t>
        </is>
      </c>
      <c r="J2180" s="69" t="inlineStr">
        <is>
          <t>OSRAM L05配套导轨 Track L=2000mm</t>
        </is>
      </c>
      <c r="K2180" s="70" t="n"/>
      <c r="L2180" s="70" t="n"/>
      <c r="M2180" s="71" t="inlineStr">
        <is>
          <t>个</t>
        </is>
      </c>
      <c r="N2180" s="72" t="n">
        <v>69.3</v>
      </c>
      <c r="O2180" s="72">
        <f>ROUND(N2180*(1+$F$10),2)</f>
        <v/>
      </c>
      <c r="P2180" s="73">
        <f>ROUND(K2180*N2180,2)</f>
        <v/>
      </c>
      <c r="Q2180" s="74">
        <f>ROUND(L2180*N2180,2)</f>
        <v/>
      </c>
      <c r="R2180" s="75" t="n"/>
      <c r="S2180" s="76" t="n"/>
      <c r="T2180" s="77">
        <f>K2180-L2180</f>
        <v/>
      </c>
      <c r="U2180" s="77">
        <f>P2180-Q2180</f>
        <v/>
      </c>
      <c r="V2180" s="77">
        <f>ABS(U2180)</f>
        <v/>
      </c>
      <c r="W2180" s="78">
        <f>T2180/L2180</f>
        <v/>
      </c>
      <c r="X2180" s="79">
        <f>ABS(W2180)</f>
        <v/>
      </c>
    </row>
    <row r="2181" ht="11.4" customHeight="1">
      <c r="A2181" s="67" t="inlineStr">
        <is>
          <t>大甜70</t>
        </is>
      </c>
      <c r="B2181" s="67" t="inlineStr">
        <is>
          <t>1068</t>
        </is>
      </c>
      <c r="C2181" s="67" t="inlineStr">
        <is>
          <t>1646</t>
        </is>
      </c>
      <c r="D2181" s="68" t="inlineStr">
        <is>
          <t>03</t>
        </is>
      </c>
      <c r="E2181" s="68" t="inlineStr">
        <is>
          <t>6 物业施工费</t>
        </is>
      </c>
      <c r="F2181" s="68" t="inlineStr">
        <is>
          <t>6.1 总承包工程</t>
        </is>
      </c>
      <c r="G2181" s="68" t="inlineStr">
        <is>
          <t>6.1.2A 电气工程-灯具主材</t>
        </is>
      </c>
      <c r="H2181" s="68" t="inlineStr">
        <is>
          <t>灯具主材-大堂</t>
        </is>
      </c>
      <c r="I2181" s="69" t="inlineStr">
        <is>
          <t>1000021548</t>
        </is>
      </c>
      <c r="J2181" s="69" t="inlineStr">
        <is>
          <t>OSRAM L05配套导轨 Track L=1000mm</t>
        </is>
      </c>
      <c r="K2181" s="70" t="n"/>
      <c r="L2181" s="70" t="n"/>
      <c r="M2181" s="71" t="inlineStr">
        <is>
          <t>个</t>
        </is>
      </c>
      <c r="N2181" s="72" t="n">
        <v>34.65</v>
      </c>
      <c r="O2181" s="72">
        <f>ROUND(N2181*(1+$F$10),2)</f>
        <v/>
      </c>
      <c r="P2181" s="73">
        <f>ROUND(K2181*N2181,2)</f>
        <v/>
      </c>
      <c r="Q2181" s="74">
        <f>ROUND(L2181*N2181,2)</f>
        <v/>
      </c>
      <c r="R2181" s="75" t="n"/>
      <c r="S2181" s="76" t="n"/>
      <c r="T2181" s="77">
        <f>K2181-L2181</f>
        <v/>
      </c>
      <c r="U2181" s="77">
        <f>P2181-Q2181</f>
        <v/>
      </c>
      <c r="V2181" s="77">
        <f>ABS(U2181)</f>
        <v/>
      </c>
      <c r="W2181" s="78">
        <f>T2181/L2181</f>
        <v/>
      </c>
      <c r="X2181" s="79">
        <f>ABS(W2181)</f>
        <v/>
      </c>
    </row>
    <row r="2182" ht="11.4" customHeight="1">
      <c r="A2182" s="67" t="inlineStr">
        <is>
          <t>大甜70</t>
        </is>
      </c>
      <c r="B2182" s="67" t="inlineStr">
        <is>
          <t>1068</t>
        </is>
      </c>
      <c r="C2182" s="67" t="inlineStr">
        <is>
          <t>1646</t>
        </is>
      </c>
      <c r="D2182" s="68" t="inlineStr">
        <is>
          <t>03</t>
        </is>
      </c>
      <c r="E2182" s="68" t="inlineStr">
        <is>
          <t>6 物业施工费</t>
        </is>
      </c>
      <c r="F2182" s="68" t="inlineStr">
        <is>
          <t>6.1 总承包工程</t>
        </is>
      </c>
      <c r="G2182" s="68" t="inlineStr">
        <is>
          <t>6.1.2A 电气工程-灯具主材</t>
        </is>
      </c>
      <c r="H2182" s="68" t="inlineStr">
        <is>
          <t>灯具主材-大堂</t>
        </is>
      </c>
      <c r="I2182" s="69" t="inlineStr">
        <is>
          <t>1000021549</t>
        </is>
      </c>
      <c r="J2182" s="69" t="inlineStr">
        <is>
          <t>OSRAM L05配套导轨连接件 Track connector</t>
        </is>
      </c>
      <c r="K2182" s="70" t="n"/>
      <c r="L2182" s="70" t="n"/>
      <c r="M2182" s="71" t="inlineStr">
        <is>
          <t>个</t>
        </is>
      </c>
      <c r="N2182" s="72" t="n">
        <v>10.5</v>
      </c>
      <c r="O2182" s="72">
        <f>ROUND(N2182*(1+$F$10),2)</f>
        <v/>
      </c>
      <c r="P2182" s="73">
        <f>ROUND(K2182*N2182,2)</f>
        <v/>
      </c>
      <c r="Q2182" s="74">
        <f>ROUND(L2182*N2182,2)</f>
        <v/>
      </c>
      <c r="R2182" s="75" t="n"/>
      <c r="S2182" s="76" t="n"/>
      <c r="T2182" s="77">
        <f>K2182-L2182</f>
        <v/>
      </c>
      <c r="U2182" s="77">
        <f>P2182-Q2182</f>
        <v/>
      </c>
      <c r="V2182" s="77">
        <f>ABS(U2182)</f>
        <v/>
      </c>
      <c r="W2182" s="78">
        <f>T2182/L2182</f>
        <v/>
      </c>
      <c r="X2182" s="79">
        <f>ABS(W2182)</f>
        <v/>
      </c>
    </row>
    <row r="2183" ht="11.4" customHeight="1">
      <c r="A2183" s="67" t="inlineStr">
        <is>
          <t>大甜70</t>
        </is>
      </c>
      <c r="B2183" s="67" t="inlineStr">
        <is>
          <t>1068</t>
        </is>
      </c>
      <c r="C2183" s="67" t="inlineStr">
        <is>
          <t>1646</t>
        </is>
      </c>
      <c r="D2183" s="68" t="inlineStr">
        <is>
          <t>03</t>
        </is>
      </c>
      <c r="E2183" s="68" t="inlineStr">
        <is>
          <t>6 物业施工费</t>
        </is>
      </c>
      <c r="F2183" s="68" t="inlineStr">
        <is>
          <t>6.1 总承包工程</t>
        </is>
      </c>
      <c r="G2183" s="68" t="inlineStr">
        <is>
          <t>6.1.2A 电气工程-灯具主材</t>
        </is>
      </c>
      <c r="H2183" s="68" t="inlineStr">
        <is>
          <t>灯具主材-大堂</t>
        </is>
      </c>
      <c r="I2183" s="69" t="inlineStr">
        <is>
          <t>1000021568</t>
        </is>
      </c>
      <c r="J2183" s="69" t="inlineStr">
        <is>
          <t>OSRAM装饰性灯具（吊灯光源L3-E/L4-E）</t>
        </is>
      </c>
      <c r="K2183" s="70" t="n"/>
      <c r="L2183" s="70" t="n"/>
      <c r="M2183" s="71" t="inlineStr">
        <is>
          <t>个</t>
        </is>
      </c>
      <c r="N2183" s="72" t="n">
        <v>54.6</v>
      </c>
      <c r="O2183" s="72">
        <f>ROUND(N2183*(1+$F$10),2)</f>
        <v/>
      </c>
      <c r="P2183" s="73">
        <f>ROUND(K2183*N2183,2)</f>
        <v/>
      </c>
      <c r="Q2183" s="74">
        <f>ROUND(L2183*N2183,2)</f>
        <v/>
      </c>
      <c r="R2183" s="75" t="n"/>
      <c r="S2183" s="76" t="n"/>
      <c r="T2183" s="77">
        <f>K2183-L2183</f>
        <v/>
      </c>
      <c r="U2183" s="77">
        <f>P2183-Q2183</f>
        <v/>
      </c>
      <c r="V2183" s="77">
        <f>ABS(U2183)</f>
        <v/>
      </c>
      <c r="W2183" s="78">
        <f>T2183/L2183</f>
        <v/>
      </c>
      <c r="X2183" s="79">
        <f>ABS(W2183)</f>
        <v/>
      </c>
    </row>
    <row r="2184" ht="11.4" customHeight="1">
      <c r="A2184" s="67" t="inlineStr">
        <is>
          <t>大甜70</t>
        </is>
      </c>
      <c r="B2184" s="67" t="inlineStr">
        <is>
          <t>1068</t>
        </is>
      </c>
      <c r="C2184" s="67" t="inlineStr">
        <is>
          <t>1646</t>
        </is>
      </c>
      <c r="D2184" s="68" t="inlineStr">
        <is>
          <t>03</t>
        </is>
      </c>
      <c r="E2184" s="68" t="inlineStr">
        <is>
          <t>6 物业施工费</t>
        </is>
      </c>
      <c r="F2184" s="68" t="inlineStr">
        <is>
          <t>6.1 总承包工程</t>
        </is>
      </c>
      <c r="G2184" s="68" t="inlineStr">
        <is>
          <t>6.1.2A 电气工程-灯具主材</t>
        </is>
      </c>
      <c r="H2184" s="68" t="inlineStr">
        <is>
          <t>灯具主材-大堂</t>
        </is>
      </c>
      <c r="I2184" s="69" t="inlineStr">
        <is>
          <t>1000021569</t>
        </is>
      </c>
      <c r="J2184" s="69" t="inlineStr">
        <is>
          <t>OSRAM圆形嵌入式射灯 L1-E</t>
        </is>
      </c>
      <c r="K2184" s="70" t="n"/>
      <c r="L2184" s="70" t="n"/>
      <c r="M2184" s="71" t="inlineStr">
        <is>
          <t>个</t>
        </is>
      </c>
      <c r="N2184" s="72" t="n">
        <v>105</v>
      </c>
      <c r="O2184" s="72">
        <f>ROUND(N2184*(1+$F$10),2)</f>
        <v/>
      </c>
      <c r="P2184" s="73">
        <f>ROUND(K2184*N2184,2)</f>
        <v/>
      </c>
      <c r="Q2184" s="74">
        <f>ROUND(L2184*N2184,2)</f>
        <v/>
      </c>
      <c r="R2184" s="75" t="n"/>
      <c r="S2184" s="76" t="n"/>
      <c r="T2184" s="77">
        <f>K2184-L2184</f>
        <v/>
      </c>
      <c r="U2184" s="77">
        <f>P2184-Q2184</f>
        <v/>
      </c>
      <c r="V2184" s="77">
        <f>ABS(U2184)</f>
        <v/>
      </c>
      <c r="W2184" s="78">
        <f>T2184/L2184</f>
        <v/>
      </c>
      <c r="X2184" s="79">
        <f>ABS(W2184)</f>
        <v/>
      </c>
    </row>
    <row r="2185" ht="11.4" customHeight="1">
      <c r="A2185" s="67" t="inlineStr">
        <is>
          <t>大甜70</t>
        </is>
      </c>
      <c r="B2185" s="67" t="inlineStr">
        <is>
          <t>1068</t>
        </is>
      </c>
      <c r="C2185" s="67" t="inlineStr">
        <is>
          <t>1646</t>
        </is>
      </c>
      <c r="D2185" s="68" t="inlineStr">
        <is>
          <t>03</t>
        </is>
      </c>
      <c r="E2185" s="68" t="inlineStr">
        <is>
          <t>6 物业施工费</t>
        </is>
      </c>
      <c r="F2185" s="68" t="inlineStr">
        <is>
          <t>6.1 总承包工程</t>
        </is>
      </c>
      <c r="G2185" s="68" t="inlineStr">
        <is>
          <t>6.1.2A 电气工程-灯具主材</t>
        </is>
      </c>
      <c r="H2185" s="68" t="inlineStr">
        <is>
          <t>灯具主材-大堂</t>
        </is>
      </c>
      <c r="I2185" s="69" t="inlineStr">
        <is>
          <t>1000021570</t>
        </is>
      </c>
      <c r="J2185" s="69" t="inlineStr">
        <is>
          <t>OSRAM圆形嵌入式射灯 L2-E/L5-E</t>
        </is>
      </c>
      <c r="K2185" s="70" t="n"/>
      <c r="L2185" s="70" t="n"/>
      <c r="M2185" s="71" t="inlineStr">
        <is>
          <t>个</t>
        </is>
      </c>
      <c r="N2185" s="72" t="n">
        <v>141.75</v>
      </c>
      <c r="O2185" s="72">
        <f>ROUND(N2185*(1+$F$10),2)</f>
        <v/>
      </c>
      <c r="P2185" s="73">
        <f>ROUND(K2185*N2185,2)</f>
        <v/>
      </c>
      <c r="Q2185" s="74">
        <f>ROUND(L2185*N2185,2)</f>
        <v/>
      </c>
      <c r="R2185" s="75" t="n"/>
      <c r="S2185" s="76" t="n"/>
      <c r="T2185" s="77">
        <f>K2185-L2185</f>
        <v/>
      </c>
      <c r="U2185" s="77">
        <f>P2185-Q2185</f>
        <v/>
      </c>
      <c r="V2185" s="77">
        <f>ABS(U2185)</f>
        <v/>
      </c>
      <c r="W2185" s="78">
        <f>T2185/L2185</f>
        <v/>
      </c>
      <c r="X2185" s="79">
        <f>ABS(W2185)</f>
        <v/>
      </c>
    </row>
    <row r="2186" ht="11.4" customHeight="1">
      <c r="A2186" s="67" t="inlineStr">
        <is>
          <t>大甜70</t>
        </is>
      </c>
      <c r="B2186" s="67" t="inlineStr">
        <is>
          <t>1068</t>
        </is>
      </c>
      <c r="C2186" s="67" t="inlineStr">
        <is>
          <t>1646</t>
        </is>
      </c>
      <c r="D2186" s="68" t="inlineStr">
        <is>
          <t>03</t>
        </is>
      </c>
      <c r="E2186" s="68" t="inlineStr">
        <is>
          <t>6 物业施工费</t>
        </is>
      </c>
      <c r="F2186" s="68" t="inlineStr">
        <is>
          <t>6.1 总承包工程</t>
        </is>
      </c>
      <c r="G2186" s="68" t="inlineStr">
        <is>
          <t>6.1.2A 电气工程-灯具主材</t>
        </is>
      </c>
      <c r="H2186" s="68" t="inlineStr">
        <is>
          <t>灯具主材-大堂</t>
        </is>
      </c>
      <c r="I2186" s="69" t="inlineStr">
        <is>
          <t>1000041829</t>
        </is>
      </c>
      <c r="J2186" s="69" t="inlineStr">
        <is>
          <t>OSRAM圆形嵌入式灯 L1-L</t>
        </is>
      </c>
      <c r="K2186" s="70" t="n"/>
      <c r="L2186" s="70" t="n"/>
      <c r="M2186" s="71" t="inlineStr">
        <is>
          <t>个</t>
        </is>
      </c>
      <c r="N2186" s="72" t="n">
        <v>141.75</v>
      </c>
      <c r="O2186" s="72">
        <f>ROUND(N2186*(1+$F$10),2)</f>
        <v/>
      </c>
      <c r="P2186" s="73">
        <f>ROUND(K2186*N2186,2)</f>
        <v/>
      </c>
      <c r="Q2186" s="74">
        <f>ROUND(L2186*N2186,2)</f>
        <v/>
      </c>
      <c r="R2186" s="75" t="n"/>
      <c r="S2186" s="76" t="n"/>
      <c r="T2186" s="77">
        <f>K2186-L2186</f>
        <v/>
      </c>
      <c r="U2186" s="77">
        <f>P2186-Q2186</f>
        <v/>
      </c>
      <c r="V2186" s="77">
        <f>ABS(U2186)</f>
        <v/>
      </c>
      <c r="W2186" s="78">
        <f>T2186/L2186</f>
        <v/>
      </c>
      <c r="X2186" s="79">
        <f>ABS(W2186)</f>
        <v/>
      </c>
    </row>
    <row r="2187" ht="11.4" customHeight="1">
      <c r="A2187" s="67" t="inlineStr">
        <is>
          <t>大甜70</t>
        </is>
      </c>
      <c r="B2187" s="67" t="inlineStr">
        <is>
          <t>1068</t>
        </is>
      </c>
      <c r="C2187" s="67" t="inlineStr">
        <is>
          <t>1646</t>
        </is>
      </c>
      <c r="D2187" s="68" t="inlineStr">
        <is>
          <t>03</t>
        </is>
      </c>
      <c r="E2187" s="68" t="inlineStr">
        <is>
          <t>6 物业施工费</t>
        </is>
      </c>
      <c r="F2187" s="68" t="inlineStr">
        <is>
          <t>6.1 总承包工程</t>
        </is>
      </c>
      <c r="G2187" s="68" t="inlineStr">
        <is>
          <t>6.1.2A 电气工程-灯具主材</t>
        </is>
      </c>
      <c r="H2187" s="68" t="inlineStr">
        <is>
          <t>灯具主材-大堂</t>
        </is>
      </c>
      <c r="I2187" s="69" t="inlineStr">
        <is>
          <t>1000041831</t>
        </is>
      </c>
      <c r="J2187" s="69" t="inlineStr">
        <is>
          <t>OSRAM圆形嵌入式灯 L2-L</t>
        </is>
      </c>
      <c r="K2187" s="70" t="n"/>
      <c r="L2187" s="70" t="n"/>
      <c r="M2187" s="71" t="inlineStr">
        <is>
          <t>个</t>
        </is>
      </c>
      <c r="N2187" s="72" t="n">
        <v>97.65000000000001</v>
      </c>
      <c r="O2187" s="72">
        <f>ROUND(N2187*(1+$F$10),2)</f>
        <v/>
      </c>
      <c r="P2187" s="73">
        <f>ROUND(K2187*N2187,2)</f>
        <v/>
      </c>
      <c r="Q2187" s="74">
        <f>ROUND(L2187*N2187,2)</f>
        <v/>
      </c>
      <c r="R2187" s="75" t="n"/>
      <c r="S2187" s="76" t="n"/>
      <c r="T2187" s="77">
        <f>K2187-L2187</f>
        <v/>
      </c>
      <c r="U2187" s="77">
        <f>P2187-Q2187</f>
        <v/>
      </c>
      <c r="V2187" s="77">
        <f>ABS(U2187)</f>
        <v/>
      </c>
      <c r="W2187" s="78">
        <f>T2187/L2187</f>
        <v/>
      </c>
      <c r="X2187" s="79">
        <f>ABS(W2187)</f>
        <v/>
      </c>
    </row>
    <row r="2188" ht="11.4" customHeight="1">
      <c r="A2188" s="67" t="inlineStr">
        <is>
          <t>大甜70</t>
        </is>
      </c>
      <c r="B2188" s="67" t="inlineStr">
        <is>
          <t>1068</t>
        </is>
      </c>
      <c r="C2188" s="67" t="inlineStr">
        <is>
          <t>1646</t>
        </is>
      </c>
      <c r="D2188" s="68" t="inlineStr">
        <is>
          <t>03</t>
        </is>
      </c>
      <c r="E2188" s="68" t="inlineStr">
        <is>
          <t>6 物业施工费</t>
        </is>
      </c>
      <c r="F2188" s="68" t="inlineStr">
        <is>
          <t>6.1 总承包工程</t>
        </is>
      </c>
      <c r="G2188" s="68" t="inlineStr">
        <is>
          <t>6.1.2A 电气工程-灯具主材</t>
        </is>
      </c>
      <c r="H2188" s="68" t="inlineStr">
        <is>
          <t>灯具主材-大堂</t>
        </is>
      </c>
      <c r="I2188" s="69" t="inlineStr">
        <is>
          <t>1000041830</t>
        </is>
      </c>
      <c r="J2188" s="69" t="inlineStr">
        <is>
          <t>OSRAM LED灯带含变压器 L3-L</t>
        </is>
      </c>
      <c r="K2188" s="70" t="n"/>
      <c r="L2188" s="70" t="n"/>
      <c r="M2188" s="71" t="inlineStr">
        <is>
          <t>米</t>
        </is>
      </c>
      <c r="N2188" s="72" t="n">
        <v>59.85</v>
      </c>
      <c r="O2188" s="72">
        <f>ROUND(N2188*(1+$F$10),2)</f>
        <v/>
      </c>
      <c r="P2188" s="73">
        <f>ROUND(K2188*N2188,2)</f>
        <v/>
      </c>
      <c r="Q2188" s="74">
        <f>ROUND(L2188*N2188,2)</f>
        <v/>
      </c>
      <c r="R2188" s="75" t="n"/>
      <c r="S2188" s="76" t="n"/>
      <c r="T2188" s="77">
        <f>K2188-L2188</f>
        <v/>
      </c>
      <c r="U2188" s="77">
        <f>P2188-Q2188</f>
        <v/>
      </c>
      <c r="V2188" s="77">
        <f>ABS(U2188)</f>
        <v/>
      </c>
      <c r="W2188" s="78">
        <f>T2188/L2188</f>
        <v/>
      </c>
      <c r="X2188" s="79">
        <f>ABS(W2188)</f>
        <v/>
      </c>
    </row>
    <row r="2189" ht="11.4" customHeight="1">
      <c r="A2189" s="67" t="inlineStr">
        <is>
          <t>大甜70</t>
        </is>
      </c>
      <c r="B2189" s="67" t="inlineStr">
        <is>
          <t>1068</t>
        </is>
      </c>
      <c r="C2189" s="67" t="inlineStr">
        <is>
          <t>1646</t>
        </is>
      </c>
      <c r="D2189" s="68" t="inlineStr">
        <is>
          <t>03</t>
        </is>
      </c>
      <c r="E2189" s="68" t="inlineStr">
        <is>
          <t>6 物业施工费</t>
        </is>
      </c>
      <c r="F2189" s="68" t="inlineStr">
        <is>
          <t>6.1 总承包工程</t>
        </is>
      </c>
      <c r="G2189" s="68" t="inlineStr">
        <is>
          <t>6.1.1A 电气工程-灯具主材</t>
        </is>
      </c>
      <c r="H2189" s="68" t="inlineStr">
        <is>
          <t>灯具主材-大堂</t>
        </is>
      </c>
      <c r="I2189" s="69" t="inlineStr">
        <is>
          <t>1000041847</t>
        </is>
      </c>
      <c r="J2189" s="69" t="inlineStr">
        <is>
          <t>OPPLE吊灯用LED光源P1</t>
        </is>
      </c>
      <c r="K2189" s="70" t="n"/>
      <c r="L2189" s="70" t="n"/>
      <c r="M2189" s="71" t="inlineStr">
        <is>
          <t>个</t>
        </is>
      </c>
      <c r="N2189" s="72" t="n">
        <v>52.5</v>
      </c>
      <c r="O2189" s="72">
        <f>ROUND(N2189*(1+$F$10),2)</f>
        <v/>
      </c>
      <c r="P2189" s="73">
        <f>ROUND(K2189*N2189,2)</f>
        <v/>
      </c>
      <c r="Q2189" s="74">
        <f>ROUND(L2189*N2189,2)</f>
        <v/>
      </c>
      <c r="R2189" s="75" t="n"/>
      <c r="S2189" s="76" t="n"/>
      <c r="T2189" s="77">
        <f>K2189-L2189</f>
        <v/>
      </c>
      <c r="U2189" s="77">
        <f>P2189-Q2189</f>
        <v/>
      </c>
      <c r="V2189" s="77">
        <f>ABS(U2189)</f>
        <v/>
      </c>
      <c r="W2189" s="78">
        <f>T2189/L2189</f>
        <v/>
      </c>
      <c r="X2189" s="79">
        <f>ABS(W2189)</f>
        <v/>
      </c>
    </row>
    <row r="2190" ht="11.4" customHeight="1">
      <c r="A2190" s="67" t="inlineStr">
        <is>
          <t>大甜70</t>
        </is>
      </c>
      <c r="B2190" s="67" t="inlineStr">
        <is>
          <t>1068</t>
        </is>
      </c>
      <c r="C2190" s="67" t="inlineStr">
        <is>
          <t>1646</t>
        </is>
      </c>
      <c r="D2190" s="68" t="inlineStr">
        <is>
          <t>03</t>
        </is>
      </c>
      <c r="E2190" s="68" t="inlineStr">
        <is>
          <t>6 物业施工费</t>
        </is>
      </c>
      <c r="F2190" s="68" t="inlineStr">
        <is>
          <t>6.1 总承包工程</t>
        </is>
      </c>
      <c r="G2190" s="68" t="inlineStr">
        <is>
          <t>6.1.2A 电气工程-灯具主材</t>
        </is>
      </c>
      <c r="H2190" s="68" t="inlineStr">
        <is>
          <t>灯具主材-大堂</t>
        </is>
      </c>
      <c r="I2190" s="69" t="inlineStr">
        <is>
          <t>1000041841</t>
        </is>
      </c>
      <c r="J2190" s="69" t="inlineStr">
        <is>
          <t>OPPLE LED 5W应急灯具90分钟E</t>
        </is>
      </c>
      <c r="K2190" s="70" t="n"/>
      <c r="L2190" s="70" t="n"/>
      <c r="M2190" s="71" t="inlineStr">
        <is>
          <t>个</t>
        </is>
      </c>
      <c r="N2190" s="72" t="n">
        <v>68.25</v>
      </c>
      <c r="O2190" s="72">
        <f>ROUND(N2190*(1+$F$10),2)</f>
        <v/>
      </c>
      <c r="P2190" s="73">
        <f>ROUND(K2190*N2190,2)</f>
        <v/>
      </c>
      <c r="Q2190" s="74">
        <f>ROUND(L2190*N2190,2)</f>
        <v/>
      </c>
      <c r="R2190" s="75" t="n"/>
      <c r="S2190" s="76" t="n"/>
      <c r="T2190" s="77">
        <f>K2190-L2190</f>
        <v/>
      </c>
      <c r="U2190" s="77">
        <f>P2190-Q2190</f>
        <v/>
      </c>
      <c r="V2190" s="77">
        <f>ABS(U2190)</f>
        <v/>
      </c>
      <c r="W2190" s="78">
        <f>T2190/L2190</f>
        <v/>
      </c>
      <c r="X2190" s="79">
        <f>ABS(W2190)</f>
        <v/>
      </c>
    </row>
    <row r="2191" ht="11.4" customHeight="1">
      <c r="A2191" s="67" t="inlineStr">
        <is>
          <t>大甜70</t>
        </is>
      </c>
      <c r="B2191" s="67" t="inlineStr">
        <is>
          <t>1068</t>
        </is>
      </c>
      <c r="C2191" s="67" t="inlineStr">
        <is>
          <t>1646</t>
        </is>
      </c>
      <c r="D2191" s="68" t="inlineStr">
        <is>
          <t>03</t>
        </is>
      </c>
      <c r="E2191" s="68" t="inlineStr">
        <is>
          <t>6 物业施工费</t>
        </is>
      </c>
      <c r="F2191" s="68" t="inlineStr">
        <is>
          <t>6.1 总承包工程</t>
        </is>
      </c>
      <c r="G2191" s="68" t="inlineStr">
        <is>
          <t>6.1.2A 电气工程-灯具主材</t>
        </is>
      </c>
      <c r="H2191" s="68" t="inlineStr">
        <is>
          <t>灯具主材-大堂</t>
        </is>
      </c>
      <c r="I2191" s="69" t="inlineStr">
        <is>
          <t>1000041839</t>
        </is>
      </c>
      <c r="J2191" s="69" t="inlineStr">
        <is>
          <t>OPPLE方形LED灯筒灯灯具  L1</t>
        </is>
      </c>
      <c r="K2191" s="70" t="n"/>
      <c r="L2191" s="70" t="n"/>
      <c r="M2191" s="71" t="inlineStr">
        <is>
          <t>个</t>
        </is>
      </c>
      <c r="N2191" s="72" t="n">
        <v>110.25</v>
      </c>
      <c r="O2191" s="72">
        <f>ROUND(N2191*(1+$F$10),2)</f>
        <v/>
      </c>
      <c r="P2191" s="73">
        <f>ROUND(K2191*N2191,2)</f>
        <v/>
      </c>
      <c r="Q2191" s="74">
        <f>ROUND(L2191*N2191,2)</f>
        <v/>
      </c>
      <c r="R2191" s="75" t="n"/>
      <c r="S2191" s="76" t="n"/>
      <c r="T2191" s="77">
        <f>K2191-L2191</f>
        <v/>
      </c>
      <c r="U2191" s="77">
        <f>P2191-Q2191</f>
        <v/>
      </c>
      <c r="V2191" s="77">
        <f>ABS(U2191)</f>
        <v/>
      </c>
      <c r="W2191" s="78">
        <f>T2191/L2191</f>
        <v/>
      </c>
      <c r="X2191" s="79">
        <f>ABS(W2191)</f>
        <v/>
      </c>
    </row>
    <row r="2192" ht="11.4" customHeight="1">
      <c r="A2192" s="67" t="inlineStr">
        <is>
          <t>大甜70</t>
        </is>
      </c>
      <c r="B2192" s="67" t="inlineStr">
        <is>
          <t>1068</t>
        </is>
      </c>
      <c r="C2192" s="67" t="inlineStr">
        <is>
          <t>1646</t>
        </is>
      </c>
      <c r="D2192" s="68" t="inlineStr">
        <is>
          <t>03</t>
        </is>
      </c>
      <c r="E2192" s="68" t="inlineStr">
        <is>
          <t>6 物业施工费</t>
        </is>
      </c>
      <c r="F2192" s="68" t="inlineStr">
        <is>
          <t>6.1 总承包工程</t>
        </is>
      </c>
      <c r="G2192" s="68" t="inlineStr">
        <is>
          <t>6.1.2A 电气工程-灯具主材</t>
        </is>
      </c>
      <c r="H2192" s="68" t="inlineStr">
        <is>
          <t>灯具主材-大堂</t>
        </is>
      </c>
      <c r="I2192" s="69" t="inlineStr">
        <is>
          <t>1000041850</t>
        </is>
      </c>
      <c r="J2192" s="69" t="inlineStr">
        <is>
          <t>OPPLE双头方形LED灯筒灯灯具  L2</t>
        </is>
      </c>
      <c r="K2192" s="70" t="n"/>
      <c r="L2192" s="70" t="n"/>
      <c r="M2192" s="71" t="inlineStr">
        <is>
          <t>个</t>
        </is>
      </c>
      <c r="N2192" s="72" t="n">
        <v>178.5</v>
      </c>
      <c r="O2192" s="72">
        <f>ROUND(N2192*(1+$F$10),2)</f>
        <v/>
      </c>
      <c r="P2192" s="73">
        <f>ROUND(K2192*N2192,2)</f>
        <v/>
      </c>
      <c r="Q2192" s="74">
        <f>ROUND(L2192*N2192,2)</f>
        <v/>
      </c>
      <c r="R2192" s="75" t="n"/>
      <c r="S2192" s="76" t="n"/>
      <c r="T2192" s="77">
        <f>K2192-L2192</f>
        <v/>
      </c>
      <c r="U2192" s="77">
        <f>P2192-Q2192</f>
        <v/>
      </c>
      <c r="V2192" s="77">
        <f>ABS(U2192)</f>
        <v/>
      </c>
      <c r="W2192" s="78">
        <f>T2192/L2192</f>
        <v/>
      </c>
      <c r="X2192" s="79">
        <f>ABS(W2192)</f>
        <v/>
      </c>
    </row>
    <row r="2193" ht="11.4" customHeight="1">
      <c r="A2193" s="67" t="inlineStr">
        <is>
          <t>大甜70</t>
        </is>
      </c>
      <c r="B2193" s="67" t="inlineStr">
        <is>
          <t>1068</t>
        </is>
      </c>
      <c r="C2193" s="67" t="inlineStr">
        <is>
          <t>1646</t>
        </is>
      </c>
      <c r="D2193" s="68" t="inlineStr">
        <is>
          <t>03</t>
        </is>
      </c>
      <c r="E2193" s="68" t="inlineStr">
        <is>
          <t>6 物业施工费</t>
        </is>
      </c>
      <c r="F2193" s="68" t="inlineStr">
        <is>
          <t>6.1 总承包工程</t>
        </is>
      </c>
      <c r="G2193" s="68" t="inlineStr">
        <is>
          <t>6.1.2A 电气工程-灯具主材</t>
        </is>
      </c>
      <c r="H2193" s="68" t="inlineStr">
        <is>
          <t>灯具主材-大堂</t>
        </is>
      </c>
      <c r="I2193" s="69" t="inlineStr">
        <is>
          <t>1000041851</t>
        </is>
      </c>
      <c r="J2193" s="69" t="inlineStr">
        <is>
          <t>OPPLE方形嵌入式LED射灯28W  L3</t>
        </is>
      </c>
      <c r="K2193" s="70" t="n"/>
      <c r="L2193" s="70" t="n"/>
      <c r="M2193" s="71" t="inlineStr">
        <is>
          <t>个</t>
        </is>
      </c>
      <c r="N2193" s="72" t="n">
        <v>147</v>
      </c>
      <c r="O2193" s="72">
        <f>ROUND(N2193*(1+$F$10),2)</f>
        <v/>
      </c>
      <c r="P2193" s="73">
        <f>ROUND(K2193*N2193,2)</f>
        <v/>
      </c>
      <c r="Q2193" s="74">
        <f>ROUND(L2193*N2193,2)</f>
        <v/>
      </c>
      <c r="R2193" s="75" t="n"/>
      <c r="S2193" s="76" t="n"/>
      <c r="T2193" s="77">
        <f>K2193-L2193</f>
        <v/>
      </c>
      <c r="U2193" s="77">
        <f>P2193-Q2193</f>
        <v/>
      </c>
      <c r="V2193" s="77">
        <f>ABS(U2193)</f>
        <v/>
      </c>
      <c r="W2193" s="78">
        <f>T2193/L2193</f>
        <v/>
      </c>
      <c r="X2193" s="79">
        <f>ABS(W2193)</f>
        <v/>
      </c>
    </row>
    <row r="2194" ht="11.4" customHeight="1">
      <c r="A2194" s="67" t="inlineStr">
        <is>
          <t>大甜70</t>
        </is>
      </c>
      <c r="B2194" s="67" t="inlineStr">
        <is>
          <t>1068</t>
        </is>
      </c>
      <c r="C2194" s="67" t="inlineStr">
        <is>
          <t>1646</t>
        </is>
      </c>
      <c r="D2194" s="68" t="inlineStr">
        <is>
          <t>03</t>
        </is>
      </c>
      <c r="E2194" s="68" t="inlineStr">
        <is>
          <t>6 物业施工费</t>
        </is>
      </c>
      <c r="F2194" s="68" t="inlineStr">
        <is>
          <t>6.1 总承包工程</t>
        </is>
      </c>
      <c r="G2194" s="68" t="inlineStr">
        <is>
          <t>6.1.2A 电气工程-灯具主材</t>
        </is>
      </c>
      <c r="H2194" s="68" t="inlineStr">
        <is>
          <t>灯具主材-大堂</t>
        </is>
      </c>
      <c r="I2194" s="69" t="inlineStr">
        <is>
          <t>1000041852</t>
        </is>
      </c>
      <c r="J2194" s="69" t="inlineStr">
        <is>
          <t>OPPLE深照型圆形LED灯筒灯灯具  L4</t>
        </is>
      </c>
      <c r="K2194" s="70" t="n"/>
      <c r="L2194" s="70" t="n"/>
      <c r="M2194" s="71" t="inlineStr">
        <is>
          <t>个</t>
        </is>
      </c>
      <c r="N2194" s="72" t="n">
        <v>105</v>
      </c>
      <c r="O2194" s="72">
        <f>ROUND(N2194*(1+$F$10),2)</f>
        <v/>
      </c>
      <c r="P2194" s="73">
        <f>ROUND(K2194*N2194,2)</f>
        <v/>
      </c>
      <c r="Q2194" s="74">
        <f>ROUND(L2194*N2194,2)</f>
        <v/>
      </c>
      <c r="R2194" s="75" t="n"/>
      <c r="S2194" s="76" t="n"/>
      <c r="T2194" s="77">
        <f>K2194-L2194</f>
        <v/>
      </c>
      <c r="U2194" s="77">
        <f>P2194-Q2194</f>
        <v/>
      </c>
      <c r="V2194" s="77">
        <f>ABS(U2194)</f>
        <v/>
      </c>
      <c r="W2194" s="78">
        <f>T2194/L2194</f>
        <v/>
      </c>
      <c r="X2194" s="79">
        <f>ABS(W2194)</f>
        <v/>
      </c>
    </row>
    <row r="2195" ht="11.4" customHeight="1">
      <c r="A2195" s="67" t="inlineStr">
        <is>
          <t>大甜70</t>
        </is>
      </c>
      <c r="B2195" s="67" t="inlineStr">
        <is>
          <t>1068</t>
        </is>
      </c>
      <c r="C2195" s="67" t="inlineStr">
        <is>
          <t>1646</t>
        </is>
      </c>
      <c r="D2195" s="68" t="inlineStr">
        <is>
          <t>03</t>
        </is>
      </c>
      <c r="E2195" s="68" t="inlineStr">
        <is>
          <t>6 物业施工费</t>
        </is>
      </c>
      <c r="F2195" s="68" t="inlineStr">
        <is>
          <t>6.1 总承包工程</t>
        </is>
      </c>
      <c r="G2195" s="68" t="inlineStr">
        <is>
          <t>6.1.2A 电气工程-灯具主材</t>
        </is>
      </c>
      <c r="H2195" s="68" t="inlineStr">
        <is>
          <t>灯具主材-大堂</t>
        </is>
      </c>
      <c r="I2195" s="69" t="inlineStr">
        <is>
          <t>1000041853</t>
        </is>
      </c>
      <c r="J2195" s="69" t="inlineStr">
        <is>
          <t>OPPLE方形嵌入式 LED 筒灯  L5</t>
        </is>
      </c>
      <c r="K2195" s="70" t="n"/>
      <c r="L2195" s="70" t="n"/>
      <c r="M2195" s="71" t="inlineStr">
        <is>
          <t>个</t>
        </is>
      </c>
      <c r="N2195" s="72" t="n">
        <v>126</v>
      </c>
      <c r="O2195" s="72">
        <f>ROUND(N2195*(1+$F$10),2)</f>
        <v/>
      </c>
      <c r="P2195" s="73">
        <f>ROUND(K2195*N2195,2)</f>
        <v/>
      </c>
      <c r="Q2195" s="74">
        <f>ROUND(L2195*N2195,2)</f>
        <v/>
      </c>
      <c r="R2195" s="75" t="n"/>
      <c r="S2195" s="76" t="n"/>
      <c r="T2195" s="77">
        <f>K2195-L2195</f>
        <v/>
      </c>
      <c r="U2195" s="77">
        <f>P2195-Q2195</f>
        <v/>
      </c>
      <c r="V2195" s="77">
        <f>ABS(U2195)</f>
        <v/>
      </c>
      <c r="W2195" s="78">
        <f>T2195/L2195</f>
        <v/>
      </c>
      <c r="X2195" s="79">
        <f>ABS(W2195)</f>
        <v/>
      </c>
    </row>
    <row r="2196" ht="11.4" customHeight="1">
      <c r="A2196" s="67" t="inlineStr">
        <is>
          <t>大甜70</t>
        </is>
      </c>
      <c r="B2196" s="67" t="inlineStr">
        <is>
          <t>1068</t>
        </is>
      </c>
      <c r="C2196" s="67" t="inlineStr">
        <is>
          <t>1646</t>
        </is>
      </c>
      <c r="D2196" s="68" t="inlineStr">
        <is>
          <t>03</t>
        </is>
      </c>
      <c r="E2196" s="68" t="inlineStr">
        <is>
          <t>6 物业施工费</t>
        </is>
      </c>
      <c r="F2196" s="68" t="inlineStr">
        <is>
          <t>6.1 总承包工程</t>
        </is>
      </c>
      <c r="G2196" s="68" t="inlineStr">
        <is>
          <t>6.1.2A 电气工程-灯具主材</t>
        </is>
      </c>
      <c r="H2196" s="68" t="inlineStr">
        <is>
          <t>灯具主材-大堂</t>
        </is>
      </c>
      <c r="I2196" s="69" t="inlineStr">
        <is>
          <t>1000041846</t>
        </is>
      </c>
      <c r="J2196" s="69" t="inlineStr">
        <is>
          <t>OPPLE圆形嵌入式 LED 防尘防水筒灯 L6</t>
        </is>
      </c>
      <c r="K2196" s="70" t="n"/>
      <c r="L2196" s="70" t="n"/>
      <c r="M2196" s="71" t="inlineStr">
        <is>
          <t>个</t>
        </is>
      </c>
      <c r="N2196" s="72" t="n">
        <v>204.75</v>
      </c>
      <c r="O2196" s="72">
        <f>ROUND(N2196*(1+$F$10),2)</f>
        <v/>
      </c>
      <c r="P2196" s="73">
        <f>ROUND(K2196*N2196,2)</f>
        <v/>
      </c>
      <c r="Q2196" s="74">
        <f>ROUND(L2196*N2196,2)</f>
        <v/>
      </c>
      <c r="R2196" s="75" t="n"/>
      <c r="S2196" s="76" t="n"/>
      <c r="T2196" s="77">
        <f>K2196-L2196</f>
        <v/>
      </c>
      <c r="U2196" s="77">
        <f>P2196-Q2196</f>
        <v/>
      </c>
      <c r="V2196" s="77">
        <f>ABS(U2196)</f>
        <v/>
      </c>
      <c r="W2196" s="78">
        <f>T2196/L2196</f>
        <v/>
      </c>
      <c r="X2196" s="79">
        <f>ABS(W2196)</f>
        <v/>
      </c>
    </row>
    <row r="2197" ht="11.4" customHeight="1">
      <c r="A2197" s="67" t="inlineStr">
        <is>
          <t>大甜70</t>
        </is>
      </c>
      <c r="B2197" s="67" t="inlineStr">
        <is>
          <t>1068</t>
        </is>
      </c>
      <c r="C2197" s="67" t="inlineStr">
        <is>
          <t>1646</t>
        </is>
      </c>
      <c r="D2197" s="68" t="inlineStr">
        <is>
          <t>03</t>
        </is>
      </c>
      <c r="E2197" s="68" t="inlineStr">
        <is>
          <t>6 物业施工费</t>
        </is>
      </c>
      <c r="F2197" s="68" t="inlineStr">
        <is>
          <t>6.1 总承包工程</t>
        </is>
      </c>
      <c r="G2197" s="68" t="inlineStr">
        <is>
          <t>6.1.2A 电气工程-灯具主材</t>
        </is>
      </c>
      <c r="H2197" s="68" t="inlineStr">
        <is>
          <t>灯具主材-大堂</t>
        </is>
      </c>
      <c r="I2197" s="69" t="inlineStr">
        <is>
          <t>1000041845</t>
        </is>
      </c>
      <c r="J2197" s="69" t="inlineStr">
        <is>
          <t>OPPLE圆形吊灯 LO1</t>
        </is>
      </c>
      <c r="K2197" s="70" t="n"/>
      <c r="L2197" s="70" t="n"/>
      <c r="M2197" s="71" t="inlineStr">
        <is>
          <t>个</t>
        </is>
      </c>
      <c r="N2197" s="72" t="n">
        <v>420</v>
      </c>
      <c r="O2197" s="72">
        <f>ROUND(N2197*(1+$F$10),2)</f>
        <v/>
      </c>
      <c r="P2197" s="73">
        <f>ROUND(K2197*N2197,2)</f>
        <v/>
      </c>
      <c r="Q2197" s="74">
        <f>ROUND(L2197*N2197,2)</f>
        <v/>
      </c>
      <c r="R2197" s="75" t="n"/>
      <c r="S2197" s="76" t="n"/>
      <c r="T2197" s="77">
        <f>K2197-L2197</f>
        <v/>
      </c>
      <c r="U2197" s="77">
        <f>P2197-Q2197</f>
        <v/>
      </c>
      <c r="V2197" s="77">
        <f>ABS(U2197)</f>
        <v/>
      </c>
      <c r="W2197" s="78">
        <f>T2197/L2197</f>
        <v/>
      </c>
      <c r="X2197" s="79">
        <f>ABS(W2197)</f>
        <v/>
      </c>
    </row>
    <row r="2198" ht="11.4" customHeight="1">
      <c r="A2198" s="67" t="inlineStr">
        <is>
          <t>大甜70</t>
        </is>
      </c>
      <c r="B2198" s="67" t="inlineStr">
        <is>
          <t>1068</t>
        </is>
      </c>
      <c r="C2198" s="67" t="inlineStr">
        <is>
          <t>1646</t>
        </is>
      </c>
      <c r="D2198" s="68" t="inlineStr">
        <is>
          <t>03</t>
        </is>
      </c>
      <c r="E2198" s="68" t="inlineStr">
        <is>
          <t>6 物业施工费</t>
        </is>
      </c>
      <c r="F2198" s="68" t="inlineStr">
        <is>
          <t>6.1 总承包工程</t>
        </is>
      </c>
      <c r="G2198" s="68" t="inlineStr">
        <is>
          <t>6.1.2A 电气工程-灯具主材</t>
        </is>
      </c>
      <c r="H2198" s="68" t="inlineStr">
        <is>
          <t>灯具主材-大堂</t>
        </is>
      </c>
      <c r="I2198" s="69" t="inlineStr">
        <is>
          <t>1000041848</t>
        </is>
      </c>
      <c r="J2198" s="69" t="inlineStr">
        <is>
          <t>OPPLE双头嵌入式射灯 L02</t>
        </is>
      </c>
      <c r="K2198" s="70" t="n"/>
      <c r="L2198" s="70" t="n"/>
      <c r="M2198" s="71" t="inlineStr">
        <is>
          <t>个</t>
        </is>
      </c>
      <c r="N2198" s="72" t="n">
        <v>178.5</v>
      </c>
      <c r="O2198" s="72">
        <f>ROUND(N2198*(1+$F$10),2)</f>
        <v/>
      </c>
      <c r="P2198" s="73">
        <f>ROUND(K2198*N2198,2)</f>
        <v/>
      </c>
      <c r="Q2198" s="74">
        <f>ROUND(L2198*N2198,2)</f>
        <v/>
      </c>
      <c r="R2198" s="75" t="n"/>
      <c r="S2198" s="76" t="n"/>
      <c r="T2198" s="77">
        <f>K2198-L2198</f>
        <v/>
      </c>
      <c r="U2198" s="77">
        <f>P2198-Q2198</f>
        <v/>
      </c>
      <c r="V2198" s="77">
        <f>ABS(U2198)</f>
        <v/>
      </c>
      <c r="W2198" s="78">
        <f>T2198/L2198</f>
        <v/>
      </c>
      <c r="X2198" s="79">
        <f>ABS(W2198)</f>
        <v/>
      </c>
    </row>
    <row r="2199" ht="11.4" customHeight="1">
      <c r="A2199" s="67" t="inlineStr">
        <is>
          <t>大甜70</t>
        </is>
      </c>
      <c r="B2199" s="67" t="inlineStr">
        <is>
          <t>1068</t>
        </is>
      </c>
      <c r="C2199" s="67" t="inlineStr">
        <is>
          <t>1646</t>
        </is>
      </c>
      <c r="D2199" s="68" t="inlineStr">
        <is>
          <t>03</t>
        </is>
      </c>
      <c r="E2199" s="68" t="inlineStr">
        <is>
          <t>6 物业施工费</t>
        </is>
      </c>
      <c r="F2199" s="68" t="inlineStr">
        <is>
          <t>6.1 总承包工程</t>
        </is>
      </c>
      <c r="G2199" s="68" t="inlineStr">
        <is>
          <t>6.1.2A 电气工程-灯具主材</t>
        </is>
      </c>
      <c r="H2199" s="68" t="inlineStr">
        <is>
          <t>灯具主材-大堂</t>
        </is>
      </c>
      <c r="I2199" s="69" t="inlineStr">
        <is>
          <t>1000041844</t>
        </is>
      </c>
      <c r="J2199" s="69" t="inlineStr">
        <is>
          <t>OPPLE暗藏轨道射灯 LO3</t>
        </is>
      </c>
      <c r="K2199" s="70" t="n"/>
      <c r="L2199" s="70" t="n"/>
      <c r="M2199" s="71" t="inlineStr">
        <is>
          <t>个</t>
        </is>
      </c>
      <c r="N2199" s="72" t="n">
        <v>126</v>
      </c>
      <c r="O2199" s="72">
        <f>ROUND(N2199*(1+$F$10),2)</f>
        <v/>
      </c>
      <c r="P2199" s="73">
        <f>ROUND(K2199*N2199,2)</f>
        <v/>
      </c>
      <c r="Q2199" s="74">
        <f>ROUND(L2199*N2199,2)</f>
        <v/>
      </c>
      <c r="R2199" s="75" t="n"/>
      <c r="S2199" s="76" t="n"/>
      <c r="T2199" s="77">
        <f>K2199-L2199</f>
        <v/>
      </c>
      <c r="U2199" s="77">
        <f>P2199-Q2199</f>
        <v/>
      </c>
      <c r="V2199" s="77">
        <f>ABS(U2199)</f>
        <v/>
      </c>
      <c r="W2199" s="78">
        <f>T2199/L2199</f>
        <v/>
      </c>
      <c r="X2199" s="79">
        <f>ABS(W2199)</f>
        <v/>
      </c>
    </row>
    <row r="2200" ht="11.4" customHeight="1">
      <c r="A2200" s="67" t="inlineStr">
        <is>
          <t>大甜70</t>
        </is>
      </c>
      <c r="B2200" s="67" t="inlineStr">
        <is>
          <t>1068</t>
        </is>
      </c>
      <c r="C2200" s="67" t="inlineStr">
        <is>
          <t>1646</t>
        </is>
      </c>
      <c r="D2200" s="68" t="inlineStr">
        <is>
          <t>03</t>
        </is>
      </c>
      <c r="E2200" s="68" t="inlineStr">
        <is>
          <t>6 物业施工费</t>
        </is>
      </c>
      <c r="F2200" s="68" t="inlineStr">
        <is>
          <t>6.1 总承包工程</t>
        </is>
      </c>
      <c r="G2200" s="68" t="inlineStr">
        <is>
          <t>6.1.2A 电气工程-灯具主材</t>
        </is>
      </c>
      <c r="H2200" s="68" t="inlineStr">
        <is>
          <t>灯具主材-大堂</t>
        </is>
      </c>
      <c r="I2200" s="69" t="inlineStr">
        <is>
          <t>1000041849</t>
        </is>
      </c>
      <c r="J2200" s="69" t="inlineStr">
        <is>
          <t>OPPLE圆形嵌入式射灯 L04</t>
        </is>
      </c>
      <c r="K2200" s="70" t="n"/>
      <c r="L2200" s="70" t="n"/>
      <c r="M2200" s="71" t="inlineStr">
        <is>
          <t>个</t>
        </is>
      </c>
      <c r="N2200" s="72" t="n">
        <v>105</v>
      </c>
      <c r="O2200" s="72">
        <f>ROUND(N2200*(1+$F$10),2)</f>
        <v/>
      </c>
      <c r="P2200" s="73">
        <f>ROUND(K2200*N2200,2)</f>
        <v/>
      </c>
      <c r="Q2200" s="74">
        <f>ROUND(L2200*N2200,2)</f>
        <v/>
      </c>
      <c r="R2200" s="75" t="n"/>
      <c r="S2200" s="76" t="n"/>
      <c r="T2200" s="77">
        <f>K2200-L2200</f>
        <v/>
      </c>
      <c r="U2200" s="77">
        <f>P2200-Q2200</f>
        <v/>
      </c>
      <c r="V2200" s="77">
        <f>ABS(U2200)</f>
        <v/>
      </c>
      <c r="W2200" s="78">
        <f>T2200/L2200</f>
        <v/>
      </c>
      <c r="X2200" s="79">
        <f>ABS(W2200)</f>
        <v/>
      </c>
    </row>
    <row r="2201" ht="11.4" customHeight="1">
      <c r="A2201" s="67" t="inlineStr">
        <is>
          <t>大甜70</t>
        </is>
      </c>
      <c r="B2201" s="67" t="inlineStr">
        <is>
          <t>1068</t>
        </is>
      </c>
      <c r="C2201" s="67" t="inlineStr">
        <is>
          <t>1646</t>
        </is>
      </c>
      <c r="D2201" s="68" t="inlineStr">
        <is>
          <t>03</t>
        </is>
      </c>
      <c r="E2201" s="68" t="inlineStr">
        <is>
          <t>6 物业施工费</t>
        </is>
      </c>
      <c r="F2201" s="68" t="inlineStr">
        <is>
          <t>6.1 总承包工程</t>
        </is>
      </c>
      <c r="G2201" s="68" t="inlineStr">
        <is>
          <t>6.1.2A 电气工程-灯具主材</t>
        </is>
      </c>
      <c r="H2201" s="68" t="inlineStr">
        <is>
          <t>灯具主材-大堂</t>
        </is>
      </c>
      <c r="I2201" s="69" t="inlineStr">
        <is>
          <t>1000041860</t>
        </is>
      </c>
      <c r="J2201" s="69" t="inlineStr">
        <is>
          <t>OPPLE长条壁灯 L07</t>
        </is>
      </c>
      <c r="K2201" s="70" t="n"/>
      <c r="L2201" s="70" t="n"/>
      <c r="M2201" s="71" t="inlineStr">
        <is>
          <t>个</t>
        </is>
      </c>
      <c r="N2201" s="72" t="n">
        <v>661.5</v>
      </c>
      <c r="O2201" s="72">
        <f>ROUND(N2201*(1+$F$10),2)</f>
        <v/>
      </c>
      <c r="P2201" s="73">
        <f>ROUND(K2201*N2201,2)</f>
        <v/>
      </c>
      <c r="Q2201" s="74">
        <f>ROUND(L2201*N2201,2)</f>
        <v/>
      </c>
      <c r="R2201" s="75" t="n"/>
      <c r="S2201" s="76" t="n"/>
      <c r="T2201" s="77">
        <f>K2201-L2201</f>
        <v/>
      </c>
      <c r="U2201" s="77">
        <f>P2201-Q2201</f>
        <v/>
      </c>
      <c r="V2201" s="77">
        <f>ABS(U2201)</f>
        <v/>
      </c>
      <c r="W2201" s="78">
        <f>T2201/L2201</f>
        <v/>
      </c>
      <c r="X2201" s="79">
        <f>ABS(W2201)</f>
        <v/>
      </c>
    </row>
    <row r="2202" ht="11.4" customHeight="1">
      <c r="A2202" s="67" t="inlineStr">
        <is>
          <t>大甜70</t>
        </is>
      </c>
      <c r="B2202" s="67" t="inlineStr">
        <is>
          <t>1068</t>
        </is>
      </c>
      <c r="C2202" s="67" t="inlineStr">
        <is>
          <t>1646</t>
        </is>
      </c>
      <c r="D2202" s="68" t="inlineStr">
        <is>
          <t>03</t>
        </is>
      </c>
      <c r="E2202" s="68" t="inlineStr">
        <is>
          <t>6 物业施工费</t>
        </is>
      </c>
      <c r="F2202" s="68" t="inlineStr">
        <is>
          <t>6.1 总承包工程</t>
        </is>
      </c>
      <c r="G2202" s="68" t="inlineStr">
        <is>
          <t>6.1.2A 电气工程-灯具主材</t>
        </is>
      </c>
      <c r="H2202" s="68" t="inlineStr">
        <is>
          <t>灯具主材-大堂</t>
        </is>
      </c>
      <c r="I2202" s="69" t="inlineStr">
        <is>
          <t>1000041856</t>
        </is>
      </c>
      <c r="J2202" s="69" t="inlineStr">
        <is>
          <t>OPPLE Wall Light L08</t>
        </is>
      </c>
      <c r="K2202" s="70" t="n"/>
      <c r="L2202" s="70" t="n"/>
      <c r="M2202" s="71" t="inlineStr">
        <is>
          <t>个</t>
        </is>
      </c>
      <c r="N2202" s="72" t="n">
        <v>488.25</v>
      </c>
      <c r="O2202" s="72">
        <f>ROUND(N2202*(1+$F$10),2)</f>
        <v/>
      </c>
      <c r="P2202" s="73">
        <f>ROUND(K2202*N2202,2)</f>
        <v/>
      </c>
      <c r="Q2202" s="74">
        <f>ROUND(L2202*N2202,2)</f>
        <v/>
      </c>
      <c r="R2202" s="75" t="n"/>
      <c r="S2202" s="76" t="n"/>
      <c r="T2202" s="77">
        <f>K2202-L2202</f>
        <v/>
      </c>
      <c r="U2202" s="77">
        <f>P2202-Q2202</f>
        <v/>
      </c>
      <c r="V2202" s="77">
        <f>ABS(U2202)</f>
        <v/>
      </c>
      <c r="W2202" s="78">
        <f>T2202/L2202</f>
        <v/>
      </c>
      <c r="X2202" s="79">
        <f>ABS(W2202)</f>
        <v/>
      </c>
    </row>
    <row r="2203" ht="11.4" customHeight="1">
      <c r="A2203" s="67" t="inlineStr">
        <is>
          <t>大甜70</t>
        </is>
      </c>
      <c r="B2203" s="67" t="inlineStr">
        <is>
          <t>1068</t>
        </is>
      </c>
      <c r="C2203" s="67" t="inlineStr">
        <is>
          <t>1646</t>
        </is>
      </c>
      <c r="D2203" s="68" t="inlineStr">
        <is>
          <t>03</t>
        </is>
      </c>
      <c r="E2203" s="68" t="inlineStr">
        <is>
          <t>6 物业施工费</t>
        </is>
      </c>
      <c r="F2203" s="68" t="inlineStr">
        <is>
          <t>6.1 总承包工程</t>
        </is>
      </c>
      <c r="G2203" s="68" t="inlineStr">
        <is>
          <t>6.1.2A 电气工程-灯具主材</t>
        </is>
      </c>
      <c r="H2203" s="68" t="inlineStr">
        <is>
          <t>灯具主材-大堂</t>
        </is>
      </c>
      <c r="I2203" s="69" t="inlineStr">
        <is>
          <t>1000041857</t>
        </is>
      </c>
      <c r="J2203" s="69" t="inlineStr">
        <is>
          <t>OPPLE LED灯带 L09</t>
        </is>
      </c>
      <c r="K2203" s="70" t="n"/>
      <c r="L2203" s="70" t="n"/>
      <c r="M2203" s="71" t="inlineStr">
        <is>
          <t>米</t>
        </is>
      </c>
      <c r="N2203" s="72" t="n">
        <v>36.75</v>
      </c>
      <c r="O2203" s="72">
        <f>ROUND(N2203*(1+$F$10),2)</f>
        <v/>
      </c>
      <c r="P2203" s="73">
        <f>ROUND(K2203*N2203,2)</f>
        <v/>
      </c>
      <c r="Q2203" s="74">
        <f>ROUND(L2203*N2203,2)</f>
        <v/>
      </c>
      <c r="R2203" s="75" t="n"/>
      <c r="S2203" s="76" t="n"/>
      <c r="T2203" s="77">
        <f>K2203-L2203</f>
        <v/>
      </c>
      <c r="U2203" s="77">
        <f>P2203-Q2203</f>
        <v/>
      </c>
      <c r="V2203" s="77">
        <f>ABS(U2203)</f>
        <v/>
      </c>
      <c r="W2203" s="78">
        <f>T2203/L2203</f>
        <v/>
      </c>
      <c r="X2203" s="79">
        <f>ABS(W2203)</f>
        <v/>
      </c>
    </row>
    <row r="2204" ht="11.4" customHeight="1">
      <c r="A2204" s="67" t="inlineStr">
        <is>
          <t>大甜70</t>
        </is>
      </c>
      <c r="B2204" s="67" t="inlineStr">
        <is>
          <t>1068</t>
        </is>
      </c>
      <c r="C2204" s="67" t="inlineStr">
        <is>
          <t>1646</t>
        </is>
      </c>
      <c r="D2204" s="68" t="inlineStr">
        <is>
          <t>03</t>
        </is>
      </c>
      <c r="E2204" s="68" t="inlineStr">
        <is>
          <t>6 物业施工费</t>
        </is>
      </c>
      <c r="F2204" s="68" t="inlineStr">
        <is>
          <t>6.1 总承包工程</t>
        </is>
      </c>
      <c r="G2204" s="68" t="inlineStr">
        <is>
          <t>6.1.2A 电气工程-灯具主材</t>
        </is>
      </c>
      <c r="H2204" s="68" t="inlineStr">
        <is>
          <t>灯具主材-大堂</t>
        </is>
      </c>
      <c r="I2204" s="69" t="inlineStr">
        <is>
          <t>1000041858</t>
        </is>
      </c>
      <c r="J2204" s="69" t="inlineStr">
        <is>
          <t>OPPLE L09配套电源变压器（每10米配备一个）</t>
        </is>
      </c>
      <c r="K2204" s="70" t="n"/>
      <c r="L2204" s="70" t="n"/>
      <c r="M2204" s="71" t="inlineStr">
        <is>
          <t>个</t>
        </is>
      </c>
      <c r="N2204" s="72" t="n">
        <v>105</v>
      </c>
      <c r="O2204" s="72">
        <f>ROUND(N2204*(1+$F$10),2)</f>
        <v/>
      </c>
      <c r="P2204" s="73">
        <f>ROUND(K2204*N2204,2)</f>
        <v/>
      </c>
      <c r="Q2204" s="74">
        <f>ROUND(L2204*N2204,2)</f>
        <v/>
      </c>
      <c r="R2204" s="75" t="n"/>
      <c r="S2204" s="76" t="n"/>
      <c r="T2204" s="77">
        <f>K2204-L2204</f>
        <v/>
      </c>
      <c r="U2204" s="77">
        <f>P2204-Q2204</f>
        <v/>
      </c>
      <c r="V2204" s="77">
        <f>ABS(U2204)</f>
        <v/>
      </c>
      <c r="W2204" s="78">
        <f>T2204/L2204</f>
        <v/>
      </c>
      <c r="X2204" s="79">
        <f>ABS(W2204)</f>
        <v/>
      </c>
    </row>
    <row r="2205" ht="11.4" customHeight="1">
      <c r="A2205" s="67" t="inlineStr">
        <is>
          <t>大甜70</t>
        </is>
      </c>
      <c r="B2205" s="67" t="inlineStr">
        <is>
          <t>1068</t>
        </is>
      </c>
      <c r="C2205" s="67" t="inlineStr">
        <is>
          <t>1646</t>
        </is>
      </c>
      <c r="D2205" s="68" t="inlineStr">
        <is>
          <t>03</t>
        </is>
      </c>
      <c r="E2205" s="68" t="inlineStr">
        <is>
          <t>6 物业施工费</t>
        </is>
      </c>
      <c r="F2205" s="68" t="inlineStr">
        <is>
          <t>6.1 总承包工程</t>
        </is>
      </c>
      <c r="G2205" s="68" t="inlineStr">
        <is>
          <t>6.1.2A 电气工程-灯具主材</t>
        </is>
      </c>
      <c r="H2205" s="68" t="inlineStr">
        <is>
          <t>灯具主材-大堂</t>
        </is>
      </c>
      <c r="I2205" s="69" t="inlineStr">
        <is>
          <t>1000041859</t>
        </is>
      </c>
      <c r="J2205" s="69" t="inlineStr">
        <is>
          <t>OPPLE L05配套导轨 Track L=2000mm</t>
        </is>
      </c>
      <c r="K2205" s="70" t="n"/>
      <c r="L2205" s="70" t="n"/>
      <c r="M2205" s="71" t="inlineStr">
        <is>
          <t>个</t>
        </is>
      </c>
      <c r="N2205" s="72" t="n">
        <v>77.7</v>
      </c>
      <c r="O2205" s="72">
        <f>ROUND(N2205*(1+$F$10),2)</f>
        <v/>
      </c>
      <c r="P2205" s="73">
        <f>ROUND(K2205*N2205,2)</f>
        <v/>
      </c>
      <c r="Q2205" s="74">
        <f>ROUND(L2205*N2205,2)</f>
        <v/>
      </c>
      <c r="R2205" s="75" t="n"/>
      <c r="S2205" s="76" t="n"/>
      <c r="T2205" s="77">
        <f>K2205-L2205</f>
        <v/>
      </c>
      <c r="U2205" s="77">
        <f>P2205-Q2205</f>
        <v/>
      </c>
      <c r="V2205" s="77">
        <f>ABS(U2205)</f>
        <v/>
      </c>
      <c r="W2205" s="78">
        <f>T2205/L2205</f>
        <v/>
      </c>
      <c r="X2205" s="79">
        <f>ABS(W2205)</f>
        <v/>
      </c>
    </row>
    <row r="2206" ht="11.4" customHeight="1">
      <c r="A2206" s="67" t="inlineStr">
        <is>
          <t>大甜70</t>
        </is>
      </c>
      <c r="B2206" s="67" t="inlineStr">
        <is>
          <t>1068</t>
        </is>
      </c>
      <c r="C2206" s="67" t="inlineStr">
        <is>
          <t>1646</t>
        </is>
      </c>
      <c r="D2206" s="68" t="inlineStr">
        <is>
          <t>03</t>
        </is>
      </c>
      <c r="E2206" s="68" t="inlineStr">
        <is>
          <t>6 物业施工费</t>
        </is>
      </c>
      <c r="F2206" s="68" t="inlineStr">
        <is>
          <t>6.1 总承包工程</t>
        </is>
      </c>
      <c r="G2206" s="68" t="inlineStr">
        <is>
          <t>6.1.2A 电气工程-灯具主材</t>
        </is>
      </c>
      <c r="H2206" s="68" t="inlineStr">
        <is>
          <t>灯具主材-大堂</t>
        </is>
      </c>
      <c r="I2206" s="69" t="inlineStr">
        <is>
          <t>1000041854</t>
        </is>
      </c>
      <c r="J2206" s="69" t="inlineStr">
        <is>
          <t>OPPLE L05配套导轨 Track L=1000mm</t>
        </is>
      </c>
      <c r="K2206" s="70" t="n"/>
      <c r="L2206" s="70" t="n"/>
      <c r="M2206" s="71" t="inlineStr">
        <is>
          <t>个</t>
        </is>
      </c>
      <c r="N2206" s="72" t="n">
        <v>38.85</v>
      </c>
      <c r="O2206" s="72">
        <f>ROUND(N2206*(1+$F$10),2)</f>
        <v/>
      </c>
      <c r="P2206" s="73">
        <f>ROUND(K2206*N2206,2)</f>
        <v/>
      </c>
      <c r="Q2206" s="74">
        <f>ROUND(L2206*N2206,2)</f>
        <v/>
      </c>
      <c r="R2206" s="75" t="n"/>
      <c r="S2206" s="76" t="n"/>
      <c r="T2206" s="77">
        <f>K2206-L2206</f>
        <v/>
      </c>
      <c r="U2206" s="77">
        <f>P2206-Q2206</f>
        <v/>
      </c>
      <c r="V2206" s="77">
        <f>ABS(U2206)</f>
        <v/>
      </c>
      <c r="W2206" s="78">
        <f>T2206/L2206</f>
        <v/>
      </c>
      <c r="X2206" s="79">
        <f>ABS(W2206)</f>
        <v/>
      </c>
    </row>
    <row r="2207" ht="11.4" customHeight="1">
      <c r="A2207" s="67" t="inlineStr">
        <is>
          <t>大甜70</t>
        </is>
      </c>
      <c r="B2207" s="67" t="inlineStr">
        <is>
          <t>1068</t>
        </is>
      </c>
      <c r="C2207" s="67" t="inlineStr">
        <is>
          <t>1646</t>
        </is>
      </c>
      <c r="D2207" s="68" t="inlineStr">
        <is>
          <t>03</t>
        </is>
      </c>
      <c r="E2207" s="68" t="inlineStr">
        <is>
          <t>6 物业施工费</t>
        </is>
      </c>
      <c r="F2207" s="68" t="inlineStr">
        <is>
          <t>6.1 总承包工程</t>
        </is>
      </c>
      <c r="G2207" s="68" t="inlineStr">
        <is>
          <t>6.1.2A 电气工程-灯具主材</t>
        </is>
      </c>
      <c r="H2207" s="68" t="inlineStr">
        <is>
          <t>灯具主材-大堂</t>
        </is>
      </c>
      <c r="I2207" s="69" t="inlineStr">
        <is>
          <t>1000041855</t>
        </is>
      </c>
      <c r="J2207" s="69" t="inlineStr">
        <is>
          <t>OPPLE L05配套导轨连接件 Track connector</t>
        </is>
      </c>
      <c r="K2207" s="70" t="n"/>
      <c r="L2207" s="70" t="n"/>
      <c r="M2207" s="71" t="inlineStr">
        <is>
          <t>个</t>
        </is>
      </c>
      <c r="N2207" s="72" t="n">
        <v>8.4</v>
      </c>
      <c r="O2207" s="72">
        <f>ROUND(N2207*(1+$F$10),2)</f>
        <v/>
      </c>
      <c r="P2207" s="73">
        <f>ROUND(K2207*N2207,2)</f>
        <v/>
      </c>
      <c r="Q2207" s="74">
        <f>ROUND(L2207*N2207,2)</f>
        <v/>
      </c>
      <c r="R2207" s="75" t="n"/>
      <c r="S2207" s="76" t="n"/>
      <c r="T2207" s="77">
        <f>K2207-L2207</f>
        <v/>
      </c>
      <c r="U2207" s="77">
        <f>P2207-Q2207</f>
        <v/>
      </c>
      <c r="V2207" s="77">
        <f>ABS(U2207)</f>
        <v/>
      </c>
      <c r="W2207" s="78">
        <f>T2207/L2207</f>
        <v/>
      </c>
      <c r="X2207" s="79">
        <f>ABS(W2207)</f>
        <v/>
      </c>
    </row>
    <row r="2208" ht="11.4" customHeight="1">
      <c r="A2208" s="67" t="inlineStr">
        <is>
          <t>大甜70</t>
        </is>
      </c>
      <c r="B2208" s="67" t="inlineStr">
        <is>
          <t>1068</t>
        </is>
      </c>
      <c r="C2208" s="67" t="inlineStr">
        <is>
          <t>1646</t>
        </is>
      </c>
      <c r="D2208" s="68" t="inlineStr">
        <is>
          <t>03</t>
        </is>
      </c>
      <c r="E2208" s="68" t="inlineStr">
        <is>
          <t>6 物业施工费</t>
        </is>
      </c>
      <c r="F2208" s="68" t="inlineStr">
        <is>
          <t>6.1 总承包工程</t>
        </is>
      </c>
      <c r="G2208" s="68" t="inlineStr">
        <is>
          <t>6.1.2A 电气工程-灯具主材</t>
        </is>
      </c>
      <c r="H2208" s="68" t="inlineStr">
        <is>
          <t>灯具主材-大堂</t>
        </is>
      </c>
      <c r="I2208" s="69" t="inlineStr">
        <is>
          <t>1000041840</t>
        </is>
      </c>
      <c r="J2208" s="69" t="inlineStr">
        <is>
          <t>OPPLE装饰性灯具（吊灯光源L3-E/L4-E）</t>
        </is>
      </c>
      <c r="K2208" s="70" t="n"/>
      <c r="L2208" s="70" t="n"/>
      <c r="M2208" s="71" t="inlineStr">
        <is>
          <t>个</t>
        </is>
      </c>
      <c r="N2208" s="72" t="n">
        <v>57.75</v>
      </c>
      <c r="O2208" s="72">
        <f>ROUND(N2208*(1+$F$10),2)</f>
        <v/>
      </c>
      <c r="P2208" s="73">
        <f>ROUND(K2208*N2208,2)</f>
        <v/>
      </c>
      <c r="Q2208" s="74">
        <f>ROUND(L2208*N2208,2)</f>
        <v/>
      </c>
      <c r="R2208" s="75" t="n"/>
      <c r="S2208" s="76" t="n"/>
      <c r="T2208" s="77">
        <f>K2208-L2208</f>
        <v/>
      </c>
      <c r="U2208" s="77">
        <f>P2208-Q2208</f>
        <v/>
      </c>
      <c r="V2208" s="77">
        <f>ABS(U2208)</f>
        <v/>
      </c>
      <c r="W2208" s="78">
        <f>T2208/L2208</f>
        <v/>
      </c>
      <c r="X2208" s="79">
        <f>ABS(W2208)</f>
        <v/>
      </c>
    </row>
    <row r="2209" ht="11.4" customHeight="1">
      <c r="A2209" s="67" t="inlineStr">
        <is>
          <t>大甜70</t>
        </is>
      </c>
      <c r="B2209" s="67" t="inlineStr">
        <is>
          <t>1068</t>
        </is>
      </c>
      <c r="C2209" s="67" t="inlineStr">
        <is>
          <t>1646</t>
        </is>
      </c>
      <c r="D2209" s="68" t="inlineStr">
        <is>
          <t>03</t>
        </is>
      </c>
      <c r="E2209" s="68" t="inlineStr">
        <is>
          <t>6 物业施工费</t>
        </is>
      </c>
      <c r="F2209" s="68" t="inlineStr">
        <is>
          <t>6.1 总承包工程</t>
        </is>
      </c>
      <c r="G2209" s="68" t="inlineStr">
        <is>
          <t>6.1.2A 电气工程-灯具主材</t>
        </is>
      </c>
      <c r="H2209" s="68" t="inlineStr">
        <is>
          <t>灯具主材-大堂</t>
        </is>
      </c>
      <c r="I2209" s="69" t="inlineStr">
        <is>
          <t>1000041842</t>
        </is>
      </c>
      <c r="J2209" s="69" t="inlineStr">
        <is>
          <t>OPPLE圆形嵌入式射灯 L1-E</t>
        </is>
      </c>
      <c r="K2209" s="70" t="n"/>
      <c r="L2209" s="70" t="n"/>
      <c r="M2209" s="71" t="inlineStr">
        <is>
          <t>个</t>
        </is>
      </c>
      <c r="N2209" s="72" t="n">
        <v>131.25</v>
      </c>
      <c r="O2209" s="72">
        <f>ROUND(N2209*(1+$F$10),2)</f>
        <v/>
      </c>
      <c r="P2209" s="73">
        <f>ROUND(K2209*N2209,2)</f>
        <v/>
      </c>
      <c r="Q2209" s="74">
        <f>ROUND(L2209*N2209,2)</f>
        <v/>
      </c>
      <c r="R2209" s="75" t="n"/>
      <c r="S2209" s="76" t="n"/>
      <c r="T2209" s="77">
        <f>K2209-L2209</f>
        <v/>
      </c>
      <c r="U2209" s="77">
        <f>P2209-Q2209</f>
        <v/>
      </c>
      <c r="V2209" s="77">
        <f>ABS(U2209)</f>
        <v/>
      </c>
      <c r="W2209" s="78">
        <f>T2209/L2209</f>
        <v/>
      </c>
      <c r="X2209" s="79">
        <f>ABS(W2209)</f>
        <v/>
      </c>
    </row>
    <row r="2210" ht="11.4" customHeight="1">
      <c r="A2210" s="67" t="inlineStr">
        <is>
          <t>大甜70</t>
        </is>
      </c>
      <c r="B2210" s="67" t="inlineStr">
        <is>
          <t>1068</t>
        </is>
      </c>
      <c r="C2210" s="67" t="inlineStr">
        <is>
          <t>1646</t>
        </is>
      </c>
      <c r="D2210" s="68" t="inlineStr">
        <is>
          <t>03</t>
        </is>
      </c>
      <c r="E2210" s="68" t="inlineStr">
        <is>
          <t>6 物业施工费</t>
        </is>
      </c>
      <c r="F2210" s="68" t="inlineStr">
        <is>
          <t>6.1 总承包工程</t>
        </is>
      </c>
      <c r="G2210" s="68" t="inlineStr">
        <is>
          <t>6.1.2A 电气工程-灯具主材</t>
        </is>
      </c>
      <c r="H2210" s="68" t="inlineStr">
        <is>
          <t>灯具主材-大堂</t>
        </is>
      </c>
      <c r="I2210" s="69" t="inlineStr">
        <is>
          <t>1000041843</t>
        </is>
      </c>
      <c r="J2210" s="69" t="inlineStr">
        <is>
          <t>OPPLE圆形嵌入式射灯 L2-E/L5-E</t>
        </is>
      </c>
      <c r="K2210" s="70" t="n"/>
      <c r="L2210" s="70" t="n"/>
      <c r="M2210" s="71" t="inlineStr">
        <is>
          <t>个</t>
        </is>
      </c>
      <c r="N2210" s="72" t="n">
        <v>120.75</v>
      </c>
      <c r="O2210" s="72">
        <f>ROUND(N2210*(1+$F$10),2)</f>
        <v/>
      </c>
      <c r="P2210" s="73">
        <f>ROUND(K2210*N2210,2)</f>
        <v/>
      </c>
      <c r="Q2210" s="74">
        <f>ROUND(L2210*N2210,2)</f>
        <v/>
      </c>
      <c r="R2210" s="75" t="n"/>
      <c r="S2210" s="76" t="n"/>
      <c r="T2210" s="77">
        <f>K2210-L2210</f>
        <v/>
      </c>
      <c r="U2210" s="77">
        <f>P2210-Q2210</f>
        <v/>
      </c>
      <c r="V2210" s="77">
        <f>ABS(U2210)</f>
        <v/>
      </c>
      <c r="W2210" s="78">
        <f>T2210/L2210</f>
        <v/>
      </c>
      <c r="X2210" s="79">
        <f>ABS(W2210)</f>
        <v/>
      </c>
    </row>
    <row r="2211" ht="11.4" customHeight="1">
      <c r="A2211" s="67" t="inlineStr">
        <is>
          <t>大甜70</t>
        </is>
      </c>
      <c r="B2211" s="67" t="inlineStr">
        <is>
          <t>1068</t>
        </is>
      </c>
      <c r="C2211" s="67" t="inlineStr">
        <is>
          <t>1646</t>
        </is>
      </c>
      <c r="D2211" s="68" t="inlineStr">
        <is>
          <t>03</t>
        </is>
      </c>
      <c r="E2211" s="68" t="inlineStr">
        <is>
          <t>6 物业施工费</t>
        </is>
      </c>
      <c r="F2211" s="68" t="inlineStr">
        <is>
          <t>6.1 总承包工程</t>
        </is>
      </c>
      <c r="G2211" s="68" t="inlineStr">
        <is>
          <t>6.1.2A 电气工程-灯具主材</t>
        </is>
      </c>
      <c r="H2211" s="68" t="inlineStr">
        <is>
          <t>灯具主材-大堂</t>
        </is>
      </c>
      <c r="I2211" s="69" t="inlineStr">
        <is>
          <t>1000041836</t>
        </is>
      </c>
      <c r="J2211" s="69" t="inlineStr">
        <is>
          <t>OPPLE圆形嵌入式灯 L1-L</t>
        </is>
      </c>
      <c r="K2211" s="70" t="n"/>
      <c r="L2211" s="70" t="n"/>
      <c r="M2211" s="71" t="inlineStr">
        <is>
          <t>个</t>
        </is>
      </c>
      <c r="N2211" s="72" t="n">
        <v>120.75</v>
      </c>
      <c r="O2211" s="72">
        <f>ROUND(N2211*(1+$F$10),2)</f>
        <v/>
      </c>
      <c r="P2211" s="73">
        <f>ROUND(K2211*N2211,2)</f>
        <v/>
      </c>
      <c r="Q2211" s="74">
        <f>ROUND(L2211*N2211,2)</f>
        <v/>
      </c>
      <c r="R2211" s="75" t="n"/>
      <c r="S2211" s="76" t="n"/>
      <c r="T2211" s="77">
        <f>K2211-L2211</f>
        <v/>
      </c>
      <c r="U2211" s="77">
        <f>P2211-Q2211</f>
        <v/>
      </c>
      <c r="V2211" s="77">
        <f>ABS(U2211)</f>
        <v/>
      </c>
      <c r="W2211" s="78">
        <f>T2211/L2211</f>
        <v/>
      </c>
      <c r="X2211" s="79">
        <f>ABS(W2211)</f>
        <v/>
      </c>
    </row>
    <row r="2212" ht="11.4" customHeight="1">
      <c r="A2212" s="67" t="inlineStr">
        <is>
          <t>大甜70</t>
        </is>
      </c>
      <c r="B2212" s="67" t="inlineStr">
        <is>
          <t>1068</t>
        </is>
      </c>
      <c r="C2212" s="67" t="inlineStr">
        <is>
          <t>1646</t>
        </is>
      </c>
      <c r="D2212" s="68" t="inlineStr">
        <is>
          <t>03</t>
        </is>
      </c>
      <c r="E2212" s="68" t="inlineStr">
        <is>
          <t>6 物业施工费</t>
        </is>
      </c>
      <c r="F2212" s="68" t="inlineStr">
        <is>
          <t>6.1 总承包工程</t>
        </is>
      </c>
      <c r="G2212" s="68" t="inlineStr">
        <is>
          <t>6.1.2A 电气工程-灯具主材</t>
        </is>
      </c>
      <c r="H2212" s="68" t="inlineStr">
        <is>
          <t>灯具主材-大堂</t>
        </is>
      </c>
      <c r="I2212" s="69" t="inlineStr">
        <is>
          <t>1000041835</t>
        </is>
      </c>
      <c r="J2212" s="69" t="inlineStr">
        <is>
          <t>OPPLE圆形嵌入式灯 L2-L</t>
        </is>
      </c>
      <c r="K2212" s="70" t="n"/>
      <c r="L2212" s="70" t="n"/>
      <c r="M2212" s="71" t="inlineStr">
        <is>
          <t>个</t>
        </is>
      </c>
      <c r="N2212" s="72" t="n">
        <v>131.25</v>
      </c>
      <c r="O2212" s="72">
        <f>ROUND(N2212*(1+$F$10),2)</f>
        <v/>
      </c>
      <c r="P2212" s="73">
        <f>ROUND(K2212*N2212,2)</f>
        <v/>
      </c>
      <c r="Q2212" s="74">
        <f>ROUND(L2212*N2212,2)</f>
        <v/>
      </c>
      <c r="R2212" s="75" t="n"/>
      <c r="S2212" s="76" t="n"/>
      <c r="T2212" s="77">
        <f>K2212-L2212</f>
        <v/>
      </c>
      <c r="U2212" s="77">
        <f>P2212-Q2212</f>
        <v/>
      </c>
      <c r="V2212" s="77">
        <f>ABS(U2212)</f>
        <v/>
      </c>
      <c r="W2212" s="78">
        <f>T2212/L2212</f>
        <v/>
      </c>
      <c r="X2212" s="79">
        <f>ABS(W2212)</f>
        <v/>
      </c>
    </row>
    <row r="2213" ht="11.4" customHeight="1">
      <c r="A2213" s="67" t="inlineStr">
        <is>
          <t>大甜70</t>
        </is>
      </c>
      <c r="B2213" s="67" t="inlineStr">
        <is>
          <t>1068</t>
        </is>
      </c>
      <c r="C2213" s="67" t="inlineStr">
        <is>
          <t>1646</t>
        </is>
      </c>
      <c r="D2213" s="68" t="inlineStr">
        <is>
          <t>03</t>
        </is>
      </c>
      <c r="E2213" s="68" t="inlineStr">
        <is>
          <t>6 物业施工费</t>
        </is>
      </c>
      <c r="F2213" s="68" t="inlineStr">
        <is>
          <t>6.1 总承包工程</t>
        </is>
      </c>
      <c r="G2213" s="68" t="inlineStr">
        <is>
          <t>6.1.2A 电气工程-灯具主材</t>
        </is>
      </c>
      <c r="H2213" s="68" t="inlineStr">
        <is>
          <t>灯具主材-大堂</t>
        </is>
      </c>
      <c r="I2213" s="69" t="inlineStr">
        <is>
          <t>1000041834</t>
        </is>
      </c>
      <c r="J2213" s="69" t="inlineStr">
        <is>
          <t>OPPLE LED灯带含变压器 L3-L</t>
        </is>
      </c>
      <c r="K2213" s="70" t="n"/>
      <c r="L2213" s="70" t="n"/>
      <c r="M2213" s="71" t="inlineStr">
        <is>
          <t>米</t>
        </is>
      </c>
      <c r="N2213" s="72" t="n">
        <v>42</v>
      </c>
      <c r="O2213" s="72">
        <f>ROUND(N2213*(1+$F$10),2)</f>
        <v/>
      </c>
      <c r="P2213" s="73">
        <f>ROUND(K2213*N2213,2)</f>
        <v/>
      </c>
      <c r="Q2213" s="74">
        <f>ROUND(L2213*N2213,2)</f>
        <v/>
      </c>
      <c r="R2213" s="75" t="n"/>
      <c r="S2213" s="76" t="n"/>
      <c r="T2213" s="77">
        <f>K2213-L2213</f>
        <v/>
      </c>
      <c r="U2213" s="77">
        <f>P2213-Q2213</f>
        <v/>
      </c>
      <c r="V2213" s="77">
        <f>ABS(U2213)</f>
        <v/>
      </c>
      <c r="W2213" s="78">
        <f>T2213/L2213</f>
        <v/>
      </c>
      <c r="X2213" s="79">
        <f>ABS(W2213)</f>
        <v/>
      </c>
    </row>
    <row r="2214" ht="11.4" customHeight="1">
      <c r="A2214" s="67" t="inlineStr">
        <is>
          <t>大甜71</t>
        </is>
      </c>
      <c r="B2214" s="67" t="inlineStr">
        <is>
          <t>1069</t>
        </is>
      </c>
      <c r="C2214" s="67" t="inlineStr">
        <is>
          <t>1646</t>
        </is>
      </c>
      <c r="D2214" s="68" t="inlineStr">
        <is>
          <t>03</t>
        </is>
      </c>
      <c r="E2214" s="68" t="inlineStr">
        <is>
          <t>6 物业施工费</t>
        </is>
      </c>
      <c r="F2214" s="68" t="inlineStr">
        <is>
          <t>6.1 总承包工程</t>
        </is>
      </c>
      <c r="G2214" s="68" t="inlineStr">
        <is>
          <t>6.1.2A 电气工程-灯具主材</t>
        </is>
      </c>
      <c r="H2214" s="68" t="inlineStr">
        <is>
          <t>灯具主材-厨房</t>
        </is>
      </c>
      <c r="I2214" s="69" t="inlineStr">
        <is>
          <t>1000021525</t>
        </is>
      </c>
      <c r="J2214" s="69" t="inlineStr">
        <is>
          <t>PHILIPS LED 5W应急灯具90分钟E</t>
        </is>
      </c>
      <c r="K2214" s="70" t="n"/>
      <c r="L2214" s="70" t="n"/>
      <c r="M2214" s="71" t="inlineStr">
        <is>
          <t>个</t>
        </is>
      </c>
      <c r="N2214" s="72" t="n">
        <v>94.5</v>
      </c>
      <c r="O2214" s="72">
        <f>ROUND(N2214*(1+$F$10),2)</f>
        <v/>
      </c>
      <c r="P2214" s="73">
        <f>ROUND(K2214*N2214,2)</f>
        <v/>
      </c>
      <c r="Q2214" s="74">
        <f>ROUND(L2214*N2214,2)</f>
        <v/>
      </c>
      <c r="R2214" s="75" t="n"/>
      <c r="S2214" s="76" t="n"/>
      <c r="T2214" s="77">
        <f>K2214-L2214</f>
        <v/>
      </c>
      <c r="U2214" s="77">
        <f>P2214-Q2214</f>
        <v/>
      </c>
      <c r="V2214" s="77">
        <f>ABS(U2214)</f>
        <v/>
      </c>
      <c r="W2214" s="78">
        <f>T2214/L2214</f>
        <v/>
      </c>
      <c r="X2214" s="79">
        <f>ABS(W2214)</f>
        <v/>
      </c>
    </row>
    <row r="2215" ht="11.4" customHeight="1">
      <c r="A2215" s="67" t="inlineStr">
        <is>
          <t>大甜71</t>
        </is>
      </c>
      <c r="B2215" s="67" t="inlineStr">
        <is>
          <t>1069</t>
        </is>
      </c>
      <c r="C2215" s="67" t="inlineStr">
        <is>
          <t>1646</t>
        </is>
      </c>
      <c r="D2215" s="68" t="inlineStr">
        <is>
          <t>03</t>
        </is>
      </c>
      <c r="E2215" s="68" t="inlineStr">
        <is>
          <t>6 物业施工费</t>
        </is>
      </c>
      <c r="F2215" s="68" t="inlineStr">
        <is>
          <t>6.1 总承包工程</t>
        </is>
      </c>
      <c r="G2215" s="68" t="inlineStr">
        <is>
          <t>6.1.2A 电气工程-灯具主材</t>
        </is>
      </c>
      <c r="H2215" s="68" t="inlineStr">
        <is>
          <t>灯具主材-厨房</t>
        </is>
      </c>
      <c r="I2215" s="69" t="inlineStr">
        <is>
          <t>1000021930</t>
        </is>
      </c>
      <c r="J2215" s="69" t="inlineStr">
        <is>
          <t>灯槽内单管日光灯L13</t>
        </is>
      </c>
      <c r="K2215" s="70" t="n"/>
      <c r="L2215" s="70" t="n"/>
      <c r="M2215" s="71" t="inlineStr">
        <is>
          <t>个</t>
        </is>
      </c>
      <c r="N2215" s="72" t="n">
        <v>107.69</v>
      </c>
      <c r="O2215" s="72">
        <f>ROUND(N2215*(1+$F$10),2)</f>
        <v/>
      </c>
      <c r="P2215" s="73">
        <f>ROUND(K2215*N2215,2)</f>
        <v/>
      </c>
      <c r="Q2215" s="74">
        <f>ROUND(L2215*N2215,2)</f>
        <v/>
      </c>
      <c r="R2215" s="75" t="n"/>
      <c r="S2215" s="76" t="n"/>
      <c r="T2215" s="77">
        <f>K2215-L2215</f>
        <v/>
      </c>
      <c r="U2215" s="77">
        <f>P2215-Q2215</f>
        <v/>
      </c>
      <c r="V2215" s="77">
        <f>ABS(U2215)</f>
        <v/>
      </c>
      <c r="W2215" s="78">
        <f>T2215/L2215</f>
        <v/>
      </c>
      <c r="X2215" s="79">
        <f>ABS(W2215)</f>
        <v/>
      </c>
    </row>
    <row r="2216" ht="11.4" customHeight="1">
      <c r="A2216" s="67" t="inlineStr">
        <is>
          <t>大甜71</t>
        </is>
      </c>
      <c r="B2216" s="67" t="inlineStr">
        <is>
          <t>1069</t>
        </is>
      </c>
      <c r="C2216" s="67" t="inlineStr">
        <is>
          <t>1646</t>
        </is>
      </c>
      <c r="D2216" s="68" t="inlineStr">
        <is>
          <t>03</t>
        </is>
      </c>
      <c r="E2216" s="68" t="inlineStr">
        <is>
          <t>6 物业施工费</t>
        </is>
      </c>
      <c r="F2216" s="68" t="inlineStr">
        <is>
          <t>6.1 总承包工程</t>
        </is>
      </c>
      <c r="G2216" s="68" t="inlineStr">
        <is>
          <t>6.1.2A 电气工程-灯具主材</t>
        </is>
      </c>
      <c r="H2216" s="68" t="inlineStr">
        <is>
          <t>灯具主材-厨房</t>
        </is>
      </c>
      <c r="I2216" s="69" t="inlineStr">
        <is>
          <t>1000051748</t>
        </is>
      </c>
      <c r="J2216" s="69" t="inlineStr">
        <is>
          <t>A型应急灯</t>
        </is>
      </c>
      <c r="K2216" s="70" t="n"/>
      <c r="L2216" s="70" t="n"/>
      <c r="M2216" s="71" t="inlineStr">
        <is>
          <t>个</t>
        </is>
      </c>
      <c r="N2216" s="72" t="n">
        <v>40.95</v>
      </c>
      <c r="O2216" s="72">
        <f>ROUND(N2216*(1+$F$10),2)</f>
        <v/>
      </c>
      <c r="P2216" s="73">
        <f>ROUND(K2216*N2216,2)</f>
        <v/>
      </c>
      <c r="Q2216" s="74">
        <f>ROUND(L2216*N2216,2)</f>
        <v/>
      </c>
      <c r="R2216" s="75" t="n"/>
      <c r="S2216" s="76" t="n"/>
      <c r="T2216" s="77">
        <f>K2216-L2216</f>
        <v/>
      </c>
      <c r="U2216" s="77">
        <f>P2216-Q2216</f>
        <v/>
      </c>
      <c r="V2216" s="77">
        <f>ABS(U2216)</f>
        <v/>
      </c>
      <c r="W2216" s="78">
        <f>T2216/L2216</f>
        <v/>
      </c>
      <c r="X2216" s="79">
        <f>ABS(W2216)</f>
        <v/>
      </c>
    </row>
    <row r="2217" ht="11.4" customHeight="1">
      <c r="A2217" s="67" t="inlineStr">
        <is>
          <t>大甜71</t>
        </is>
      </c>
      <c r="B2217" s="67" t="inlineStr">
        <is>
          <t>1069</t>
        </is>
      </c>
      <c r="C2217" s="67" t="inlineStr">
        <is>
          <t>1646</t>
        </is>
      </c>
      <c r="D2217" s="68" t="inlineStr">
        <is>
          <t>03</t>
        </is>
      </c>
      <c r="E2217" s="68" t="inlineStr">
        <is>
          <t>6 物业施工费</t>
        </is>
      </c>
      <c r="F2217" s="68" t="inlineStr">
        <is>
          <t>6.1 总承包工程</t>
        </is>
      </c>
      <c r="G2217" s="68" t="inlineStr">
        <is>
          <t>6.1.2A 电气工程-灯具主材</t>
        </is>
      </c>
      <c r="H2217" s="68" t="inlineStr">
        <is>
          <t>灯具主材-厨房</t>
        </is>
      </c>
      <c r="I2217" s="69" t="inlineStr">
        <is>
          <t>1000021526</t>
        </is>
      </c>
      <c r="J2217" s="69" t="inlineStr">
        <is>
          <t>PHILIPS方形LED灯筒灯灯具  L1</t>
        </is>
      </c>
      <c r="K2217" s="70" t="n"/>
      <c r="L2217" s="70" t="n"/>
      <c r="M2217" s="71" t="inlineStr">
        <is>
          <t>个</t>
        </is>
      </c>
      <c r="N2217" s="72" t="n">
        <v>131.25</v>
      </c>
      <c r="O2217" s="72">
        <f>ROUND(N2217*(1+$F$10),2)</f>
        <v/>
      </c>
      <c r="P2217" s="73">
        <f>ROUND(K2217*N2217,2)</f>
        <v/>
      </c>
      <c r="Q2217" s="74">
        <f>ROUND(L2217*N2217,2)</f>
        <v/>
      </c>
      <c r="R2217" s="75" t="n"/>
      <c r="S2217" s="76" t="n"/>
      <c r="T2217" s="77">
        <f>K2217-L2217</f>
        <v/>
      </c>
      <c r="U2217" s="77">
        <f>P2217-Q2217</f>
        <v/>
      </c>
      <c r="V2217" s="77">
        <f>ABS(U2217)</f>
        <v/>
      </c>
      <c r="W2217" s="78">
        <f>T2217/L2217</f>
        <v/>
      </c>
      <c r="X2217" s="79">
        <f>ABS(W2217)</f>
        <v/>
      </c>
    </row>
    <row r="2218" ht="11.4" customHeight="1">
      <c r="A2218" s="67" t="inlineStr">
        <is>
          <t>大甜71</t>
        </is>
      </c>
      <c r="B2218" s="67" t="inlineStr">
        <is>
          <t>1069</t>
        </is>
      </c>
      <c r="C2218" s="67" t="inlineStr">
        <is>
          <t>1646</t>
        </is>
      </c>
      <c r="D2218" s="68" t="inlineStr">
        <is>
          <t>03</t>
        </is>
      </c>
      <c r="E2218" s="68" t="inlineStr">
        <is>
          <t>6 物业施工费</t>
        </is>
      </c>
      <c r="F2218" s="68" t="inlineStr">
        <is>
          <t>6.1 总承包工程</t>
        </is>
      </c>
      <c r="G2218" s="68" t="inlineStr">
        <is>
          <t>6.1.2A 电气工程-灯具主材</t>
        </is>
      </c>
      <c r="H2218" s="68" t="inlineStr">
        <is>
          <t>灯具主材-厨房</t>
        </is>
      </c>
      <c r="I2218" s="69" t="inlineStr">
        <is>
          <t>1000021527</t>
        </is>
      </c>
      <c r="J2218" s="69" t="inlineStr">
        <is>
          <t>PHILIPS双头方形LED灯筒灯灯具  L2</t>
        </is>
      </c>
      <c r="K2218" s="70" t="n"/>
      <c r="L2218" s="70" t="n"/>
      <c r="M2218" s="71" t="inlineStr">
        <is>
          <t>个</t>
        </is>
      </c>
      <c r="N2218" s="72" t="n">
        <v>222.6</v>
      </c>
      <c r="O2218" s="72">
        <f>ROUND(N2218*(1+$F$10),2)</f>
        <v/>
      </c>
      <c r="P2218" s="73">
        <f>ROUND(K2218*N2218,2)</f>
        <v/>
      </c>
      <c r="Q2218" s="74">
        <f>ROUND(L2218*N2218,2)</f>
        <v/>
      </c>
      <c r="R2218" s="75" t="n"/>
      <c r="S2218" s="76" t="n"/>
      <c r="T2218" s="77">
        <f>K2218-L2218</f>
        <v/>
      </c>
      <c r="U2218" s="77">
        <f>P2218-Q2218</f>
        <v/>
      </c>
      <c r="V2218" s="77">
        <f>ABS(U2218)</f>
        <v/>
      </c>
      <c r="W2218" s="78">
        <f>T2218/L2218</f>
        <v/>
      </c>
      <c r="X2218" s="79">
        <f>ABS(W2218)</f>
        <v/>
      </c>
    </row>
    <row r="2219" ht="11.4" customHeight="1">
      <c r="A2219" s="67" t="inlineStr">
        <is>
          <t>大甜71</t>
        </is>
      </c>
      <c r="B2219" s="67" t="inlineStr">
        <is>
          <t>1069</t>
        </is>
      </c>
      <c r="C2219" s="67" t="inlineStr">
        <is>
          <t>1646</t>
        </is>
      </c>
      <c r="D2219" s="68" t="inlineStr">
        <is>
          <t>03</t>
        </is>
      </c>
      <c r="E2219" s="68" t="inlineStr">
        <is>
          <t>6 物业施工费</t>
        </is>
      </c>
      <c r="F2219" s="68" t="inlineStr">
        <is>
          <t>6.1 总承包工程</t>
        </is>
      </c>
      <c r="G2219" s="68" t="inlineStr">
        <is>
          <t>6.1.2A 电气工程-灯具主材</t>
        </is>
      </c>
      <c r="H2219" s="68" t="inlineStr">
        <is>
          <t>灯具主材-厨房</t>
        </is>
      </c>
      <c r="I2219" s="69" t="inlineStr">
        <is>
          <t>1000021528</t>
        </is>
      </c>
      <c r="J2219" s="69" t="inlineStr">
        <is>
          <t>PHILIPS方形嵌入式LED射灯28W  L3</t>
        </is>
      </c>
      <c r="K2219" s="70" t="n"/>
      <c r="L2219" s="70" t="n"/>
      <c r="M2219" s="71" t="inlineStr">
        <is>
          <t>个</t>
        </is>
      </c>
      <c r="N2219" s="72" t="n">
        <v>176.4</v>
      </c>
      <c r="O2219" s="72">
        <f>ROUND(N2219*(1+$F$10),2)</f>
        <v/>
      </c>
      <c r="P2219" s="73">
        <f>ROUND(K2219*N2219,2)</f>
        <v/>
      </c>
      <c r="Q2219" s="74">
        <f>ROUND(L2219*N2219,2)</f>
        <v/>
      </c>
      <c r="R2219" s="75" t="n"/>
      <c r="S2219" s="76" t="n"/>
      <c r="T2219" s="77">
        <f>K2219-L2219</f>
        <v/>
      </c>
      <c r="U2219" s="77">
        <f>P2219-Q2219</f>
        <v/>
      </c>
      <c r="V2219" s="77">
        <f>ABS(U2219)</f>
        <v/>
      </c>
      <c r="W2219" s="78">
        <f>T2219/L2219</f>
        <v/>
      </c>
      <c r="X2219" s="79">
        <f>ABS(W2219)</f>
        <v/>
      </c>
    </row>
    <row r="2220" ht="11.4" customHeight="1">
      <c r="A2220" s="67" t="inlineStr">
        <is>
          <t>大甜71</t>
        </is>
      </c>
      <c r="B2220" s="67" t="inlineStr">
        <is>
          <t>1069</t>
        </is>
      </c>
      <c r="C2220" s="67" t="inlineStr">
        <is>
          <t>1646</t>
        </is>
      </c>
      <c r="D2220" s="68" t="inlineStr">
        <is>
          <t>03</t>
        </is>
      </c>
      <c r="E2220" s="68" t="inlineStr">
        <is>
          <t>6 物业施工费</t>
        </is>
      </c>
      <c r="F2220" s="68" t="inlineStr">
        <is>
          <t>6.1 总承包工程</t>
        </is>
      </c>
      <c r="G2220" s="68" t="inlineStr">
        <is>
          <t>6.1.2A 电气工程-灯具主材</t>
        </is>
      </c>
      <c r="H2220" s="68" t="inlineStr">
        <is>
          <t>灯具主材-厨房</t>
        </is>
      </c>
      <c r="I2220" s="69" t="inlineStr">
        <is>
          <t>1000021529</t>
        </is>
      </c>
      <c r="J2220" s="69" t="inlineStr">
        <is>
          <t>PHILIPS深照型圆形LED灯筒灯灯具  L4</t>
        </is>
      </c>
      <c r="K2220" s="70" t="n"/>
      <c r="L2220" s="70" t="n"/>
      <c r="M2220" s="71" t="inlineStr">
        <is>
          <t>个</t>
        </is>
      </c>
      <c r="N2220" s="72" t="n">
        <v>134.4</v>
      </c>
      <c r="O2220" s="72">
        <f>ROUND(N2220*(1+$F$10),2)</f>
        <v/>
      </c>
      <c r="P2220" s="73">
        <f>ROUND(K2220*N2220,2)</f>
        <v/>
      </c>
      <c r="Q2220" s="74">
        <f>ROUND(L2220*N2220,2)</f>
        <v/>
      </c>
      <c r="R2220" s="75" t="n"/>
      <c r="S2220" s="76" t="n"/>
      <c r="T2220" s="77">
        <f>K2220-L2220</f>
        <v/>
      </c>
      <c r="U2220" s="77">
        <f>P2220-Q2220</f>
        <v/>
      </c>
      <c r="V2220" s="77">
        <f>ABS(U2220)</f>
        <v/>
      </c>
      <c r="W2220" s="78">
        <f>T2220/L2220</f>
        <v/>
      </c>
      <c r="X2220" s="79">
        <f>ABS(W2220)</f>
        <v/>
      </c>
    </row>
    <row r="2221" ht="11.4" customHeight="1">
      <c r="A2221" s="67" t="inlineStr">
        <is>
          <t>大甜71</t>
        </is>
      </c>
      <c r="B2221" s="67" t="inlineStr">
        <is>
          <t>1069</t>
        </is>
      </c>
      <c r="C2221" s="67" t="inlineStr">
        <is>
          <t>1646</t>
        </is>
      </c>
      <c r="D2221" s="68" t="inlineStr">
        <is>
          <t>03</t>
        </is>
      </c>
      <c r="E2221" s="68" t="inlineStr">
        <is>
          <t>6 物业施工费</t>
        </is>
      </c>
      <c r="F2221" s="68" t="inlineStr">
        <is>
          <t>6.1 总承包工程</t>
        </is>
      </c>
      <c r="G2221" s="68" t="inlineStr">
        <is>
          <t>6.1.2A 电气工程-灯具主材</t>
        </is>
      </c>
      <c r="H2221" s="68" t="inlineStr">
        <is>
          <t>灯具主材-厨房</t>
        </is>
      </c>
      <c r="I2221" s="69" t="inlineStr">
        <is>
          <t>1000021531</t>
        </is>
      </c>
      <c r="J2221" s="69" t="inlineStr">
        <is>
          <t>PHILIPS圆形嵌入式 LED 筒灯  L5</t>
        </is>
      </c>
      <c r="K2221" s="70" t="n"/>
      <c r="L2221" s="70" t="n"/>
      <c r="M2221" s="71" t="inlineStr">
        <is>
          <t>个</t>
        </is>
      </c>
      <c r="N2221" s="72" t="n">
        <v>152.56</v>
      </c>
      <c r="O2221" s="72">
        <f>ROUND(N2221*(1+$F$10),2)</f>
        <v/>
      </c>
      <c r="P2221" s="73">
        <f>ROUND(K2221*N2221,2)</f>
        <v/>
      </c>
      <c r="Q2221" s="74">
        <f>ROUND(L2221*N2221,2)</f>
        <v/>
      </c>
      <c r="R2221" s="75" t="n"/>
      <c r="S2221" s="76" t="n"/>
      <c r="T2221" s="77">
        <f>K2221-L2221</f>
        <v/>
      </c>
      <c r="U2221" s="77">
        <f>P2221-Q2221</f>
        <v/>
      </c>
      <c r="V2221" s="77">
        <f>ABS(U2221)</f>
        <v/>
      </c>
      <c r="W2221" s="78">
        <f>T2221/L2221</f>
        <v/>
      </c>
      <c r="X2221" s="79">
        <f>ABS(W2221)</f>
        <v/>
      </c>
    </row>
    <row r="2222" ht="11.4" customHeight="1">
      <c r="A2222" s="67" t="inlineStr">
        <is>
          <t>大甜71</t>
        </is>
      </c>
      <c r="B2222" s="67" t="inlineStr">
        <is>
          <t>1069</t>
        </is>
      </c>
      <c r="C2222" s="67" t="inlineStr">
        <is>
          <t>1646</t>
        </is>
      </c>
      <c r="D2222" s="68" t="inlineStr">
        <is>
          <t>03</t>
        </is>
      </c>
      <c r="E2222" s="68" t="inlineStr">
        <is>
          <t>6 物业施工费</t>
        </is>
      </c>
      <c r="F2222" s="68" t="inlineStr">
        <is>
          <t>6.1 总承包工程</t>
        </is>
      </c>
      <c r="G2222" s="68" t="inlineStr">
        <is>
          <t>6.1.2A 电气工程-灯具主材</t>
        </is>
      </c>
      <c r="H2222" s="68" t="inlineStr">
        <is>
          <t>灯具主材-厨房</t>
        </is>
      </c>
      <c r="I2222" s="69" t="inlineStr">
        <is>
          <t>1000021532</t>
        </is>
      </c>
      <c r="J2222" s="69" t="inlineStr">
        <is>
          <t>PHILIPS方形嵌入式 LED 筒灯  L5</t>
        </is>
      </c>
      <c r="K2222" s="70" t="n"/>
      <c r="L2222" s="70" t="n"/>
      <c r="M2222" s="71" t="inlineStr">
        <is>
          <t>个</t>
        </is>
      </c>
      <c r="N2222" s="72" t="n">
        <v>222.6</v>
      </c>
      <c r="O2222" s="72">
        <f>ROUND(N2222*(1+$F$10),2)</f>
        <v/>
      </c>
      <c r="P2222" s="73">
        <f>ROUND(K2222*N2222,2)</f>
        <v/>
      </c>
      <c r="Q2222" s="74">
        <f>ROUND(L2222*N2222,2)</f>
        <v/>
      </c>
      <c r="R2222" s="75" t="n"/>
      <c r="S2222" s="76" t="n"/>
      <c r="T2222" s="77">
        <f>K2222-L2222</f>
        <v/>
      </c>
      <c r="U2222" s="77">
        <f>P2222-Q2222</f>
        <v/>
      </c>
      <c r="V2222" s="77">
        <f>ABS(U2222)</f>
        <v/>
      </c>
      <c r="W2222" s="78">
        <f>T2222/L2222</f>
        <v/>
      </c>
      <c r="X2222" s="79">
        <f>ABS(W2222)</f>
        <v/>
      </c>
    </row>
    <row r="2223" ht="11.4" customHeight="1">
      <c r="A2223" s="67" t="inlineStr">
        <is>
          <t>大甜71</t>
        </is>
      </c>
      <c r="B2223" s="67" t="inlineStr">
        <is>
          <t>1069</t>
        </is>
      </c>
      <c r="C2223" s="67" t="inlineStr">
        <is>
          <t>1646</t>
        </is>
      </c>
      <c r="D2223" s="68" t="inlineStr">
        <is>
          <t>03</t>
        </is>
      </c>
      <c r="E2223" s="68" t="inlineStr">
        <is>
          <t>6 物业施工费</t>
        </is>
      </c>
      <c r="F2223" s="68" t="inlineStr">
        <is>
          <t>6.1 总承包工程</t>
        </is>
      </c>
      <c r="G2223" s="68" t="inlineStr">
        <is>
          <t>6.1.2A 电气工程-灯具主材</t>
        </is>
      </c>
      <c r="H2223" s="68" t="inlineStr">
        <is>
          <t>灯具主材-厨房</t>
        </is>
      </c>
      <c r="I2223" s="69" t="inlineStr">
        <is>
          <t>1000021530</t>
        </is>
      </c>
      <c r="J2223" s="69" t="inlineStr">
        <is>
          <t>PHILIPS圆形嵌入式 LED 防尘防水筒灯  L6</t>
        </is>
      </c>
      <c r="K2223" s="70" t="n"/>
      <c r="L2223" s="70" t="n"/>
      <c r="M2223" s="71" t="inlineStr">
        <is>
          <t>个</t>
        </is>
      </c>
      <c r="N2223" s="72" t="n">
        <v>86.09999999999999</v>
      </c>
      <c r="O2223" s="72">
        <f>ROUND(N2223*(1+$F$10),2)</f>
        <v/>
      </c>
      <c r="P2223" s="73">
        <f>ROUND(K2223*N2223,2)</f>
        <v/>
      </c>
      <c r="Q2223" s="74">
        <f>ROUND(L2223*N2223,2)</f>
        <v/>
      </c>
      <c r="R2223" s="75" t="n"/>
      <c r="S2223" s="76" t="n"/>
      <c r="T2223" s="77">
        <f>K2223-L2223</f>
        <v/>
      </c>
      <c r="U2223" s="77">
        <f>P2223-Q2223</f>
        <v/>
      </c>
      <c r="V2223" s="77">
        <f>ABS(U2223)</f>
        <v/>
      </c>
      <c r="W2223" s="78">
        <f>T2223/L2223</f>
        <v/>
      </c>
      <c r="X2223" s="79">
        <f>ABS(W2223)</f>
        <v/>
      </c>
    </row>
    <row r="2224" ht="11.4" customHeight="1">
      <c r="A2224" s="67" t="inlineStr">
        <is>
          <t>大甜71</t>
        </is>
      </c>
      <c r="B2224" s="67" t="inlineStr">
        <is>
          <t>1069</t>
        </is>
      </c>
      <c r="C2224" s="67" t="inlineStr">
        <is>
          <t>1646</t>
        </is>
      </c>
      <c r="D2224" s="68" t="inlineStr">
        <is>
          <t>03</t>
        </is>
      </c>
      <c r="E2224" s="68" t="inlineStr">
        <is>
          <t>6 物业施工费</t>
        </is>
      </c>
      <c r="F2224" s="68" t="inlineStr">
        <is>
          <t>6.1 总承包工程</t>
        </is>
      </c>
      <c r="G2224" s="68" t="inlineStr">
        <is>
          <t>6.1.2A 电气工程-灯具主材</t>
        </is>
      </c>
      <c r="H2224" s="68" t="inlineStr">
        <is>
          <t>灯具主材-厨房</t>
        </is>
      </c>
      <c r="I2224" s="69" t="inlineStr">
        <is>
          <t>1000021533</t>
        </is>
      </c>
      <c r="J2224" s="69" t="inlineStr">
        <is>
          <t>PHILIPS600*600mm嵌入式LED灯盘  L7（0-Base）</t>
        </is>
      </c>
      <c r="K2224" s="70" t="n"/>
      <c r="L2224" s="70" t="n"/>
      <c r="M2224" s="71" t="inlineStr">
        <is>
          <t>个</t>
        </is>
      </c>
      <c r="N2224" s="72" t="n">
        <v>190.05</v>
      </c>
      <c r="O2224" s="72">
        <f>ROUND(N2224*(1+$F$10),2)</f>
        <v/>
      </c>
      <c r="P2224" s="73">
        <f>ROUND(K2224*N2224,2)</f>
        <v/>
      </c>
      <c r="Q2224" s="74">
        <f>ROUND(L2224*N2224,2)</f>
        <v/>
      </c>
      <c r="R2224" s="75" t="n"/>
      <c r="S2224" s="76" t="n"/>
      <c r="T2224" s="77">
        <f>K2224-L2224</f>
        <v/>
      </c>
      <c r="U2224" s="77">
        <f>P2224-Q2224</f>
        <v/>
      </c>
      <c r="V2224" s="77">
        <f>ABS(U2224)</f>
        <v/>
      </c>
      <c r="W2224" s="78">
        <f>T2224/L2224</f>
        <v/>
      </c>
      <c r="X2224" s="79">
        <f>ABS(W2224)</f>
        <v/>
      </c>
    </row>
    <row r="2225" ht="11.4" customHeight="1">
      <c r="A2225" s="67" t="inlineStr">
        <is>
          <t>大甜71</t>
        </is>
      </c>
      <c r="B2225" s="67" t="inlineStr">
        <is>
          <t>1069</t>
        </is>
      </c>
      <c r="C2225" s="67" t="inlineStr">
        <is>
          <t>1646</t>
        </is>
      </c>
      <c r="D2225" s="68" t="inlineStr">
        <is>
          <t>03</t>
        </is>
      </c>
      <c r="E2225" s="68" t="inlineStr">
        <is>
          <t>6 物业施工费</t>
        </is>
      </c>
      <c r="F2225" s="68" t="inlineStr">
        <is>
          <t>6.1 总承包工程</t>
        </is>
      </c>
      <c r="G2225" s="68" t="inlineStr">
        <is>
          <t>6.1.2A 电气工程-灯具主材</t>
        </is>
      </c>
      <c r="H2225" s="68" t="inlineStr">
        <is>
          <t>灯具主材-厨房</t>
        </is>
      </c>
      <c r="I2225" s="69" t="inlineStr">
        <is>
          <t>1000021534</t>
        </is>
      </c>
      <c r="J2225" s="69" t="inlineStr">
        <is>
          <t>PHILIPS600*600mm嵌入式LED灯盘  L7（Minimal等）</t>
        </is>
      </c>
      <c r="K2225" s="70" t="n"/>
      <c r="L2225" s="70" t="n"/>
      <c r="M2225" s="71" t="inlineStr">
        <is>
          <t>个</t>
        </is>
      </c>
      <c r="N2225" s="72" t="n">
        <v>190.05</v>
      </c>
      <c r="O2225" s="72">
        <f>ROUND(N2225*(1+$F$10),2)</f>
        <v/>
      </c>
      <c r="P2225" s="73">
        <f>ROUND(K2225*N2225,2)</f>
        <v/>
      </c>
      <c r="Q2225" s="74">
        <f>ROUND(L2225*N2225,2)</f>
        <v/>
      </c>
      <c r="R2225" s="75" t="n"/>
      <c r="S2225" s="76" t="n"/>
      <c r="T2225" s="77">
        <f>K2225-L2225</f>
        <v/>
      </c>
      <c r="U2225" s="77">
        <f>P2225-Q2225</f>
        <v/>
      </c>
      <c r="V2225" s="77">
        <f>ABS(U2225)</f>
        <v/>
      </c>
      <c r="W2225" s="78">
        <f>T2225/L2225</f>
        <v/>
      </c>
      <c r="X2225" s="79">
        <f>ABS(W2225)</f>
        <v/>
      </c>
    </row>
    <row r="2226" ht="11.4" customHeight="1">
      <c r="A2226" s="67" t="inlineStr">
        <is>
          <t>大甜71</t>
        </is>
      </c>
      <c r="B2226" s="67" t="inlineStr">
        <is>
          <t>1069</t>
        </is>
      </c>
      <c r="C2226" s="67" t="inlineStr">
        <is>
          <t>1646</t>
        </is>
      </c>
      <c r="D2226" s="68" t="inlineStr">
        <is>
          <t>03</t>
        </is>
      </c>
      <c r="E2226" s="68" t="inlineStr">
        <is>
          <t>6 物业施工费</t>
        </is>
      </c>
      <c r="F2226" s="68" t="inlineStr">
        <is>
          <t>6.1 总承包工程</t>
        </is>
      </c>
      <c r="G2226" s="68" t="inlineStr">
        <is>
          <t>6.1.2A 电气工程-灯具主材</t>
        </is>
      </c>
      <c r="H2226" s="68" t="inlineStr">
        <is>
          <t>灯具主材-厨房</t>
        </is>
      </c>
      <c r="I2226" s="69" t="inlineStr">
        <is>
          <t>1000021535</t>
        </is>
      </c>
      <c r="J2226" s="69" t="inlineStr">
        <is>
          <t>PHILIPS1200mm 带罩LED支架灯  L8</t>
        </is>
      </c>
      <c r="K2226" s="70" t="n"/>
      <c r="L2226" s="70" t="n"/>
      <c r="M2226" s="71" t="inlineStr">
        <is>
          <t>个</t>
        </is>
      </c>
      <c r="N2226" s="72" t="n">
        <v>194.25</v>
      </c>
      <c r="O2226" s="72">
        <f>ROUND(N2226*(1+$F$10),2)</f>
        <v/>
      </c>
      <c r="P2226" s="73">
        <f>ROUND(K2226*N2226,2)</f>
        <v/>
      </c>
      <c r="Q2226" s="74">
        <f>ROUND(L2226*N2226,2)</f>
        <v/>
      </c>
      <c r="R2226" s="75" t="n"/>
      <c r="S2226" s="76" t="n"/>
      <c r="T2226" s="77">
        <f>K2226-L2226</f>
        <v/>
      </c>
      <c r="U2226" s="77">
        <f>P2226-Q2226</f>
        <v/>
      </c>
      <c r="V2226" s="77">
        <f>ABS(U2226)</f>
        <v/>
      </c>
      <c r="W2226" s="78">
        <f>T2226/L2226</f>
        <v/>
      </c>
      <c r="X2226" s="79">
        <f>ABS(W2226)</f>
        <v/>
      </c>
    </row>
    <row r="2227" ht="11.4" customHeight="1">
      <c r="A2227" s="67" t="inlineStr">
        <is>
          <t>大甜71</t>
        </is>
      </c>
      <c r="B2227" s="67" t="inlineStr">
        <is>
          <t>1069</t>
        </is>
      </c>
      <c r="C2227" s="67" t="inlineStr">
        <is>
          <t>1646</t>
        </is>
      </c>
      <c r="D2227" s="68" t="inlineStr">
        <is>
          <t>03</t>
        </is>
      </c>
      <c r="E2227" s="68" t="inlineStr">
        <is>
          <t>6 物业施工费</t>
        </is>
      </c>
      <c r="F2227" s="68" t="inlineStr">
        <is>
          <t>6.1 总承包工程</t>
        </is>
      </c>
      <c r="G2227" s="68" t="inlineStr">
        <is>
          <t>6.1.2A 电气工程-灯具主材</t>
        </is>
      </c>
      <c r="H2227" s="68" t="inlineStr">
        <is>
          <t>灯具主材-厨房</t>
        </is>
      </c>
      <c r="I2227" s="69" t="inlineStr">
        <is>
          <t>1000021575</t>
        </is>
      </c>
      <c r="J2227" s="69" t="inlineStr">
        <is>
          <t>PHILIPS圆形嵌入式射灯 L2-E/L5-E</t>
        </is>
      </c>
      <c r="K2227" s="70" t="n"/>
      <c r="L2227" s="70" t="n"/>
      <c r="M2227" s="71" t="inlineStr">
        <is>
          <t>个</t>
        </is>
      </c>
      <c r="N2227" s="72" t="n">
        <v>176.4</v>
      </c>
      <c r="O2227" s="72">
        <f>ROUND(N2227*(1+$F$10),2)</f>
        <v/>
      </c>
      <c r="P2227" s="73">
        <f>ROUND(K2227*N2227,2)</f>
        <v/>
      </c>
      <c r="Q2227" s="74">
        <f>ROUND(L2227*N2227,2)</f>
        <v/>
      </c>
      <c r="R2227" s="75" t="n"/>
      <c r="S2227" s="76" t="n"/>
      <c r="T2227" s="77">
        <f>K2227-L2227</f>
        <v/>
      </c>
      <c r="U2227" s="77">
        <f>P2227-Q2227</f>
        <v/>
      </c>
      <c r="V2227" s="77">
        <f>ABS(U2227)</f>
        <v/>
      </c>
      <c r="W2227" s="78">
        <f>T2227/L2227</f>
        <v/>
      </c>
      <c r="X2227" s="79">
        <f>ABS(W2227)</f>
        <v/>
      </c>
    </row>
    <row r="2228" ht="11.4" customHeight="1">
      <c r="A2228" s="67" t="inlineStr">
        <is>
          <t>大甜71</t>
        </is>
      </c>
      <c r="B2228" s="67" t="inlineStr">
        <is>
          <t>1069</t>
        </is>
      </c>
      <c r="C2228" s="67" t="inlineStr">
        <is>
          <t>1646</t>
        </is>
      </c>
      <c r="D2228" s="68" t="inlineStr">
        <is>
          <t>03</t>
        </is>
      </c>
      <c r="E2228" s="68" t="inlineStr">
        <is>
          <t>6 物业施工费</t>
        </is>
      </c>
      <c r="F2228" s="68" t="inlineStr">
        <is>
          <t>6.1 总承包工程</t>
        </is>
      </c>
      <c r="G2228" s="68" t="inlineStr">
        <is>
          <t>6.1.2A 电气工程-灯具主材</t>
        </is>
      </c>
      <c r="H2228" s="68" t="inlineStr">
        <is>
          <t>灯具主材-厨房</t>
        </is>
      </c>
      <c r="I2228" s="69" t="inlineStr">
        <is>
          <t>1000021571</t>
        </is>
      </c>
      <c r="J2228" s="69" t="inlineStr">
        <is>
          <t>OSRAM LED 5W应急灯具90分钟E</t>
        </is>
      </c>
      <c r="K2228" s="70" t="n"/>
      <c r="L2228" s="70" t="n"/>
      <c r="M2228" s="71" t="inlineStr">
        <is>
          <t>个</t>
        </is>
      </c>
      <c r="N2228" s="72" t="n">
        <v>92.40000000000001</v>
      </c>
      <c r="O2228" s="72">
        <f>ROUND(N2228*(1+$F$10),2)</f>
        <v/>
      </c>
      <c r="P2228" s="73">
        <f>ROUND(K2228*N2228,2)</f>
        <v/>
      </c>
      <c r="Q2228" s="74">
        <f>ROUND(L2228*N2228,2)</f>
        <v/>
      </c>
      <c r="R2228" s="75" t="n"/>
      <c r="S2228" s="76" t="n"/>
      <c r="T2228" s="77">
        <f>K2228-L2228</f>
        <v/>
      </c>
      <c r="U2228" s="77">
        <f>P2228-Q2228</f>
        <v/>
      </c>
      <c r="V2228" s="77">
        <f>ABS(U2228)</f>
        <v/>
      </c>
      <c r="W2228" s="78">
        <f>T2228/L2228</f>
        <v/>
      </c>
      <c r="X2228" s="79">
        <f>ABS(W2228)</f>
        <v/>
      </c>
    </row>
    <row r="2229" ht="11.4" customHeight="1">
      <c r="A2229" s="67" t="inlineStr">
        <is>
          <t>大甜71</t>
        </is>
      </c>
      <c r="B2229" s="67" t="inlineStr">
        <is>
          <t>1069</t>
        </is>
      </c>
      <c r="C2229" s="67" t="inlineStr">
        <is>
          <t>1646</t>
        </is>
      </c>
      <c r="D2229" s="68" t="inlineStr">
        <is>
          <t>03</t>
        </is>
      </c>
      <c r="E2229" s="68" t="inlineStr">
        <is>
          <t>6 物业施工费</t>
        </is>
      </c>
      <c r="F2229" s="68" t="inlineStr">
        <is>
          <t>6.1 总承包工程</t>
        </is>
      </c>
      <c r="G2229" s="68" t="inlineStr">
        <is>
          <t>6.1.2A 电气工程-灯具主材</t>
        </is>
      </c>
      <c r="H2229" s="68" t="inlineStr">
        <is>
          <t>灯具主材-厨房</t>
        </is>
      </c>
      <c r="I2229" s="69" t="inlineStr">
        <is>
          <t>1000021554</t>
        </is>
      </c>
      <c r="J2229" s="69" t="inlineStr">
        <is>
          <t>OSRAM方形LED灯筒灯灯具  L1</t>
        </is>
      </c>
      <c r="K2229" s="70" t="n"/>
      <c r="L2229" s="70" t="n"/>
      <c r="M2229" s="71" t="inlineStr">
        <is>
          <t>个</t>
        </is>
      </c>
      <c r="N2229" s="72" t="n">
        <v>111.3</v>
      </c>
      <c r="O2229" s="72">
        <f>ROUND(N2229*(1+$F$10),2)</f>
        <v/>
      </c>
      <c r="P2229" s="73">
        <f>ROUND(K2229*N2229,2)</f>
        <v/>
      </c>
      <c r="Q2229" s="74">
        <f>ROUND(L2229*N2229,2)</f>
        <v/>
      </c>
      <c r="R2229" s="75" t="n"/>
      <c r="S2229" s="76" t="n"/>
      <c r="T2229" s="77">
        <f>K2229-L2229</f>
        <v/>
      </c>
      <c r="U2229" s="77">
        <f>P2229-Q2229</f>
        <v/>
      </c>
      <c r="V2229" s="77">
        <f>ABS(U2229)</f>
        <v/>
      </c>
      <c r="W2229" s="78">
        <f>T2229/L2229</f>
        <v/>
      </c>
      <c r="X2229" s="79">
        <f>ABS(W2229)</f>
        <v/>
      </c>
    </row>
    <row r="2230" ht="11.4" customHeight="1">
      <c r="A2230" s="67" t="inlineStr">
        <is>
          <t>大甜71</t>
        </is>
      </c>
      <c r="B2230" s="67" t="inlineStr">
        <is>
          <t>1069</t>
        </is>
      </c>
      <c r="C2230" s="67" t="inlineStr">
        <is>
          <t>1646</t>
        </is>
      </c>
      <c r="D2230" s="68" t="inlineStr">
        <is>
          <t>03</t>
        </is>
      </c>
      <c r="E2230" s="68" t="inlineStr">
        <is>
          <t>6 物业施工费</t>
        </is>
      </c>
      <c r="F2230" s="68" t="inlineStr">
        <is>
          <t>6.1 总承包工程</t>
        </is>
      </c>
      <c r="G2230" s="68" t="inlineStr">
        <is>
          <t>6.1.2A 电气工程-灯具主材</t>
        </is>
      </c>
      <c r="H2230" s="68" t="inlineStr">
        <is>
          <t>灯具主材-厨房</t>
        </is>
      </c>
      <c r="I2230" s="69" t="inlineStr">
        <is>
          <t>1000021555</t>
        </is>
      </c>
      <c r="J2230" s="69" t="inlineStr">
        <is>
          <t>OSRAM双头方形LED灯筒灯灯具  L2</t>
        </is>
      </c>
      <c r="K2230" s="70" t="n"/>
      <c r="L2230" s="70" t="n"/>
      <c r="M2230" s="71" t="inlineStr">
        <is>
          <t>个</t>
        </is>
      </c>
      <c r="N2230" s="72" t="n">
        <v>181.65</v>
      </c>
      <c r="O2230" s="72">
        <f>ROUND(N2230*(1+$F$10),2)</f>
        <v/>
      </c>
      <c r="P2230" s="73">
        <f>ROUND(K2230*N2230,2)</f>
        <v/>
      </c>
      <c r="Q2230" s="74">
        <f>ROUND(L2230*N2230,2)</f>
        <v/>
      </c>
      <c r="R2230" s="75" t="n"/>
      <c r="S2230" s="76" t="n"/>
      <c r="T2230" s="77">
        <f>K2230-L2230</f>
        <v/>
      </c>
      <c r="U2230" s="77">
        <f>P2230-Q2230</f>
        <v/>
      </c>
      <c r="V2230" s="77">
        <f>ABS(U2230)</f>
        <v/>
      </c>
      <c r="W2230" s="78">
        <f>T2230/L2230</f>
        <v/>
      </c>
      <c r="X2230" s="79">
        <f>ABS(W2230)</f>
        <v/>
      </c>
    </row>
    <row r="2231" ht="11.4" customHeight="1">
      <c r="A2231" s="67" t="inlineStr">
        <is>
          <t>大甜71</t>
        </is>
      </c>
      <c r="B2231" s="67" t="inlineStr">
        <is>
          <t>1069</t>
        </is>
      </c>
      <c r="C2231" s="67" t="inlineStr">
        <is>
          <t>1646</t>
        </is>
      </c>
      <c r="D2231" s="68" t="inlineStr">
        <is>
          <t>03</t>
        </is>
      </c>
      <c r="E2231" s="68" t="inlineStr">
        <is>
          <t>6 物业施工费</t>
        </is>
      </c>
      <c r="F2231" s="68" t="inlineStr">
        <is>
          <t>6.1 总承包工程</t>
        </is>
      </c>
      <c r="G2231" s="68" t="inlineStr">
        <is>
          <t>6.1.2A 电气工程-灯具主材</t>
        </is>
      </c>
      <c r="H2231" s="68" t="inlineStr">
        <is>
          <t>灯具主材-厨房</t>
        </is>
      </c>
      <c r="I2231" s="69" t="inlineStr">
        <is>
          <t>1000021567</t>
        </is>
      </c>
      <c r="J2231" s="69" t="inlineStr">
        <is>
          <t>OSRAM方形嵌入式LED射灯28W  L3</t>
        </is>
      </c>
      <c r="K2231" s="70" t="n"/>
      <c r="L2231" s="70" t="n"/>
      <c r="M2231" s="71" t="inlineStr">
        <is>
          <t>个</t>
        </is>
      </c>
      <c r="N2231" s="72" t="n">
        <v>198.45</v>
      </c>
      <c r="O2231" s="72">
        <f>ROUND(N2231*(1+$F$10),2)</f>
        <v/>
      </c>
      <c r="P2231" s="73">
        <f>ROUND(K2231*N2231,2)</f>
        <v/>
      </c>
      <c r="Q2231" s="74">
        <f>ROUND(L2231*N2231,2)</f>
        <v/>
      </c>
      <c r="R2231" s="75" t="n"/>
      <c r="S2231" s="76" t="n"/>
      <c r="T2231" s="77">
        <f>K2231-L2231</f>
        <v/>
      </c>
      <c r="U2231" s="77">
        <f>P2231-Q2231</f>
        <v/>
      </c>
      <c r="V2231" s="77">
        <f>ABS(U2231)</f>
        <v/>
      </c>
      <c r="W2231" s="78">
        <f>T2231/L2231</f>
        <v/>
      </c>
      <c r="X2231" s="79">
        <f>ABS(W2231)</f>
        <v/>
      </c>
    </row>
    <row r="2232" ht="11.4" customHeight="1">
      <c r="A2232" s="67" t="inlineStr">
        <is>
          <t>大甜71</t>
        </is>
      </c>
      <c r="B2232" s="67" t="inlineStr">
        <is>
          <t>1069</t>
        </is>
      </c>
      <c r="C2232" s="67" t="inlineStr">
        <is>
          <t>1646</t>
        </is>
      </c>
      <c r="D2232" s="68" t="inlineStr">
        <is>
          <t>03</t>
        </is>
      </c>
      <c r="E2232" s="68" t="inlineStr">
        <is>
          <t>6 物业施工费</t>
        </is>
      </c>
      <c r="F2232" s="68" t="inlineStr">
        <is>
          <t>6.1 总承包工程</t>
        </is>
      </c>
      <c r="G2232" s="68" t="inlineStr">
        <is>
          <t>6.1.2A 电气工程-灯具主材</t>
        </is>
      </c>
      <c r="H2232" s="68" t="inlineStr">
        <is>
          <t>灯具主材-厨房</t>
        </is>
      </c>
      <c r="I2232" s="69" t="inlineStr">
        <is>
          <t>1000021556</t>
        </is>
      </c>
      <c r="J2232" s="69" t="inlineStr">
        <is>
          <t>OSRAM深照型圆形LED灯筒灯灯具  L4</t>
        </is>
      </c>
      <c r="K2232" s="70" t="n"/>
      <c r="L2232" s="70" t="n"/>
      <c r="M2232" s="71" t="inlineStr">
        <is>
          <t>个</t>
        </is>
      </c>
      <c r="N2232" s="72" t="n">
        <v>113.4</v>
      </c>
      <c r="O2232" s="72">
        <f>ROUND(N2232*(1+$F$10),2)</f>
        <v/>
      </c>
      <c r="P2232" s="73">
        <f>ROUND(K2232*N2232,2)</f>
        <v/>
      </c>
      <c r="Q2232" s="74">
        <f>ROUND(L2232*N2232,2)</f>
        <v/>
      </c>
      <c r="R2232" s="75" t="n"/>
      <c r="S2232" s="76" t="n"/>
      <c r="T2232" s="77">
        <f>K2232-L2232</f>
        <v/>
      </c>
      <c r="U2232" s="77">
        <f>P2232-Q2232</f>
        <v/>
      </c>
      <c r="V2232" s="77">
        <f>ABS(U2232)</f>
        <v/>
      </c>
      <c r="W2232" s="78">
        <f>T2232/L2232</f>
        <v/>
      </c>
      <c r="X2232" s="79">
        <f>ABS(W2232)</f>
        <v/>
      </c>
    </row>
    <row r="2233" ht="11.4" customHeight="1">
      <c r="A2233" s="67" t="inlineStr">
        <is>
          <t>大甜71</t>
        </is>
      </c>
      <c r="B2233" s="67" t="inlineStr">
        <is>
          <t>1069</t>
        </is>
      </c>
      <c r="C2233" s="67" t="inlineStr">
        <is>
          <t>1646</t>
        </is>
      </c>
      <c r="D2233" s="68" t="inlineStr">
        <is>
          <t>03</t>
        </is>
      </c>
      <c r="E2233" s="68" t="inlineStr">
        <is>
          <t>6 物业施工费</t>
        </is>
      </c>
      <c r="F2233" s="68" t="inlineStr">
        <is>
          <t>6.1 总承包工程</t>
        </is>
      </c>
      <c r="G2233" s="68" t="inlineStr">
        <is>
          <t>6.1.2A 电气工程-灯具主材</t>
        </is>
      </c>
      <c r="H2233" s="68" t="inlineStr">
        <is>
          <t>灯具主材-厨房</t>
        </is>
      </c>
      <c r="I2233" s="69" t="inlineStr">
        <is>
          <t>1000021557</t>
        </is>
      </c>
      <c r="J2233" s="69" t="inlineStr">
        <is>
          <t>OSRAM圆形嵌入式 LED 筒灯  L5</t>
        </is>
      </c>
      <c r="K2233" s="70" t="n"/>
      <c r="L2233" s="70" t="n"/>
      <c r="M2233" s="71" t="inlineStr">
        <is>
          <t>个</t>
        </is>
      </c>
      <c r="N2233" s="72" t="n">
        <v>152.56</v>
      </c>
      <c r="O2233" s="72">
        <f>ROUND(N2233*(1+$F$10),2)</f>
        <v/>
      </c>
      <c r="P2233" s="73">
        <f>ROUND(K2233*N2233,2)</f>
        <v/>
      </c>
      <c r="Q2233" s="74">
        <f>ROUND(L2233*N2233,2)</f>
        <v/>
      </c>
      <c r="R2233" s="75" t="n"/>
      <c r="S2233" s="76" t="n"/>
      <c r="T2233" s="77">
        <f>K2233-L2233</f>
        <v/>
      </c>
      <c r="U2233" s="77">
        <f>P2233-Q2233</f>
        <v/>
      </c>
      <c r="V2233" s="77">
        <f>ABS(U2233)</f>
        <v/>
      </c>
      <c r="W2233" s="78">
        <f>T2233/L2233</f>
        <v/>
      </c>
      <c r="X2233" s="79">
        <f>ABS(W2233)</f>
        <v/>
      </c>
    </row>
    <row r="2234" ht="11.4" customHeight="1">
      <c r="A2234" s="67" t="inlineStr">
        <is>
          <t>大甜71</t>
        </is>
      </c>
      <c r="B2234" s="67" t="inlineStr">
        <is>
          <t>1069</t>
        </is>
      </c>
      <c r="C2234" s="67" t="inlineStr">
        <is>
          <t>1646</t>
        </is>
      </c>
      <c r="D2234" s="68" t="inlineStr">
        <is>
          <t>03</t>
        </is>
      </c>
      <c r="E2234" s="68" t="inlineStr">
        <is>
          <t>6 物业施工费</t>
        </is>
      </c>
      <c r="F2234" s="68" t="inlineStr">
        <is>
          <t>6.1 总承包工程</t>
        </is>
      </c>
      <c r="G2234" s="68" t="inlineStr">
        <is>
          <t>6.1.2A 电气工程-灯具主材</t>
        </is>
      </c>
      <c r="H2234" s="68" t="inlineStr">
        <is>
          <t>灯具主材-厨房</t>
        </is>
      </c>
      <c r="I2234" s="69" t="inlineStr">
        <is>
          <t>1000021565</t>
        </is>
      </c>
      <c r="J2234" s="69" t="inlineStr">
        <is>
          <t>OSRAM方形嵌入式 LED 筒灯  L5</t>
        </is>
      </c>
      <c r="K2234" s="70" t="n"/>
      <c r="L2234" s="70" t="n"/>
      <c r="M2234" s="71" t="inlineStr">
        <is>
          <t>个</t>
        </is>
      </c>
      <c r="N2234" s="72" t="n">
        <v>184.8</v>
      </c>
      <c r="O2234" s="72">
        <f>ROUND(N2234*(1+$F$10),2)</f>
        <v/>
      </c>
      <c r="P2234" s="73">
        <f>ROUND(K2234*N2234,2)</f>
        <v/>
      </c>
      <c r="Q2234" s="74">
        <f>ROUND(L2234*N2234,2)</f>
        <v/>
      </c>
      <c r="R2234" s="75" t="n"/>
      <c r="S2234" s="76" t="n"/>
      <c r="T2234" s="77">
        <f>K2234-L2234</f>
        <v/>
      </c>
      <c r="U2234" s="77">
        <f>P2234-Q2234</f>
        <v/>
      </c>
      <c r="V2234" s="77">
        <f>ABS(U2234)</f>
        <v/>
      </c>
      <c r="W2234" s="78">
        <f>T2234/L2234</f>
        <v/>
      </c>
      <c r="X2234" s="79">
        <f>ABS(W2234)</f>
        <v/>
      </c>
    </row>
    <row r="2235" ht="11.4" customHeight="1">
      <c r="A2235" s="67" t="inlineStr">
        <is>
          <t>大甜71</t>
        </is>
      </c>
      <c r="B2235" s="67" t="inlineStr">
        <is>
          <t>1069</t>
        </is>
      </c>
      <c r="C2235" s="67" t="inlineStr">
        <is>
          <t>1646</t>
        </is>
      </c>
      <c r="D2235" s="68" t="inlineStr">
        <is>
          <t>03</t>
        </is>
      </c>
      <c r="E2235" s="68" t="inlineStr">
        <is>
          <t>6 物业施工费</t>
        </is>
      </c>
      <c r="F2235" s="68" t="inlineStr">
        <is>
          <t>6.1 总承包工程</t>
        </is>
      </c>
      <c r="G2235" s="68" t="inlineStr">
        <is>
          <t>6.1.2A 电气工程-灯具主材</t>
        </is>
      </c>
      <c r="H2235" s="68" t="inlineStr">
        <is>
          <t>灯具主材-厨房</t>
        </is>
      </c>
      <c r="I2235" s="69" t="inlineStr">
        <is>
          <t>1000021560</t>
        </is>
      </c>
      <c r="J2235" s="69" t="inlineStr">
        <is>
          <t>OSRAM圆形嵌入式 LED 防尘防水筒灯  L6</t>
        </is>
      </c>
      <c r="K2235" s="70" t="n"/>
      <c r="L2235" s="70" t="n"/>
      <c r="M2235" s="71" t="inlineStr">
        <is>
          <t>个</t>
        </is>
      </c>
      <c r="N2235" s="72" t="n">
        <v>89.25</v>
      </c>
      <c r="O2235" s="72">
        <f>ROUND(N2235*(1+$F$10),2)</f>
        <v/>
      </c>
      <c r="P2235" s="73">
        <f>ROUND(K2235*N2235,2)</f>
        <v/>
      </c>
      <c r="Q2235" s="74">
        <f>ROUND(L2235*N2235,2)</f>
        <v/>
      </c>
      <c r="R2235" s="75" t="n"/>
      <c r="S2235" s="76" t="n"/>
      <c r="T2235" s="77">
        <f>K2235-L2235</f>
        <v/>
      </c>
      <c r="U2235" s="77">
        <f>P2235-Q2235</f>
        <v/>
      </c>
      <c r="V2235" s="77">
        <f>ABS(U2235)</f>
        <v/>
      </c>
      <c r="W2235" s="78">
        <f>T2235/L2235</f>
        <v/>
      </c>
      <c r="X2235" s="79">
        <f>ABS(W2235)</f>
        <v/>
      </c>
    </row>
    <row r="2236" ht="11.4" customHeight="1">
      <c r="A2236" s="67" t="inlineStr">
        <is>
          <t>大甜71</t>
        </is>
      </c>
      <c r="B2236" s="67" t="inlineStr">
        <is>
          <t>1069</t>
        </is>
      </c>
      <c r="C2236" s="67" t="inlineStr">
        <is>
          <t>1646</t>
        </is>
      </c>
      <c r="D2236" s="68" t="inlineStr">
        <is>
          <t>03</t>
        </is>
      </c>
      <c r="E2236" s="68" t="inlineStr">
        <is>
          <t>6 物业施工费</t>
        </is>
      </c>
      <c r="F2236" s="68" t="inlineStr">
        <is>
          <t>6.1 总承包工程</t>
        </is>
      </c>
      <c r="G2236" s="68" t="inlineStr">
        <is>
          <t>6.1.2A 电气工程-灯具主材</t>
        </is>
      </c>
      <c r="H2236" s="68" t="inlineStr">
        <is>
          <t>灯具主材-厨房</t>
        </is>
      </c>
      <c r="I2236" s="69" t="inlineStr">
        <is>
          <t>1000021558</t>
        </is>
      </c>
      <c r="J2236" s="69" t="inlineStr">
        <is>
          <t>OSRAM600*600mm嵌入式LED灯盘  L7</t>
        </is>
      </c>
      <c r="K2236" s="70" t="n"/>
      <c r="L2236" s="70" t="n"/>
      <c r="M2236" s="71" t="inlineStr">
        <is>
          <t>个</t>
        </is>
      </c>
      <c r="N2236" s="72" t="n">
        <v>170.1</v>
      </c>
      <c r="O2236" s="72">
        <f>ROUND(N2236*(1+$F$10),2)</f>
        <v/>
      </c>
      <c r="P2236" s="73">
        <f>ROUND(K2236*N2236,2)</f>
        <v/>
      </c>
      <c r="Q2236" s="74">
        <f>ROUND(L2236*N2236,2)</f>
        <v/>
      </c>
      <c r="R2236" s="75" t="n"/>
      <c r="S2236" s="76" t="n"/>
      <c r="T2236" s="77">
        <f>K2236-L2236</f>
        <v/>
      </c>
      <c r="U2236" s="77">
        <f>P2236-Q2236</f>
        <v/>
      </c>
      <c r="V2236" s="77">
        <f>ABS(U2236)</f>
        <v/>
      </c>
      <c r="W2236" s="78">
        <f>T2236/L2236</f>
        <v/>
      </c>
      <c r="X2236" s="79">
        <f>ABS(W2236)</f>
        <v/>
      </c>
    </row>
    <row r="2237" ht="11.4" customHeight="1">
      <c r="A2237" s="67" t="inlineStr">
        <is>
          <t>大甜71</t>
        </is>
      </c>
      <c r="B2237" s="67" t="inlineStr">
        <is>
          <t>1069</t>
        </is>
      </c>
      <c r="C2237" s="67" t="inlineStr">
        <is>
          <t>1646</t>
        </is>
      </c>
      <c r="D2237" s="68" t="inlineStr">
        <is>
          <t>03</t>
        </is>
      </c>
      <c r="E2237" s="68" t="inlineStr">
        <is>
          <t>6 物业施工费</t>
        </is>
      </c>
      <c r="F2237" s="68" t="inlineStr">
        <is>
          <t>6.1 总承包工程</t>
        </is>
      </c>
      <c r="G2237" s="68" t="inlineStr">
        <is>
          <t>6.1.2A 电气工程-灯具主材</t>
        </is>
      </c>
      <c r="H2237" s="68" t="inlineStr">
        <is>
          <t>灯具主材-厨房</t>
        </is>
      </c>
      <c r="I2237" s="69" t="inlineStr">
        <is>
          <t>1000021559</t>
        </is>
      </c>
      <c r="J2237" s="69" t="inlineStr">
        <is>
          <t>OSRAM1200mm 带罩LED支架灯  L8</t>
        </is>
      </c>
      <c r="K2237" s="70" t="n"/>
      <c r="L2237" s="70" t="n"/>
      <c r="M2237" s="71" t="inlineStr">
        <is>
          <t>个</t>
        </is>
      </c>
      <c r="N2237" s="72" t="n">
        <v>172.2</v>
      </c>
      <c r="O2237" s="72">
        <f>ROUND(N2237*(1+$F$10),2)</f>
        <v/>
      </c>
      <c r="P2237" s="73">
        <f>ROUND(K2237*N2237,2)</f>
        <v/>
      </c>
      <c r="Q2237" s="74">
        <f>ROUND(L2237*N2237,2)</f>
        <v/>
      </c>
      <c r="R2237" s="75" t="n"/>
      <c r="S2237" s="76" t="n"/>
      <c r="T2237" s="77">
        <f>K2237-L2237</f>
        <v/>
      </c>
      <c r="U2237" s="77">
        <f>P2237-Q2237</f>
        <v/>
      </c>
      <c r="V2237" s="77">
        <f>ABS(U2237)</f>
        <v/>
      </c>
      <c r="W2237" s="78">
        <f>T2237/L2237</f>
        <v/>
      </c>
      <c r="X2237" s="79">
        <f>ABS(W2237)</f>
        <v/>
      </c>
    </row>
    <row r="2238" ht="11.4" customHeight="1">
      <c r="A2238" s="67" t="inlineStr">
        <is>
          <t>大甜71</t>
        </is>
      </c>
      <c r="B2238" s="67" t="inlineStr">
        <is>
          <t>1069</t>
        </is>
      </c>
      <c r="C2238" s="67" t="inlineStr">
        <is>
          <t>1646</t>
        </is>
      </c>
      <c r="D2238" s="68" t="inlineStr">
        <is>
          <t>03</t>
        </is>
      </c>
      <c r="E2238" s="68" t="inlineStr">
        <is>
          <t>6 物业施工费</t>
        </is>
      </c>
      <c r="F2238" s="68" t="inlineStr">
        <is>
          <t>6.1 总承包工程</t>
        </is>
      </c>
      <c r="G2238" s="68" t="inlineStr">
        <is>
          <t>6.1.2A 电气工程-灯具主材</t>
        </is>
      </c>
      <c r="H2238" s="68" t="inlineStr">
        <is>
          <t>灯具主材-厨房</t>
        </is>
      </c>
      <c r="I2238" s="69" t="inlineStr">
        <is>
          <t>1000021570</t>
        </is>
      </c>
      <c r="J2238" s="69" t="inlineStr">
        <is>
          <t>OSRAM圆形嵌入式射灯 L2-E/L5-E</t>
        </is>
      </c>
      <c r="K2238" s="70" t="n"/>
      <c r="L2238" s="70" t="n"/>
      <c r="M2238" s="71" t="inlineStr">
        <is>
          <t>个</t>
        </is>
      </c>
      <c r="N2238" s="72" t="n">
        <v>141.75</v>
      </c>
      <c r="O2238" s="72">
        <f>ROUND(N2238*(1+$F$10),2)</f>
        <v/>
      </c>
      <c r="P2238" s="73">
        <f>ROUND(K2238*N2238,2)</f>
        <v/>
      </c>
      <c r="Q2238" s="74">
        <f>ROUND(L2238*N2238,2)</f>
        <v/>
      </c>
      <c r="R2238" s="75" t="n"/>
      <c r="S2238" s="76" t="n"/>
      <c r="T2238" s="77">
        <f>K2238-L2238</f>
        <v/>
      </c>
      <c r="U2238" s="77">
        <f>P2238-Q2238</f>
        <v/>
      </c>
      <c r="V2238" s="77">
        <f>ABS(U2238)</f>
        <v/>
      </c>
      <c r="W2238" s="78">
        <f>T2238/L2238</f>
        <v/>
      </c>
      <c r="X2238" s="79">
        <f>ABS(W2238)</f>
        <v/>
      </c>
    </row>
    <row r="2239" ht="11.4" customHeight="1">
      <c r="A2239" s="67" t="inlineStr">
        <is>
          <t>大甜71</t>
        </is>
      </c>
      <c r="B2239" s="67" t="inlineStr">
        <is>
          <t>1069</t>
        </is>
      </c>
      <c r="C2239" s="67" t="inlineStr">
        <is>
          <t>1646</t>
        </is>
      </c>
      <c r="D2239" s="68" t="inlineStr">
        <is>
          <t>03</t>
        </is>
      </c>
      <c r="E2239" s="68" t="inlineStr">
        <is>
          <t>6 物业施工费</t>
        </is>
      </c>
      <c r="F2239" s="68" t="inlineStr">
        <is>
          <t>6.1 总承包工程</t>
        </is>
      </c>
      <c r="G2239" s="68" t="inlineStr">
        <is>
          <t>6.1.2A 电气工程-灯具主材</t>
        </is>
      </c>
      <c r="H2239" s="68" t="inlineStr">
        <is>
          <t>灯具主材-厨房</t>
        </is>
      </c>
      <c r="I2239" s="69" t="inlineStr">
        <is>
          <t>1000041841</t>
        </is>
      </c>
      <c r="J2239" s="69" t="inlineStr">
        <is>
          <t>OPPLE LED 5W应急灯具90分钟E</t>
        </is>
      </c>
      <c r="K2239" s="70" t="n"/>
      <c r="L2239" s="70" t="n"/>
      <c r="M2239" s="71" t="inlineStr">
        <is>
          <t>个</t>
        </is>
      </c>
      <c r="N2239" s="72" t="n">
        <v>68.25</v>
      </c>
      <c r="O2239" s="72">
        <f>ROUND(N2239*(1+$F$10),2)</f>
        <v/>
      </c>
      <c r="P2239" s="73">
        <f>ROUND(K2239*N2239,2)</f>
        <v/>
      </c>
      <c r="Q2239" s="74">
        <f>ROUND(L2239*N2239,2)</f>
        <v/>
      </c>
      <c r="R2239" s="75" t="n"/>
      <c r="S2239" s="76" t="n"/>
      <c r="T2239" s="77">
        <f>K2239-L2239</f>
        <v/>
      </c>
      <c r="U2239" s="77">
        <f>P2239-Q2239</f>
        <v/>
      </c>
      <c r="V2239" s="77">
        <f>ABS(U2239)</f>
        <v/>
      </c>
      <c r="W2239" s="78">
        <f>T2239/L2239</f>
        <v/>
      </c>
      <c r="X2239" s="79">
        <f>ABS(W2239)</f>
        <v/>
      </c>
    </row>
    <row r="2240" ht="11.4" customHeight="1">
      <c r="A2240" s="67" t="inlineStr">
        <is>
          <t>大甜71</t>
        </is>
      </c>
      <c r="B2240" s="67" t="inlineStr">
        <is>
          <t>1069</t>
        </is>
      </c>
      <c r="C2240" s="67" t="inlineStr">
        <is>
          <t>1646</t>
        </is>
      </c>
      <c r="D2240" s="68" t="inlineStr">
        <is>
          <t>03</t>
        </is>
      </c>
      <c r="E2240" s="68" t="inlineStr">
        <is>
          <t>6 物业施工费</t>
        </is>
      </c>
      <c r="F2240" s="68" t="inlineStr">
        <is>
          <t>6.1 总承包工程</t>
        </is>
      </c>
      <c r="G2240" s="68" t="inlineStr">
        <is>
          <t>6.1.2A 电气工程-灯具主材</t>
        </is>
      </c>
      <c r="H2240" s="68" t="inlineStr">
        <is>
          <t>灯具主材-厨房</t>
        </is>
      </c>
      <c r="I2240" s="69" t="inlineStr">
        <is>
          <t>1000041839</t>
        </is>
      </c>
      <c r="J2240" s="69" t="inlineStr">
        <is>
          <t>OPPLE方形LED灯筒灯灯具  L1</t>
        </is>
      </c>
      <c r="K2240" s="70" t="n"/>
      <c r="L2240" s="70" t="n"/>
      <c r="M2240" s="71" t="inlineStr">
        <is>
          <t>个</t>
        </is>
      </c>
      <c r="N2240" s="72" t="n">
        <v>110.25</v>
      </c>
      <c r="O2240" s="72">
        <f>ROUND(N2240*(1+$F$10),2)</f>
        <v/>
      </c>
      <c r="P2240" s="73">
        <f>ROUND(K2240*N2240,2)</f>
        <v/>
      </c>
      <c r="Q2240" s="74">
        <f>ROUND(L2240*N2240,2)</f>
        <v/>
      </c>
      <c r="R2240" s="75" t="n"/>
      <c r="S2240" s="76" t="n"/>
      <c r="T2240" s="77">
        <f>K2240-L2240</f>
        <v/>
      </c>
      <c r="U2240" s="77">
        <f>P2240-Q2240</f>
        <v/>
      </c>
      <c r="V2240" s="77">
        <f>ABS(U2240)</f>
        <v/>
      </c>
      <c r="W2240" s="78">
        <f>T2240/L2240</f>
        <v/>
      </c>
      <c r="X2240" s="79">
        <f>ABS(W2240)</f>
        <v/>
      </c>
    </row>
    <row r="2241" ht="11.4" customHeight="1">
      <c r="A2241" s="67" t="inlineStr">
        <is>
          <t>大甜71</t>
        </is>
      </c>
      <c r="B2241" s="67" t="inlineStr">
        <is>
          <t>1069</t>
        </is>
      </c>
      <c r="C2241" s="67" t="inlineStr">
        <is>
          <t>1646</t>
        </is>
      </c>
      <c r="D2241" s="68" t="inlineStr">
        <is>
          <t>03</t>
        </is>
      </c>
      <c r="E2241" s="68" t="inlineStr">
        <is>
          <t>6 物业施工费</t>
        </is>
      </c>
      <c r="F2241" s="68" t="inlineStr">
        <is>
          <t>6.1 总承包工程</t>
        </is>
      </c>
      <c r="G2241" s="68" t="inlineStr">
        <is>
          <t>6.1.2A 电气工程-灯具主材</t>
        </is>
      </c>
      <c r="H2241" s="68" t="inlineStr">
        <is>
          <t>灯具主材-厨房</t>
        </is>
      </c>
      <c r="I2241" s="69" t="inlineStr">
        <is>
          <t>1000041850</t>
        </is>
      </c>
      <c r="J2241" s="69" t="inlineStr">
        <is>
          <t>OPPLE双头方形LED灯筒灯灯具  L2</t>
        </is>
      </c>
      <c r="K2241" s="70" t="n"/>
      <c r="L2241" s="70" t="n"/>
      <c r="M2241" s="71" t="inlineStr">
        <is>
          <t>个</t>
        </is>
      </c>
      <c r="N2241" s="72" t="n">
        <v>178.5</v>
      </c>
      <c r="O2241" s="72">
        <f>ROUND(N2241*(1+$F$10),2)</f>
        <v/>
      </c>
      <c r="P2241" s="73">
        <f>ROUND(K2241*N2241,2)</f>
        <v/>
      </c>
      <c r="Q2241" s="74">
        <f>ROUND(L2241*N2241,2)</f>
        <v/>
      </c>
      <c r="R2241" s="75" t="n"/>
      <c r="S2241" s="76" t="n"/>
      <c r="T2241" s="77">
        <f>K2241-L2241</f>
        <v/>
      </c>
      <c r="U2241" s="77">
        <f>P2241-Q2241</f>
        <v/>
      </c>
      <c r="V2241" s="77">
        <f>ABS(U2241)</f>
        <v/>
      </c>
      <c r="W2241" s="78">
        <f>T2241/L2241</f>
        <v/>
      </c>
      <c r="X2241" s="79">
        <f>ABS(W2241)</f>
        <v/>
      </c>
    </row>
    <row r="2242" ht="11.4" customHeight="1">
      <c r="A2242" s="67" t="inlineStr">
        <is>
          <t>大甜71</t>
        </is>
      </c>
      <c r="B2242" s="67" t="inlineStr">
        <is>
          <t>1069</t>
        </is>
      </c>
      <c r="C2242" s="67" t="inlineStr">
        <is>
          <t>1646</t>
        </is>
      </c>
      <c r="D2242" s="68" t="inlineStr">
        <is>
          <t>03</t>
        </is>
      </c>
      <c r="E2242" s="68" t="inlineStr">
        <is>
          <t>6 物业施工费</t>
        </is>
      </c>
      <c r="F2242" s="68" t="inlineStr">
        <is>
          <t>6.1 总承包工程</t>
        </is>
      </c>
      <c r="G2242" s="68" t="inlineStr">
        <is>
          <t>6.1.2A 电气工程-灯具主材</t>
        </is>
      </c>
      <c r="H2242" s="68" t="inlineStr">
        <is>
          <t>灯具主材-厨房</t>
        </is>
      </c>
      <c r="I2242" s="69" t="inlineStr">
        <is>
          <t>1000041851</t>
        </is>
      </c>
      <c r="J2242" s="69" t="inlineStr">
        <is>
          <t>OPPLE方形嵌入式LED射灯28W  L3</t>
        </is>
      </c>
      <c r="K2242" s="70" t="n"/>
      <c r="L2242" s="70" t="n"/>
      <c r="M2242" s="71" t="inlineStr">
        <is>
          <t>个</t>
        </is>
      </c>
      <c r="N2242" s="72" t="n">
        <v>147</v>
      </c>
      <c r="O2242" s="72">
        <f>ROUND(N2242*(1+$F$10),2)</f>
        <v/>
      </c>
      <c r="P2242" s="73">
        <f>ROUND(K2242*N2242,2)</f>
        <v/>
      </c>
      <c r="Q2242" s="74">
        <f>ROUND(L2242*N2242,2)</f>
        <v/>
      </c>
      <c r="R2242" s="75" t="n"/>
      <c r="S2242" s="76" t="n"/>
      <c r="T2242" s="77">
        <f>K2242-L2242</f>
        <v/>
      </c>
      <c r="U2242" s="77">
        <f>P2242-Q2242</f>
        <v/>
      </c>
      <c r="V2242" s="77">
        <f>ABS(U2242)</f>
        <v/>
      </c>
      <c r="W2242" s="78">
        <f>T2242/L2242</f>
        <v/>
      </c>
      <c r="X2242" s="79">
        <f>ABS(W2242)</f>
        <v/>
      </c>
    </row>
    <row r="2243" ht="11.4" customHeight="1">
      <c r="A2243" s="67" t="inlineStr">
        <is>
          <t>大甜71</t>
        </is>
      </c>
      <c r="B2243" s="67" t="inlineStr">
        <is>
          <t>1069</t>
        </is>
      </c>
      <c r="C2243" s="67" t="inlineStr">
        <is>
          <t>1646</t>
        </is>
      </c>
      <c r="D2243" s="68" t="inlineStr">
        <is>
          <t>03</t>
        </is>
      </c>
      <c r="E2243" s="68" t="inlineStr">
        <is>
          <t>6 物业施工费</t>
        </is>
      </c>
      <c r="F2243" s="68" t="inlineStr">
        <is>
          <t>6.1 总承包工程</t>
        </is>
      </c>
      <c r="G2243" s="68" t="inlineStr">
        <is>
          <t>6.1.2A 电气工程-灯具主材</t>
        </is>
      </c>
      <c r="H2243" s="68" t="inlineStr">
        <is>
          <t>灯具主材-厨房</t>
        </is>
      </c>
      <c r="I2243" s="69" t="inlineStr">
        <is>
          <t>1000041852</t>
        </is>
      </c>
      <c r="J2243" s="69" t="inlineStr">
        <is>
          <t>OPPLE深照型圆形LED灯筒灯灯具  L4</t>
        </is>
      </c>
      <c r="K2243" s="70" t="n"/>
      <c r="L2243" s="70" t="n"/>
      <c r="M2243" s="71" t="inlineStr">
        <is>
          <t>个</t>
        </is>
      </c>
      <c r="N2243" s="72" t="n">
        <v>105</v>
      </c>
      <c r="O2243" s="72">
        <f>ROUND(N2243*(1+$F$10),2)</f>
        <v/>
      </c>
      <c r="P2243" s="73">
        <f>ROUND(K2243*N2243,2)</f>
        <v/>
      </c>
      <c r="Q2243" s="74">
        <f>ROUND(L2243*N2243,2)</f>
        <v/>
      </c>
      <c r="R2243" s="75" t="n"/>
      <c r="S2243" s="76" t="n"/>
      <c r="T2243" s="77">
        <f>K2243-L2243</f>
        <v/>
      </c>
      <c r="U2243" s="77">
        <f>P2243-Q2243</f>
        <v/>
      </c>
      <c r="V2243" s="77">
        <f>ABS(U2243)</f>
        <v/>
      </c>
      <c r="W2243" s="78">
        <f>T2243/L2243</f>
        <v/>
      </c>
      <c r="X2243" s="79">
        <f>ABS(W2243)</f>
        <v/>
      </c>
    </row>
    <row r="2244" ht="11.4" customHeight="1">
      <c r="A2244" s="67" t="inlineStr">
        <is>
          <t>大甜71</t>
        </is>
      </c>
      <c r="B2244" s="67" t="inlineStr">
        <is>
          <t>1069</t>
        </is>
      </c>
      <c r="C2244" s="67" t="inlineStr">
        <is>
          <t>1646</t>
        </is>
      </c>
      <c r="D2244" s="68" t="inlineStr">
        <is>
          <t>03</t>
        </is>
      </c>
      <c r="E2244" s="68" t="inlineStr">
        <is>
          <t>6 物业施工费</t>
        </is>
      </c>
      <c r="F2244" s="68" t="inlineStr">
        <is>
          <t>6.1 总承包工程</t>
        </is>
      </c>
      <c r="G2244" s="68" t="inlineStr">
        <is>
          <t>6.1.2A 电气工程-灯具主材</t>
        </is>
      </c>
      <c r="H2244" s="68" t="inlineStr">
        <is>
          <t>灯具主材-厨房</t>
        </is>
      </c>
      <c r="I2244" s="69" t="inlineStr">
        <is>
          <t>1000041853</t>
        </is>
      </c>
      <c r="J2244" s="69" t="inlineStr">
        <is>
          <t>OPPLE方形嵌入式 LED 筒灯  L5</t>
        </is>
      </c>
      <c r="K2244" s="70" t="n"/>
      <c r="L2244" s="70" t="n"/>
      <c r="M2244" s="71" t="inlineStr">
        <is>
          <t>个</t>
        </is>
      </c>
      <c r="N2244" s="72" t="n">
        <v>126</v>
      </c>
      <c r="O2244" s="72">
        <f>ROUND(N2244*(1+$F$10),2)</f>
        <v/>
      </c>
      <c r="P2244" s="73">
        <f>ROUND(K2244*N2244,2)</f>
        <v/>
      </c>
      <c r="Q2244" s="74">
        <f>ROUND(L2244*N2244,2)</f>
        <v/>
      </c>
      <c r="R2244" s="75" t="n"/>
      <c r="S2244" s="76" t="n"/>
      <c r="T2244" s="77">
        <f>K2244-L2244</f>
        <v/>
      </c>
      <c r="U2244" s="77">
        <f>P2244-Q2244</f>
        <v/>
      </c>
      <c r="V2244" s="77">
        <f>ABS(U2244)</f>
        <v/>
      </c>
      <c r="W2244" s="78">
        <f>T2244/L2244</f>
        <v/>
      </c>
      <c r="X2244" s="79">
        <f>ABS(W2244)</f>
        <v/>
      </c>
    </row>
    <row r="2245" ht="11.4" customHeight="1">
      <c r="A2245" s="67" t="inlineStr">
        <is>
          <t>大甜71</t>
        </is>
      </c>
      <c r="B2245" s="67" t="inlineStr">
        <is>
          <t>1069</t>
        </is>
      </c>
      <c r="C2245" s="67" t="inlineStr">
        <is>
          <t>1646</t>
        </is>
      </c>
      <c r="D2245" s="68" t="inlineStr">
        <is>
          <t>03</t>
        </is>
      </c>
      <c r="E2245" s="68" t="inlineStr">
        <is>
          <t>6 物业施工费</t>
        </is>
      </c>
      <c r="F2245" s="68" t="inlineStr">
        <is>
          <t>6.1 总承包工程</t>
        </is>
      </c>
      <c r="G2245" s="68" t="inlineStr">
        <is>
          <t>6.1.2A 电气工程-灯具主材</t>
        </is>
      </c>
      <c r="H2245" s="68" t="inlineStr">
        <is>
          <t>灯具主材-厨房</t>
        </is>
      </c>
      <c r="I2245" s="69" t="inlineStr">
        <is>
          <t>1000041846</t>
        </is>
      </c>
      <c r="J2245" s="69" t="inlineStr">
        <is>
          <t>OPPLE圆形嵌入式 LED 防尘防水筒灯 L6</t>
        </is>
      </c>
      <c r="K2245" s="70" t="n"/>
      <c r="L2245" s="70" t="n"/>
      <c r="M2245" s="71" t="inlineStr">
        <is>
          <t>个</t>
        </is>
      </c>
      <c r="N2245" s="72" t="n">
        <v>204.75</v>
      </c>
      <c r="O2245" s="72">
        <f>ROUND(N2245*(1+$F$10),2)</f>
        <v/>
      </c>
      <c r="P2245" s="73">
        <f>ROUND(K2245*N2245,2)</f>
        <v/>
      </c>
      <c r="Q2245" s="74">
        <f>ROUND(L2245*N2245,2)</f>
        <v/>
      </c>
      <c r="R2245" s="75" t="n"/>
      <c r="S2245" s="76" t="n"/>
      <c r="T2245" s="77">
        <f>K2245-L2245</f>
        <v/>
      </c>
      <c r="U2245" s="77">
        <f>P2245-Q2245</f>
        <v/>
      </c>
      <c r="V2245" s="77">
        <f>ABS(U2245)</f>
        <v/>
      </c>
      <c r="W2245" s="78">
        <f>T2245/L2245</f>
        <v/>
      </c>
      <c r="X2245" s="79">
        <f>ABS(W2245)</f>
        <v/>
      </c>
    </row>
    <row r="2246" ht="11.4" customHeight="1">
      <c r="A2246" s="67" t="inlineStr">
        <is>
          <t>大甜71</t>
        </is>
      </c>
      <c r="B2246" s="67" t="inlineStr">
        <is>
          <t>1069</t>
        </is>
      </c>
      <c r="C2246" s="67" t="inlineStr">
        <is>
          <t>1646</t>
        </is>
      </c>
      <c r="D2246" s="68" t="inlineStr">
        <is>
          <t>03</t>
        </is>
      </c>
      <c r="E2246" s="68" t="inlineStr">
        <is>
          <t>6 物业施工费</t>
        </is>
      </c>
      <c r="F2246" s="68" t="inlineStr">
        <is>
          <t>6.1 总承包工程</t>
        </is>
      </c>
      <c r="G2246" s="68" t="inlineStr">
        <is>
          <t>6.1.2A 电气工程-灯具主材</t>
        </is>
      </c>
      <c r="H2246" s="68" t="inlineStr">
        <is>
          <t>灯具主材-厨房</t>
        </is>
      </c>
      <c r="I2246" s="69" t="inlineStr">
        <is>
          <t>1000041837</t>
        </is>
      </c>
      <c r="J2246" s="69" t="inlineStr">
        <is>
          <t>OPPLE600*600mm嵌入式LED灯盘 L7</t>
        </is>
      </c>
      <c r="K2246" s="70" t="n"/>
      <c r="L2246" s="70" t="n"/>
      <c r="M2246" s="71" t="inlineStr">
        <is>
          <t>个</t>
        </is>
      </c>
      <c r="N2246" s="72" t="n">
        <v>252</v>
      </c>
      <c r="O2246" s="72">
        <f>ROUND(N2246*(1+$F$10),2)</f>
        <v/>
      </c>
      <c r="P2246" s="73">
        <f>ROUND(K2246*N2246,2)</f>
        <v/>
      </c>
      <c r="Q2246" s="74">
        <f>ROUND(L2246*N2246,2)</f>
        <v/>
      </c>
      <c r="R2246" s="75" t="n"/>
      <c r="S2246" s="76" t="n"/>
      <c r="T2246" s="77">
        <f>K2246-L2246</f>
        <v/>
      </c>
      <c r="U2246" s="77">
        <f>P2246-Q2246</f>
        <v/>
      </c>
      <c r="V2246" s="77">
        <f>ABS(U2246)</f>
        <v/>
      </c>
      <c r="W2246" s="78">
        <f>T2246/L2246</f>
        <v/>
      </c>
      <c r="X2246" s="79">
        <f>ABS(W2246)</f>
        <v/>
      </c>
    </row>
    <row r="2247" ht="11.4" customHeight="1">
      <c r="A2247" s="67" t="inlineStr">
        <is>
          <t>大甜71</t>
        </is>
      </c>
      <c r="B2247" s="67" t="inlineStr">
        <is>
          <t>1069</t>
        </is>
      </c>
      <c r="C2247" s="67" t="inlineStr">
        <is>
          <t>1646</t>
        </is>
      </c>
      <c r="D2247" s="68" t="inlineStr">
        <is>
          <t>03</t>
        </is>
      </c>
      <c r="E2247" s="68" t="inlineStr">
        <is>
          <t>6 物业施工费</t>
        </is>
      </c>
      <c r="F2247" s="68" t="inlineStr">
        <is>
          <t>6.1 总承包工程</t>
        </is>
      </c>
      <c r="G2247" s="68" t="inlineStr">
        <is>
          <t>6.1.2A 电气工程-灯具主材</t>
        </is>
      </c>
      <c r="H2247" s="68" t="inlineStr">
        <is>
          <t>灯具主材-厨房</t>
        </is>
      </c>
      <c r="I2247" s="69" t="inlineStr">
        <is>
          <t>1000041838</t>
        </is>
      </c>
      <c r="J2247" s="69" t="inlineStr">
        <is>
          <t>OPPLE1200mm 带罩LED支架灯  L8</t>
        </is>
      </c>
      <c r="K2247" s="70" t="n"/>
      <c r="L2247" s="70" t="n"/>
      <c r="M2247" s="71" t="inlineStr">
        <is>
          <t>个</t>
        </is>
      </c>
      <c r="N2247" s="72" t="n">
        <v>136.5</v>
      </c>
      <c r="O2247" s="72">
        <f>ROUND(N2247*(1+$F$10),2)</f>
        <v/>
      </c>
      <c r="P2247" s="73">
        <f>ROUND(K2247*N2247,2)</f>
        <v/>
      </c>
      <c r="Q2247" s="74">
        <f>ROUND(L2247*N2247,2)</f>
        <v/>
      </c>
      <c r="R2247" s="75" t="n"/>
      <c r="S2247" s="76" t="n"/>
      <c r="T2247" s="77">
        <f>K2247-L2247</f>
        <v/>
      </c>
      <c r="U2247" s="77">
        <f>P2247-Q2247</f>
        <v/>
      </c>
      <c r="V2247" s="77">
        <f>ABS(U2247)</f>
        <v/>
      </c>
      <c r="W2247" s="78">
        <f>T2247/L2247</f>
        <v/>
      </c>
      <c r="X2247" s="79">
        <f>ABS(W2247)</f>
        <v/>
      </c>
    </row>
    <row r="2248" ht="11.4" customHeight="1">
      <c r="A2248" s="67" t="inlineStr">
        <is>
          <t>大甜71</t>
        </is>
      </c>
      <c r="B2248" s="67" t="inlineStr">
        <is>
          <t>1069</t>
        </is>
      </c>
      <c r="C2248" s="67" t="inlineStr">
        <is>
          <t>1646</t>
        </is>
      </c>
      <c r="D2248" s="68" t="inlineStr">
        <is>
          <t>03</t>
        </is>
      </c>
      <c r="E2248" s="68" t="inlineStr">
        <is>
          <t>6 物业施工费</t>
        </is>
      </c>
      <c r="F2248" s="68" t="inlineStr">
        <is>
          <t>6.1 总承包工程</t>
        </is>
      </c>
      <c r="G2248" s="68" t="inlineStr">
        <is>
          <t>6.1.2A 电气工程-灯具主材</t>
        </is>
      </c>
      <c r="H2248" s="68" t="inlineStr">
        <is>
          <t>灯具主材-厨房</t>
        </is>
      </c>
      <c r="I2248" s="69" t="inlineStr">
        <is>
          <t>1000041843</t>
        </is>
      </c>
      <c r="J2248" s="69" t="inlineStr">
        <is>
          <t>OPPLE圆形嵌入式射灯 L2-E/L5-E</t>
        </is>
      </c>
      <c r="K2248" s="70" t="n"/>
      <c r="L2248" s="70" t="n"/>
      <c r="M2248" s="71" t="inlineStr">
        <is>
          <t>个</t>
        </is>
      </c>
      <c r="N2248" s="72" t="n">
        <v>120.75</v>
      </c>
      <c r="O2248" s="72">
        <f>ROUND(N2248*(1+$F$10),2)</f>
        <v/>
      </c>
      <c r="P2248" s="73">
        <f>ROUND(K2248*N2248,2)</f>
        <v/>
      </c>
      <c r="Q2248" s="74">
        <f>ROUND(L2248*N2248,2)</f>
        <v/>
      </c>
      <c r="R2248" s="75" t="n"/>
      <c r="S2248" s="76" t="n"/>
      <c r="T2248" s="77">
        <f>K2248-L2248</f>
        <v/>
      </c>
      <c r="U2248" s="77">
        <f>P2248-Q2248</f>
        <v/>
      </c>
      <c r="V2248" s="77">
        <f>ABS(U2248)</f>
        <v/>
      </c>
      <c r="W2248" s="78">
        <f>T2248/L2248</f>
        <v/>
      </c>
      <c r="X2248" s="79">
        <f>ABS(W2248)</f>
        <v/>
      </c>
    </row>
    <row r="2249" ht="11.4" customHeight="1">
      <c r="A2249" s="67" t="inlineStr">
        <is>
          <t>大甜72</t>
        </is>
      </c>
      <c r="B2249" s="67" t="inlineStr">
        <is>
          <t>1070</t>
        </is>
      </c>
      <c r="C2249" s="67" t="inlineStr">
        <is>
          <t>1613</t>
        </is>
      </c>
      <c r="D2249" s="68" t="inlineStr">
        <is>
          <t>03</t>
        </is>
      </c>
      <c r="E2249" s="68" t="inlineStr">
        <is>
          <t>6 物业施工费</t>
        </is>
      </c>
      <c r="F2249" s="68" t="inlineStr">
        <is>
          <t>6.1 总承包工程</t>
        </is>
      </c>
      <c r="G2249" s="68" t="inlineStr">
        <is>
          <t>6.1.3 给排水工程（含独立甜品站以外的所有给排水）</t>
        </is>
      </c>
      <c r="H2249" s="68" t="inlineStr">
        <is>
          <t>给水(下列各项包含吊杆及全部配件)</t>
        </is>
      </c>
      <c r="I2249" s="69" t="inlineStr">
        <is>
          <t>1000021931</t>
        </is>
      </c>
      <c r="J2249" s="69" t="inlineStr">
        <is>
          <t>Φ50mm镀锌钢管</t>
        </is>
      </c>
      <c r="K2249" s="70" t="n"/>
      <c r="L2249" s="70" t="n"/>
      <c r="M2249" s="71" t="inlineStr">
        <is>
          <t>米</t>
        </is>
      </c>
      <c r="N2249" s="72" t="n">
        <v>89.61</v>
      </c>
      <c r="O2249" s="72">
        <f>ROUND(N2249*(1+$F$10),2)</f>
        <v/>
      </c>
      <c r="P2249" s="73">
        <f>ROUND(K2249*N2249,2)</f>
        <v/>
      </c>
      <c r="Q2249" s="74">
        <f>ROUND(L2249*N2249,2)</f>
        <v/>
      </c>
      <c r="R2249" s="75" t="n"/>
      <c r="S2249" s="76" t="n"/>
      <c r="T2249" s="77">
        <f>K2249-L2249</f>
        <v/>
      </c>
      <c r="U2249" s="77">
        <f>P2249-Q2249</f>
        <v/>
      </c>
      <c r="V2249" s="77">
        <f>ABS(U2249)</f>
        <v/>
      </c>
      <c r="W2249" s="78">
        <f>T2249/L2249</f>
        <v/>
      </c>
      <c r="X2249" s="79">
        <f>ABS(W2249)</f>
        <v/>
      </c>
    </row>
    <row r="2250" ht="11.4" customHeight="1">
      <c r="A2250" s="67" t="inlineStr">
        <is>
          <t>大甜72</t>
        </is>
      </c>
      <c r="B2250" s="67" t="inlineStr">
        <is>
          <t>1070</t>
        </is>
      </c>
      <c r="C2250" s="67" t="inlineStr">
        <is>
          <t>1613</t>
        </is>
      </c>
      <c r="D2250" s="68" t="inlineStr">
        <is>
          <t>03</t>
        </is>
      </c>
      <c r="E2250" s="68" t="inlineStr">
        <is>
          <t>6 物业施工费</t>
        </is>
      </c>
      <c r="F2250" s="68" t="inlineStr">
        <is>
          <t>6.1 总承包工程</t>
        </is>
      </c>
      <c r="G2250" s="68" t="inlineStr">
        <is>
          <t>6.1.3 给排水工程（含独立甜品站以外的所有给排水）</t>
        </is>
      </c>
      <c r="H2250" s="68" t="inlineStr">
        <is>
          <t>给水(下列各项包含吊杆及全部配件)</t>
        </is>
      </c>
      <c r="I2250" s="69" t="inlineStr">
        <is>
          <t>1000021932</t>
        </is>
      </c>
      <c r="J2250" s="69" t="inlineStr">
        <is>
          <t>Φ50mmPPR管</t>
        </is>
      </c>
      <c r="K2250" s="70" t="n"/>
      <c r="L2250" s="70" t="n"/>
      <c r="M2250" s="71" t="inlineStr">
        <is>
          <t>米</t>
        </is>
      </c>
      <c r="N2250" s="72" t="n">
        <v>96.69</v>
      </c>
      <c r="O2250" s="72">
        <f>ROUND(N2250*(1+$F$10),2)</f>
        <v/>
      </c>
      <c r="P2250" s="73">
        <f>ROUND(K2250*N2250,2)</f>
        <v/>
      </c>
      <c r="Q2250" s="74">
        <f>ROUND(L2250*N2250,2)</f>
        <v/>
      </c>
      <c r="R2250" s="75" t="n"/>
      <c r="S2250" s="76" t="n"/>
      <c r="T2250" s="77">
        <f>K2250-L2250</f>
        <v/>
      </c>
      <c r="U2250" s="77">
        <f>P2250-Q2250</f>
        <v/>
      </c>
      <c r="V2250" s="77">
        <f>ABS(U2250)</f>
        <v/>
      </c>
      <c r="W2250" s="78">
        <f>T2250/L2250</f>
        <v/>
      </c>
      <c r="X2250" s="79">
        <f>ABS(W2250)</f>
        <v/>
      </c>
    </row>
    <row r="2251" ht="11.4" customHeight="1">
      <c r="A2251" s="67" t="inlineStr">
        <is>
          <t>大甜72</t>
        </is>
      </c>
      <c r="B2251" s="67" t="inlineStr">
        <is>
          <t>1070</t>
        </is>
      </c>
      <c r="C2251" s="67" t="inlineStr">
        <is>
          <t>1613</t>
        </is>
      </c>
      <c r="D2251" s="68" t="inlineStr">
        <is>
          <t>03</t>
        </is>
      </c>
      <c r="E2251" s="68" t="inlineStr">
        <is>
          <t>6 物业施工费</t>
        </is>
      </c>
      <c r="F2251" s="68" t="inlineStr">
        <is>
          <t>6.1 总承包工程</t>
        </is>
      </c>
      <c r="G2251" s="68" t="inlineStr">
        <is>
          <t>6.1.3 给排水工程（含独立甜品站以外的所有给排水）</t>
        </is>
      </c>
      <c r="H2251" s="68" t="inlineStr">
        <is>
          <t>给水(下列各项包含吊杆及全部配件)</t>
        </is>
      </c>
      <c r="I2251" s="69" t="inlineStr">
        <is>
          <t>1000021933</t>
        </is>
      </c>
      <c r="J2251" s="69" t="inlineStr">
        <is>
          <t>Φ40mmPPR管</t>
        </is>
      </c>
      <c r="K2251" s="70" t="n"/>
      <c r="L2251" s="70" t="n"/>
      <c r="M2251" s="71" t="inlineStr">
        <is>
          <t>米</t>
        </is>
      </c>
      <c r="N2251" s="72" t="n">
        <v>74.14</v>
      </c>
      <c r="O2251" s="72">
        <f>ROUND(N2251*(1+$F$10),2)</f>
        <v/>
      </c>
      <c r="P2251" s="73">
        <f>ROUND(K2251*N2251,2)</f>
        <v/>
      </c>
      <c r="Q2251" s="74">
        <f>ROUND(L2251*N2251,2)</f>
        <v/>
      </c>
      <c r="R2251" s="75" t="n"/>
      <c r="S2251" s="76" t="n"/>
      <c r="T2251" s="77">
        <f>K2251-L2251</f>
        <v/>
      </c>
      <c r="U2251" s="77">
        <f>P2251-Q2251</f>
        <v/>
      </c>
      <c r="V2251" s="77">
        <f>ABS(U2251)</f>
        <v/>
      </c>
      <c r="W2251" s="78">
        <f>T2251/L2251</f>
        <v/>
      </c>
      <c r="X2251" s="79">
        <f>ABS(W2251)</f>
        <v/>
      </c>
    </row>
    <row r="2252" ht="11.4" customHeight="1">
      <c r="A2252" s="67" t="inlineStr">
        <is>
          <t>大甜72</t>
        </is>
      </c>
      <c r="B2252" s="67" t="inlineStr">
        <is>
          <t>1070</t>
        </is>
      </c>
      <c r="C2252" s="67" t="inlineStr">
        <is>
          <t>1613</t>
        </is>
      </c>
      <c r="D2252" s="68" t="inlineStr">
        <is>
          <t>03</t>
        </is>
      </c>
      <c r="E2252" s="68" t="inlineStr">
        <is>
          <t>6 物业施工费</t>
        </is>
      </c>
      <c r="F2252" s="68" t="inlineStr">
        <is>
          <t>6.1 总承包工程</t>
        </is>
      </c>
      <c r="G2252" s="68" t="inlineStr">
        <is>
          <t>6.1.3 给排水工程（含独立甜品站以外的所有给排水）</t>
        </is>
      </c>
      <c r="H2252" s="68" t="inlineStr">
        <is>
          <t>给水(下列各项包含吊杆及全部配件)</t>
        </is>
      </c>
      <c r="I2252" s="69" t="inlineStr">
        <is>
          <t>1000021934</t>
        </is>
      </c>
      <c r="J2252" s="69" t="inlineStr">
        <is>
          <t>Φ32mmPPR管</t>
        </is>
      </c>
      <c r="K2252" s="70" t="n"/>
      <c r="L2252" s="70" t="n"/>
      <c r="M2252" s="71" t="inlineStr">
        <is>
          <t>米</t>
        </is>
      </c>
      <c r="N2252" s="72" t="n">
        <v>64.18000000000001</v>
      </c>
      <c r="O2252" s="72">
        <f>ROUND(N2252*(1+$F$10),2)</f>
        <v/>
      </c>
      <c r="P2252" s="73">
        <f>ROUND(K2252*N2252,2)</f>
        <v/>
      </c>
      <c r="Q2252" s="74">
        <f>ROUND(L2252*N2252,2)</f>
        <v/>
      </c>
      <c r="R2252" s="75" t="n"/>
      <c r="S2252" s="76" t="n"/>
      <c r="T2252" s="77">
        <f>K2252-L2252</f>
        <v/>
      </c>
      <c r="U2252" s="77">
        <f>P2252-Q2252</f>
        <v/>
      </c>
      <c r="V2252" s="77">
        <f>ABS(U2252)</f>
        <v/>
      </c>
      <c r="W2252" s="78">
        <f>T2252/L2252</f>
        <v/>
      </c>
      <c r="X2252" s="79">
        <f>ABS(W2252)</f>
        <v/>
      </c>
    </row>
    <row r="2253" ht="11.4" customHeight="1">
      <c r="A2253" s="67" t="inlineStr">
        <is>
          <t>大甜72</t>
        </is>
      </c>
      <c r="B2253" s="67" t="inlineStr">
        <is>
          <t>1070</t>
        </is>
      </c>
      <c r="C2253" s="67" t="inlineStr">
        <is>
          <t>1613</t>
        </is>
      </c>
      <c r="D2253" s="68" t="inlineStr">
        <is>
          <t>03</t>
        </is>
      </c>
      <c r="E2253" s="68" t="inlineStr">
        <is>
          <t>6 物业施工费</t>
        </is>
      </c>
      <c r="F2253" s="68" t="inlineStr">
        <is>
          <t>6.1 总承包工程</t>
        </is>
      </c>
      <c r="G2253" s="68" t="inlineStr">
        <is>
          <t>6.1.3 给排水工程（含独立甜品站以外的所有给排水）</t>
        </is>
      </c>
      <c r="H2253" s="68" t="inlineStr">
        <is>
          <t>给水(下列各项包含吊杆及全部配件)</t>
        </is>
      </c>
      <c r="I2253" s="69" t="inlineStr">
        <is>
          <t>1000021935</t>
        </is>
      </c>
      <c r="J2253" s="69" t="inlineStr">
        <is>
          <t>Φ25mmPPR管</t>
        </is>
      </c>
      <c r="K2253" s="70" t="n"/>
      <c r="L2253" s="70" t="n"/>
      <c r="M2253" s="71" t="inlineStr">
        <is>
          <t>米</t>
        </is>
      </c>
      <c r="N2253" s="72" t="n">
        <v>52.58</v>
      </c>
      <c r="O2253" s="72">
        <f>ROUND(N2253*(1+$F$10),2)</f>
        <v/>
      </c>
      <c r="P2253" s="73">
        <f>ROUND(K2253*N2253,2)</f>
        <v/>
      </c>
      <c r="Q2253" s="74">
        <f>ROUND(L2253*N2253,2)</f>
        <v/>
      </c>
      <c r="R2253" s="75" t="n"/>
      <c r="S2253" s="76" t="n"/>
      <c r="T2253" s="77">
        <f>K2253-L2253</f>
        <v/>
      </c>
      <c r="U2253" s="77">
        <f>P2253-Q2253</f>
        <v/>
      </c>
      <c r="V2253" s="77">
        <f>ABS(U2253)</f>
        <v/>
      </c>
      <c r="W2253" s="78">
        <f>T2253/L2253</f>
        <v/>
      </c>
      <c r="X2253" s="79">
        <f>ABS(W2253)</f>
        <v/>
      </c>
    </row>
    <row r="2254" ht="11.4" customHeight="1">
      <c r="A2254" s="67" t="inlineStr">
        <is>
          <t>大甜72</t>
        </is>
      </c>
      <c r="B2254" s="67" t="inlineStr">
        <is>
          <t>1070</t>
        </is>
      </c>
      <c r="C2254" s="67" t="inlineStr">
        <is>
          <t>1613</t>
        </is>
      </c>
      <c r="D2254" s="68" t="inlineStr">
        <is>
          <t>03</t>
        </is>
      </c>
      <c r="E2254" s="68" t="inlineStr">
        <is>
          <t>6 物业施工费</t>
        </is>
      </c>
      <c r="F2254" s="68" t="inlineStr">
        <is>
          <t>6.1 总承包工程</t>
        </is>
      </c>
      <c r="G2254" s="68" t="inlineStr">
        <is>
          <t>6.1.3 给排水工程（含独立甜品站以外的所有给排水）</t>
        </is>
      </c>
      <c r="H2254" s="68" t="inlineStr">
        <is>
          <t>给水(下列各项包含吊杆及全部配件)</t>
        </is>
      </c>
      <c r="I2254" s="69" t="inlineStr">
        <is>
          <t>1000021936</t>
        </is>
      </c>
      <c r="J2254" s="69" t="inlineStr">
        <is>
          <t>Φ20mmPPR管</t>
        </is>
      </c>
      <c r="K2254" s="70" t="n"/>
      <c r="L2254" s="70" t="n"/>
      <c r="M2254" s="71" t="inlineStr">
        <is>
          <t>米</t>
        </is>
      </c>
      <c r="N2254" s="72" t="n">
        <v>43.34</v>
      </c>
      <c r="O2254" s="72">
        <f>ROUND(N2254*(1+$F$10),2)</f>
        <v/>
      </c>
      <c r="P2254" s="73">
        <f>ROUND(K2254*N2254,2)</f>
        <v/>
      </c>
      <c r="Q2254" s="74">
        <f>ROUND(L2254*N2254,2)</f>
        <v/>
      </c>
      <c r="R2254" s="75" t="n"/>
      <c r="S2254" s="76" t="n"/>
      <c r="T2254" s="77">
        <f>K2254-L2254</f>
        <v/>
      </c>
      <c r="U2254" s="77">
        <f>P2254-Q2254</f>
        <v/>
      </c>
      <c r="V2254" s="77">
        <f>ABS(U2254)</f>
        <v/>
      </c>
      <c r="W2254" s="78">
        <f>T2254/L2254</f>
        <v/>
      </c>
      <c r="X2254" s="79">
        <f>ABS(W2254)</f>
        <v/>
      </c>
    </row>
    <row r="2255" ht="11.4" customHeight="1">
      <c r="A2255" s="67" t="inlineStr">
        <is>
          <t>大甜72</t>
        </is>
      </c>
      <c r="B2255" s="67" t="inlineStr">
        <is>
          <t>1070</t>
        </is>
      </c>
      <c r="C2255" s="67" t="inlineStr">
        <is>
          <t>1613</t>
        </is>
      </c>
      <c r="D2255" s="68" t="inlineStr">
        <is>
          <t>03</t>
        </is>
      </c>
      <c r="E2255" s="68" t="inlineStr">
        <is>
          <t>6 物业施工费</t>
        </is>
      </c>
      <c r="F2255" s="68" t="inlineStr">
        <is>
          <t>6.1 总承包工程</t>
        </is>
      </c>
      <c r="G2255" s="68" t="inlineStr">
        <is>
          <t>6.1.3 给排水工程（含独立甜品站以外的所有给排水）</t>
        </is>
      </c>
      <c r="H2255" s="68" t="inlineStr">
        <is>
          <t>给水(下列各项包含吊杆及全部配件)</t>
        </is>
      </c>
      <c r="I2255" s="69" t="inlineStr">
        <is>
          <t>1000021937</t>
        </is>
      </c>
      <c r="J2255" s="69" t="inlineStr">
        <is>
          <t>Φ15mmPPR管</t>
        </is>
      </c>
      <c r="K2255" s="70" t="n"/>
      <c r="L2255" s="70" t="n"/>
      <c r="M2255" s="71" t="inlineStr">
        <is>
          <t>米</t>
        </is>
      </c>
      <c r="N2255" s="72" t="n">
        <v>39.71</v>
      </c>
      <c r="O2255" s="72">
        <f>ROUND(N2255*(1+$F$10),2)</f>
        <v/>
      </c>
      <c r="P2255" s="73">
        <f>ROUND(K2255*N2255,2)</f>
        <v/>
      </c>
      <c r="Q2255" s="74">
        <f>ROUND(L2255*N2255,2)</f>
        <v/>
      </c>
      <c r="R2255" s="75" t="n"/>
      <c r="S2255" s="76" t="n"/>
      <c r="T2255" s="77">
        <f>K2255-L2255</f>
        <v/>
      </c>
      <c r="U2255" s="77">
        <f>P2255-Q2255</f>
        <v/>
      </c>
      <c r="V2255" s="77">
        <f>ABS(U2255)</f>
        <v/>
      </c>
      <c r="W2255" s="78">
        <f>T2255/L2255</f>
        <v/>
      </c>
      <c r="X2255" s="79">
        <f>ABS(W2255)</f>
        <v/>
      </c>
    </row>
    <row r="2256" ht="11.4" customHeight="1">
      <c r="A2256" s="67" t="inlineStr">
        <is>
          <t>大甜72</t>
        </is>
      </c>
      <c r="B2256" s="67" t="inlineStr">
        <is>
          <t>1070</t>
        </is>
      </c>
      <c r="C2256" s="67" t="inlineStr">
        <is>
          <t>1613</t>
        </is>
      </c>
      <c r="D2256" s="68" t="inlineStr">
        <is>
          <t>03</t>
        </is>
      </c>
      <c r="E2256" s="68" t="inlineStr">
        <is>
          <t>6 物业施工费</t>
        </is>
      </c>
      <c r="F2256" s="68" t="inlineStr">
        <is>
          <t>6.1 总承包工程</t>
        </is>
      </c>
      <c r="G2256" s="68" t="inlineStr">
        <is>
          <t>6.1.3 给排水工程（含独立甜品站以外的所有给排水）</t>
        </is>
      </c>
      <c r="H2256" s="68" t="inlineStr">
        <is>
          <t>给水(下列各项包含吊杆及全部配件)</t>
        </is>
      </c>
      <c r="I2256" s="69" t="inlineStr">
        <is>
          <t>1000021938</t>
        </is>
      </c>
      <c r="J2256" s="69" t="inlineStr">
        <is>
          <t>铜阀门直径50mm</t>
        </is>
      </c>
      <c r="K2256" s="70" t="n"/>
      <c r="L2256" s="70" t="n"/>
      <c r="M2256" s="71" t="inlineStr">
        <is>
          <t>只</t>
        </is>
      </c>
      <c r="N2256" s="72" t="n">
        <v>237.04</v>
      </c>
      <c r="O2256" s="72">
        <f>ROUND(N2256*(1+$F$10),2)</f>
        <v/>
      </c>
      <c r="P2256" s="73">
        <f>ROUND(K2256*N2256,2)</f>
        <v/>
      </c>
      <c r="Q2256" s="74">
        <f>ROUND(L2256*N2256,2)</f>
        <v/>
      </c>
      <c r="R2256" s="75" t="n"/>
      <c r="S2256" s="76" t="n"/>
      <c r="T2256" s="77">
        <f>K2256-L2256</f>
        <v/>
      </c>
      <c r="U2256" s="77">
        <f>P2256-Q2256</f>
        <v/>
      </c>
      <c r="V2256" s="77">
        <f>ABS(U2256)</f>
        <v/>
      </c>
      <c r="W2256" s="78">
        <f>T2256/L2256</f>
        <v/>
      </c>
      <c r="X2256" s="79">
        <f>ABS(W2256)</f>
        <v/>
      </c>
    </row>
    <row r="2257" ht="11.4" customHeight="1">
      <c r="A2257" s="67" t="inlineStr">
        <is>
          <t>大甜72</t>
        </is>
      </c>
      <c r="B2257" s="67" t="inlineStr">
        <is>
          <t>1070</t>
        </is>
      </c>
      <c r="C2257" s="67" t="inlineStr">
        <is>
          <t>1613</t>
        </is>
      </c>
      <c r="D2257" s="68" t="inlineStr">
        <is>
          <t>03</t>
        </is>
      </c>
      <c r="E2257" s="68" t="inlineStr">
        <is>
          <t>6 物业施工费</t>
        </is>
      </c>
      <c r="F2257" s="68" t="inlineStr">
        <is>
          <t>6.1 总承包工程</t>
        </is>
      </c>
      <c r="G2257" s="68" t="inlineStr">
        <is>
          <t>6.1.3 给排水工程（含独立甜品站以外的所有给排水）</t>
        </is>
      </c>
      <c r="H2257" s="68" t="inlineStr">
        <is>
          <t>给水(下列各项包含吊杆及全部配件)</t>
        </is>
      </c>
      <c r="I2257" s="69" t="inlineStr">
        <is>
          <t>1000021939</t>
        </is>
      </c>
      <c r="J2257" s="69" t="inlineStr">
        <is>
          <t>铜阀门直径32mm</t>
        </is>
      </c>
      <c r="K2257" s="70" t="n"/>
      <c r="L2257" s="70" t="n"/>
      <c r="M2257" s="71" t="inlineStr">
        <is>
          <t>只</t>
        </is>
      </c>
      <c r="N2257" s="72" t="n">
        <v>126.49</v>
      </c>
      <c r="O2257" s="72">
        <f>ROUND(N2257*(1+$F$10),2)</f>
        <v/>
      </c>
      <c r="P2257" s="73">
        <f>ROUND(K2257*N2257,2)</f>
        <v/>
      </c>
      <c r="Q2257" s="74">
        <f>ROUND(L2257*N2257,2)</f>
        <v/>
      </c>
      <c r="R2257" s="75" t="n"/>
      <c r="S2257" s="76" t="n"/>
      <c r="T2257" s="77">
        <f>K2257-L2257</f>
        <v/>
      </c>
      <c r="U2257" s="77">
        <f>P2257-Q2257</f>
        <v/>
      </c>
      <c r="V2257" s="77">
        <f>ABS(U2257)</f>
        <v/>
      </c>
      <c r="W2257" s="78">
        <f>T2257/L2257</f>
        <v/>
      </c>
      <c r="X2257" s="79">
        <f>ABS(W2257)</f>
        <v/>
      </c>
    </row>
    <row r="2258" ht="11.4" customHeight="1">
      <c r="A2258" s="67" t="inlineStr">
        <is>
          <t>大甜72</t>
        </is>
      </c>
      <c r="B2258" s="67" t="inlineStr">
        <is>
          <t>1070</t>
        </is>
      </c>
      <c r="C2258" s="67" t="inlineStr">
        <is>
          <t>1613</t>
        </is>
      </c>
      <c r="D2258" s="68" t="inlineStr">
        <is>
          <t>03</t>
        </is>
      </c>
      <c r="E2258" s="68" t="inlineStr">
        <is>
          <t>6 物业施工费</t>
        </is>
      </c>
      <c r="F2258" s="68" t="inlineStr">
        <is>
          <t>6.1 总承包工程</t>
        </is>
      </c>
      <c r="G2258" s="68" t="inlineStr">
        <is>
          <t>6.1.3 给排水工程（含独立甜品站以外的所有给排水）</t>
        </is>
      </c>
      <c r="H2258" s="68" t="inlineStr">
        <is>
          <t>给水(下列各项包含吊杆及全部配件)</t>
        </is>
      </c>
      <c r="I2258" s="69" t="inlineStr">
        <is>
          <t>1000021940</t>
        </is>
      </c>
      <c r="J2258" s="69" t="inlineStr">
        <is>
          <t>铜阀门直径25mm</t>
        </is>
      </c>
      <c r="K2258" s="70" t="n"/>
      <c r="L2258" s="70" t="n"/>
      <c r="M2258" s="71" t="inlineStr">
        <is>
          <t>只</t>
        </is>
      </c>
      <c r="N2258" s="72" t="n">
        <v>103.5</v>
      </c>
      <c r="O2258" s="72">
        <f>ROUND(N2258*(1+$F$10),2)</f>
        <v/>
      </c>
      <c r="P2258" s="73">
        <f>ROUND(K2258*N2258,2)</f>
        <v/>
      </c>
      <c r="Q2258" s="74">
        <f>ROUND(L2258*N2258,2)</f>
        <v/>
      </c>
      <c r="R2258" s="75" t="n"/>
      <c r="S2258" s="76" t="n"/>
      <c r="T2258" s="77">
        <f>K2258-L2258</f>
        <v/>
      </c>
      <c r="U2258" s="77">
        <f>P2258-Q2258</f>
        <v/>
      </c>
      <c r="V2258" s="77">
        <f>ABS(U2258)</f>
        <v/>
      </c>
      <c r="W2258" s="78">
        <f>T2258/L2258</f>
        <v/>
      </c>
      <c r="X2258" s="79">
        <f>ABS(W2258)</f>
        <v/>
      </c>
    </row>
    <row r="2259" ht="11.4" customHeight="1">
      <c r="A2259" s="67" t="inlineStr">
        <is>
          <t>大甜72</t>
        </is>
      </c>
      <c r="B2259" s="67" t="inlineStr">
        <is>
          <t>1070</t>
        </is>
      </c>
      <c r="C2259" s="67" t="inlineStr">
        <is>
          <t>1613</t>
        </is>
      </c>
      <c r="D2259" s="68" t="inlineStr">
        <is>
          <t>03</t>
        </is>
      </c>
      <c r="E2259" s="68" t="inlineStr">
        <is>
          <t>6 物业施工费</t>
        </is>
      </c>
      <c r="F2259" s="68" t="inlineStr">
        <is>
          <t>6.1 总承包工程</t>
        </is>
      </c>
      <c r="G2259" s="68" t="inlineStr">
        <is>
          <t>6.1.3 给排水工程（含独立甜品站以外的所有给排水）</t>
        </is>
      </c>
      <c r="H2259" s="68" t="inlineStr">
        <is>
          <t>给水(下列各项包含吊杆及全部配件)</t>
        </is>
      </c>
      <c r="I2259" s="69" t="inlineStr">
        <is>
          <t>1000021941</t>
        </is>
      </c>
      <c r="J2259" s="69" t="inlineStr">
        <is>
          <t>铜阀门直径20mm</t>
        </is>
      </c>
      <c r="K2259" s="70" t="n"/>
      <c r="L2259" s="70" t="n"/>
      <c r="M2259" s="71" t="inlineStr">
        <is>
          <t>只</t>
        </is>
      </c>
      <c r="N2259" s="72" t="n">
        <v>76.44</v>
      </c>
      <c r="O2259" s="72">
        <f>ROUND(N2259*(1+$F$10),2)</f>
        <v/>
      </c>
      <c r="P2259" s="73">
        <f>ROUND(K2259*N2259,2)</f>
        <v/>
      </c>
      <c r="Q2259" s="74">
        <f>ROUND(L2259*N2259,2)</f>
        <v/>
      </c>
      <c r="R2259" s="75" t="n"/>
      <c r="S2259" s="76" t="n"/>
      <c r="T2259" s="77">
        <f>K2259-L2259</f>
        <v/>
      </c>
      <c r="U2259" s="77">
        <f>P2259-Q2259</f>
        <v/>
      </c>
      <c r="V2259" s="77">
        <f>ABS(U2259)</f>
        <v/>
      </c>
      <c r="W2259" s="78">
        <f>T2259/L2259</f>
        <v/>
      </c>
      <c r="X2259" s="79">
        <f>ABS(W2259)</f>
        <v/>
      </c>
    </row>
    <row r="2260" ht="11.4" customHeight="1">
      <c r="A2260" s="67" t="inlineStr">
        <is>
          <t>大甜72</t>
        </is>
      </c>
      <c r="B2260" s="67" t="inlineStr">
        <is>
          <t>1070</t>
        </is>
      </c>
      <c r="C2260" s="67" t="inlineStr">
        <is>
          <t>1613</t>
        </is>
      </c>
      <c r="D2260" s="68" t="inlineStr">
        <is>
          <t>03</t>
        </is>
      </c>
      <c r="E2260" s="68" t="inlineStr">
        <is>
          <t>6 物业施工费</t>
        </is>
      </c>
      <c r="F2260" s="68" t="inlineStr">
        <is>
          <t>6.1 总承包工程</t>
        </is>
      </c>
      <c r="G2260" s="68" t="inlineStr">
        <is>
          <t>6.1.3 给排水工程（含独立甜品站以外的所有给排水）</t>
        </is>
      </c>
      <c r="H2260" s="68" t="inlineStr">
        <is>
          <t>给水(下列各项包含吊杆及全部配件)</t>
        </is>
      </c>
      <c r="I2260" s="69" t="inlineStr">
        <is>
          <t>1000021942</t>
        </is>
      </c>
      <c r="J2260" s="69" t="inlineStr">
        <is>
          <t>铜阀门直径15mm</t>
        </is>
      </c>
      <c r="K2260" s="70" t="n"/>
      <c r="L2260" s="70" t="n"/>
      <c r="M2260" s="71" t="inlineStr">
        <is>
          <t>只</t>
        </is>
      </c>
      <c r="N2260" s="72" t="n">
        <v>73.14</v>
      </c>
      <c r="O2260" s="72">
        <f>ROUND(N2260*(1+$F$10),2)</f>
        <v/>
      </c>
      <c r="P2260" s="73">
        <f>ROUND(K2260*N2260,2)</f>
        <v/>
      </c>
      <c r="Q2260" s="74">
        <f>ROUND(L2260*N2260,2)</f>
        <v/>
      </c>
      <c r="R2260" s="75" t="n"/>
      <c r="S2260" s="76" t="n"/>
      <c r="T2260" s="77">
        <f>K2260-L2260</f>
        <v/>
      </c>
      <c r="U2260" s="77">
        <f>P2260-Q2260</f>
        <v/>
      </c>
      <c r="V2260" s="77">
        <f>ABS(U2260)</f>
        <v/>
      </c>
      <c r="W2260" s="78">
        <f>T2260/L2260</f>
        <v/>
      </c>
      <c r="X2260" s="79">
        <f>ABS(W2260)</f>
        <v/>
      </c>
    </row>
    <row r="2261" ht="11.4" customHeight="1">
      <c r="A2261" s="67" t="inlineStr">
        <is>
          <t>大甜72</t>
        </is>
      </c>
      <c r="B2261" s="67" t="inlineStr">
        <is>
          <t>1070</t>
        </is>
      </c>
      <c r="C2261" s="67" t="inlineStr">
        <is>
          <t>1613</t>
        </is>
      </c>
      <c r="D2261" s="68" t="inlineStr">
        <is>
          <t>03</t>
        </is>
      </c>
      <c r="E2261" s="68" t="inlineStr">
        <is>
          <t>6 物业施工费</t>
        </is>
      </c>
      <c r="F2261" s="68" t="inlineStr">
        <is>
          <t>6.1 总承包工程</t>
        </is>
      </c>
      <c r="G2261" s="68" t="inlineStr">
        <is>
          <t>6.1.3 给排水工程（含独立甜品站以外的所有给排水）</t>
        </is>
      </c>
      <c r="H2261" s="68" t="inlineStr">
        <is>
          <t>给水(下列各项包含吊杆及全部配件)</t>
        </is>
      </c>
      <c r="I2261" s="69" t="inlineStr">
        <is>
          <t>1000021943</t>
        </is>
      </c>
      <c r="J2261" s="69" t="inlineStr">
        <is>
          <t>水管保温</t>
        </is>
      </c>
      <c r="K2261" s="70" t="n"/>
      <c r="L2261" s="70" t="n"/>
      <c r="M2261" s="71" t="inlineStr">
        <is>
          <t>m3</t>
        </is>
      </c>
      <c r="N2261" s="72" t="n">
        <v>3308.85</v>
      </c>
      <c r="O2261" s="72">
        <f>ROUND(N2261*(1+$F$10),2)</f>
        <v/>
      </c>
      <c r="P2261" s="73">
        <f>ROUND(K2261*N2261,2)</f>
        <v/>
      </c>
      <c r="Q2261" s="74">
        <f>ROUND(L2261*N2261,2)</f>
        <v/>
      </c>
      <c r="R2261" s="75" t="n"/>
      <c r="S2261" s="76" t="n"/>
      <c r="T2261" s="77">
        <f>K2261-L2261</f>
        <v/>
      </c>
      <c r="U2261" s="77">
        <f>P2261-Q2261</f>
        <v/>
      </c>
      <c r="V2261" s="77">
        <f>ABS(U2261)</f>
        <v/>
      </c>
      <c r="W2261" s="78">
        <f>T2261/L2261</f>
        <v/>
      </c>
      <c r="X2261" s="79">
        <f>ABS(W2261)</f>
        <v/>
      </c>
    </row>
    <row r="2262" ht="11.4" customHeight="1">
      <c r="A2262" s="67" t="inlineStr">
        <is>
          <t>大甜72</t>
        </is>
      </c>
      <c r="B2262" s="67" t="inlineStr">
        <is>
          <t>1070</t>
        </is>
      </c>
      <c r="C2262" s="67" t="inlineStr">
        <is>
          <t>1613</t>
        </is>
      </c>
      <c r="D2262" s="68" t="inlineStr">
        <is>
          <t>03</t>
        </is>
      </c>
      <c r="E2262" s="68" t="inlineStr">
        <is>
          <t>6 物业施工费</t>
        </is>
      </c>
      <c r="F2262" s="68" t="inlineStr">
        <is>
          <t>6.1 总承包工程</t>
        </is>
      </c>
      <c r="G2262" s="68" t="inlineStr">
        <is>
          <t>6.1.3 给排水工程（含独立甜品站以外的所有给排水）</t>
        </is>
      </c>
      <c r="H2262" s="68" t="inlineStr">
        <is>
          <t>给水(下列各项包含吊杆及全部配件)</t>
        </is>
      </c>
      <c r="I2262" s="69" t="inlineStr">
        <is>
          <t>1000021944</t>
        </is>
      </c>
      <c r="J2262" s="69" t="inlineStr">
        <is>
          <t>水龙头</t>
        </is>
      </c>
      <c r="K2262" s="70" t="n"/>
      <c r="L2262" s="70" t="n"/>
      <c r="M2262" s="71" t="inlineStr">
        <is>
          <t>只</t>
        </is>
      </c>
      <c r="N2262" s="72" t="n">
        <v>35.7</v>
      </c>
      <c r="O2262" s="72">
        <f>ROUND(N2262*(1+$F$10),2)</f>
        <v/>
      </c>
      <c r="P2262" s="73">
        <f>ROUND(K2262*N2262,2)</f>
        <v/>
      </c>
      <c r="Q2262" s="74">
        <f>ROUND(L2262*N2262,2)</f>
        <v/>
      </c>
      <c r="R2262" s="75" t="n"/>
      <c r="S2262" s="76" t="n"/>
      <c r="T2262" s="77">
        <f>K2262-L2262</f>
        <v/>
      </c>
      <c r="U2262" s="77">
        <f>P2262-Q2262</f>
        <v/>
      </c>
      <c r="V2262" s="77">
        <f>ABS(U2262)</f>
        <v/>
      </c>
      <c r="W2262" s="78">
        <f>T2262/L2262</f>
        <v/>
      </c>
      <c r="X2262" s="79">
        <f>ABS(W2262)</f>
        <v/>
      </c>
    </row>
    <row r="2263" ht="11.4" customHeight="1">
      <c r="A2263" s="67" t="inlineStr">
        <is>
          <t>大甜72</t>
        </is>
      </c>
      <c r="B2263" s="67" t="inlineStr">
        <is>
          <t>1070</t>
        </is>
      </c>
      <c r="C2263" s="67" t="inlineStr">
        <is>
          <t>1613</t>
        </is>
      </c>
      <c r="D2263" s="68" t="inlineStr">
        <is>
          <t>03</t>
        </is>
      </c>
      <c r="E2263" s="68" t="inlineStr">
        <is>
          <t>6 物业施工费</t>
        </is>
      </c>
      <c r="F2263" s="68" t="inlineStr">
        <is>
          <t>6.1 总承包工程</t>
        </is>
      </c>
      <c r="G2263" s="68" t="inlineStr">
        <is>
          <t>6.1.3 给排水工程（含独立甜品站以外的所有给排水）</t>
        </is>
      </c>
      <c r="H2263" s="68" t="inlineStr">
        <is>
          <t>给水(下列各项包含吊杆及全部配件)</t>
        </is>
      </c>
      <c r="I2263" s="69" t="inlineStr">
        <is>
          <t>1000021945</t>
        </is>
      </c>
      <c r="J2263" s="69" t="inlineStr">
        <is>
          <t>水表（含接头）</t>
        </is>
      </c>
      <c r="K2263" s="70" t="n"/>
      <c r="L2263" s="70" t="n"/>
      <c r="M2263" s="71" t="inlineStr">
        <is>
          <t>只</t>
        </is>
      </c>
      <c r="N2263" s="72" t="n">
        <v>748.98</v>
      </c>
      <c r="O2263" s="72">
        <f>ROUND(N2263*(1+$F$10),2)</f>
        <v/>
      </c>
      <c r="P2263" s="73">
        <f>ROUND(K2263*N2263,2)</f>
        <v/>
      </c>
      <c r="Q2263" s="74">
        <f>ROUND(L2263*N2263,2)</f>
        <v/>
      </c>
      <c r="R2263" s="75" t="n"/>
      <c r="S2263" s="76" t="n"/>
      <c r="T2263" s="77">
        <f>K2263-L2263</f>
        <v/>
      </c>
      <c r="U2263" s="77">
        <f>P2263-Q2263</f>
        <v/>
      </c>
      <c r="V2263" s="77">
        <f>ABS(U2263)</f>
        <v/>
      </c>
      <c r="W2263" s="78">
        <f>T2263/L2263</f>
        <v/>
      </c>
      <c r="X2263" s="79">
        <f>ABS(W2263)</f>
        <v/>
      </c>
    </row>
    <row r="2264" ht="11.4" customHeight="1">
      <c r="A2264" s="67" t="inlineStr">
        <is>
          <t>大甜72</t>
        </is>
      </c>
      <c r="B2264" s="67" t="inlineStr">
        <is>
          <t>1070</t>
        </is>
      </c>
      <c r="C2264" s="67" t="inlineStr">
        <is>
          <t>1613</t>
        </is>
      </c>
      <c r="D2264" s="68" t="inlineStr">
        <is>
          <t>03</t>
        </is>
      </c>
      <c r="E2264" s="68" t="inlineStr">
        <is>
          <t>6 物业施工费</t>
        </is>
      </c>
      <c r="F2264" s="68" t="inlineStr">
        <is>
          <t>6.1 总承包工程</t>
        </is>
      </c>
      <c r="G2264" s="68" t="inlineStr">
        <is>
          <t>6.1.3 给排水工程（含独立甜品站以外的所有给排水）</t>
        </is>
      </c>
      <c r="H2264" s="68" t="inlineStr">
        <is>
          <t>给水(下列各项包含吊杆及全部配件)</t>
        </is>
      </c>
      <c r="I2264" s="69" t="inlineStr">
        <is>
          <t>1000021946</t>
        </is>
      </c>
      <c r="J2264" s="69" t="inlineStr">
        <is>
          <t>压力表（含接头）</t>
        </is>
      </c>
      <c r="K2264" s="70" t="n"/>
      <c r="L2264" s="70" t="n"/>
      <c r="M2264" s="71" t="inlineStr">
        <is>
          <t>只</t>
        </is>
      </c>
      <c r="N2264" s="72" t="n">
        <v>156.3</v>
      </c>
      <c r="O2264" s="72">
        <f>ROUND(N2264*(1+$F$10),2)</f>
        <v/>
      </c>
      <c r="P2264" s="73">
        <f>ROUND(K2264*N2264,2)</f>
        <v/>
      </c>
      <c r="Q2264" s="74">
        <f>ROUND(L2264*N2264,2)</f>
        <v/>
      </c>
      <c r="R2264" s="75" t="n"/>
      <c r="S2264" s="76" t="n"/>
      <c r="T2264" s="77">
        <f>K2264-L2264</f>
        <v/>
      </c>
      <c r="U2264" s="77">
        <f>P2264-Q2264</f>
        <v/>
      </c>
      <c r="V2264" s="77">
        <f>ABS(U2264)</f>
        <v/>
      </c>
      <c r="W2264" s="78">
        <f>T2264/L2264</f>
        <v/>
      </c>
      <c r="X2264" s="79">
        <f>ABS(W2264)</f>
        <v/>
      </c>
    </row>
    <row r="2265" ht="11.4" customHeight="1">
      <c r="A2265" s="67" t="inlineStr">
        <is>
          <t>大甜72</t>
        </is>
      </c>
      <c r="B2265" s="67" t="inlineStr">
        <is>
          <t>1070</t>
        </is>
      </c>
      <c r="C2265" s="67" t="inlineStr">
        <is>
          <t>1613</t>
        </is>
      </c>
      <c r="D2265" s="68" t="inlineStr">
        <is>
          <t>03</t>
        </is>
      </c>
      <c r="E2265" s="68" t="inlineStr">
        <is>
          <t>6 物业施工费</t>
        </is>
      </c>
      <c r="F2265" s="68" t="inlineStr">
        <is>
          <t>6.1 总承包工程</t>
        </is>
      </c>
      <c r="G2265" s="68" t="inlineStr">
        <is>
          <t>6.1.3 给排水工程（含独立甜品站以外的所有给排水）</t>
        </is>
      </c>
      <c r="H2265" s="68" t="inlineStr">
        <is>
          <t>给水(下列各项包含吊杆及全部配件)</t>
        </is>
      </c>
      <c r="I2265" s="69" t="inlineStr">
        <is>
          <t>1000021947</t>
        </is>
      </c>
      <c r="J2265" s="69" t="inlineStr">
        <is>
          <t>拖把池制作安装</t>
        </is>
      </c>
      <c r="K2265" s="70" t="n"/>
      <c r="L2265" s="70" t="n"/>
      <c r="M2265" s="71" t="inlineStr">
        <is>
          <t>只</t>
        </is>
      </c>
      <c r="N2265" s="72" t="n">
        <v>661.3099999999999</v>
      </c>
      <c r="O2265" s="72">
        <f>ROUND(N2265*(1+$F$10),2)</f>
        <v/>
      </c>
      <c r="P2265" s="73">
        <f>ROUND(K2265*N2265,2)</f>
        <v/>
      </c>
      <c r="Q2265" s="74">
        <f>ROUND(L2265*N2265,2)</f>
        <v/>
      </c>
      <c r="R2265" s="75" t="n"/>
      <c r="S2265" s="76" t="n"/>
      <c r="T2265" s="77">
        <f>K2265-L2265</f>
        <v/>
      </c>
      <c r="U2265" s="77">
        <f>P2265-Q2265</f>
        <v/>
      </c>
      <c r="V2265" s="77">
        <f>ABS(U2265)</f>
        <v/>
      </c>
      <c r="W2265" s="78">
        <f>T2265/L2265</f>
        <v/>
      </c>
      <c r="X2265" s="79">
        <f>ABS(W2265)</f>
        <v/>
      </c>
    </row>
    <row r="2266" ht="11.4" customHeight="1">
      <c r="A2266" s="67" t="inlineStr">
        <is>
          <t>大甜72</t>
        </is>
      </c>
      <c r="B2266" s="67" t="inlineStr">
        <is>
          <t>1070</t>
        </is>
      </c>
      <c r="C2266" s="67" t="inlineStr">
        <is>
          <t>1613</t>
        </is>
      </c>
      <c r="D2266" s="68" t="inlineStr">
        <is>
          <t>03</t>
        </is>
      </c>
      <c r="E2266" s="68" t="inlineStr">
        <is>
          <t>6 物业施工费</t>
        </is>
      </c>
      <c r="F2266" s="68" t="inlineStr">
        <is>
          <t>6.1 总承包工程</t>
        </is>
      </c>
      <c r="G2266" s="68" t="inlineStr">
        <is>
          <t>6.1.3 给排水工程（含独立甜品站以外的所有给排水）</t>
        </is>
      </c>
      <c r="H2266" s="68" t="inlineStr">
        <is>
          <t>给水(下列各项包含吊杆及全部配件)</t>
        </is>
      </c>
      <c r="I2266" s="69" t="inlineStr">
        <is>
          <t>1000085738</t>
        </is>
      </c>
      <c r="J2266" s="69" t="inlineStr">
        <is>
          <t>不锈钢一体式拖把池安装</t>
        </is>
      </c>
      <c r="K2266" s="70" t="n"/>
      <c r="L2266" s="70" t="n"/>
      <c r="M2266" s="71" t="inlineStr">
        <is>
          <t>只</t>
        </is>
      </c>
      <c r="N2266" s="72" t="n">
        <v>97.08</v>
      </c>
      <c r="O2266" s="72">
        <f>ROUND(N2266*(1+$F$10),2)</f>
        <v/>
      </c>
      <c r="P2266" s="73">
        <f>ROUND(K2266*N2266,2)</f>
        <v/>
      </c>
      <c r="Q2266" s="74">
        <f>ROUND(L2266*N2266,2)</f>
        <v/>
      </c>
      <c r="R2266" s="75" t="n"/>
      <c r="S2266" s="76" t="n"/>
      <c r="T2266" s="77">
        <f>K2266-L2266</f>
        <v/>
      </c>
      <c r="U2266" s="77">
        <f>P2266-Q2266</f>
        <v/>
      </c>
      <c r="V2266" s="77">
        <f>ABS(U2266)</f>
        <v/>
      </c>
      <c r="W2266" s="78">
        <f>T2266/L2266</f>
        <v/>
      </c>
      <c r="X2266" s="79">
        <f>ABS(W2266)</f>
        <v/>
      </c>
    </row>
    <row r="2267" ht="11.4" customHeight="1">
      <c r="A2267" s="67" t="inlineStr">
        <is>
          <t>大甜72</t>
        </is>
      </c>
      <c r="B2267" s="67" t="inlineStr">
        <is>
          <t>1070</t>
        </is>
      </c>
      <c r="C2267" s="67" t="inlineStr">
        <is>
          <t>1613</t>
        </is>
      </c>
      <c r="D2267" s="68" t="inlineStr">
        <is>
          <t>03</t>
        </is>
      </c>
      <c r="E2267" s="68" t="inlineStr">
        <is>
          <t>6 物业施工费</t>
        </is>
      </c>
      <c r="F2267" s="68" t="inlineStr">
        <is>
          <t>6.1 总承包工程</t>
        </is>
      </c>
      <c r="G2267" s="68" t="inlineStr">
        <is>
          <t>6.1.3 给排水工程（含独立甜品站以外的所有给排水）</t>
        </is>
      </c>
      <c r="H2267" s="68" t="inlineStr">
        <is>
          <t>给水(下列各项包含吊杆及全部配件)</t>
        </is>
      </c>
      <c r="I2267" s="69" t="inlineStr">
        <is>
          <t>1000021948</t>
        </is>
      </c>
      <c r="J2267" s="69" t="inlineStr">
        <is>
          <t>员工洗手盆连感应龙头（含镜子）</t>
        </is>
      </c>
      <c r="K2267" s="70" t="n"/>
      <c r="L2267" s="70" t="n"/>
      <c r="M2267" s="71" t="inlineStr">
        <is>
          <t>套</t>
        </is>
      </c>
      <c r="N2267" s="72" t="n">
        <v>2137.73</v>
      </c>
      <c r="O2267" s="72">
        <f>ROUND(N2267*(1+$F$10),2)</f>
        <v/>
      </c>
      <c r="P2267" s="73">
        <f>ROUND(K2267*N2267,2)</f>
        <v/>
      </c>
      <c r="Q2267" s="74">
        <f>ROUND(L2267*N2267,2)</f>
        <v/>
      </c>
      <c r="R2267" s="75" t="n"/>
      <c r="S2267" s="76" t="n"/>
      <c r="T2267" s="77">
        <f>K2267-L2267</f>
        <v/>
      </c>
      <c r="U2267" s="77">
        <f>P2267-Q2267</f>
        <v/>
      </c>
      <c r="V2267" s="77">
        <f>ABS(U2267)</f>
        <v/>
      </c>
      <c r="W2267" s="78">
        <f>T2267/L2267</f>
        <v/>
      </c>
      <c r="X2267" s="79">
        <f>ABS(W2267)</f>
        <v/>
      </c>
    </row>
    <row r="2268" ht="11.4" customHeight="1">
      <c r="A2268" s="67" t="inlineStr">
        <is>
          <t>大甜72</t>
        </is>
      </c>
      <c r="B2268" s="67" t="inlineStr">
        <is>
          <t>1070</t>
        </is>
      </c>
      <c r="C2268" s="67" t="inlineStr">
        <is>
          <t>1613</t>
        </is>
      </c>
      <c r="D2268" s="68" t="inlineStr">
        <is>
          <t>03</t>
        </is>
      </c>
      <c r="E2268" s="68" t="inlineStr">
        <is>
          <t>6 物业施工费</t>
        </is>
      </c>
      <c r="F2268" s="68" t="inlineStr">
        <is>
          <t>6.1 总承包工程</t>
        </is>
      </c>
      <c r="G2268" s="68" t="inlineStr">
        <is>
          <t>6.1.3 给排水工程（含独立甜品站以外的所有给排水）</t>
        </is>
      </c>
      <c r="H2268" s="68" t="inlineStr">
        <is>
          <t>给水(下列各项包含吊杆及全部配件)</t>
        </is>
      </c>
      <c r="I2268" s="69" t="inlineStr">
        <is>
          <t>1000021576</t>
        </is>
      </c>
      <c r="J2268" s="69" t="inlineStr">
        <is>
          <t>员工洗手盆连感应龙头-LEED认证</t>
        </is>
      </c>
      <c r="K2268" s="70" t="n"/>
      <c r="L2268" s="70" t="n"/>
      <c r="M2268" s="71" t="inlineStr">
        <is>
          <t>套</t>
        </is>
      </c>
      <c r="N2268" s="72" t="n">
        <v>2295.03</v>
      </c>
      <c r="O2268" s="72">
        <f>ROUND(N2268*(1+$F$10),2)</f>
        <v/>
      </c>
      <c r="P2268" s="73">
        <f>ROUND(K2268*N2268,2)</f>
        <v/>
      </c>
      <c r="Q2268" s="74">
        <f>ROUND(L2268*N2268,2)</f>
        <v/>
      </c>
      <c r="R2268" s="75" t="n"/>
      <c r="S2268" s="76" t="n"/>
      <c r="T2268" s="77">
        <f>K2268-L2268</f>
        <v/>
      </c>
      <c r="U2268" s="77">
        <f>P2268-Q2268</f>
        <v/>
      </c>
      <c r="V2268" s="77">
        <f>ABS(U2268)</f>
        <v/>
      </c>
      <c r="W2268" s="78">
        <f>T2268/L2268</f>
        <v/>
      </c>
      <c r="X2268" s="79">
        <f>ABS(W2268)</f>
        <v/>
      </c>
    </row>
    <row r="2269" ht="11.4" customHeight="1">
      <c r="A2269" s="67" t="inlineStr">
        <is>
          <t>大甜72</t>
        </is>
      </c>
      <c r="B2269" s="67" t="inlineStr">
        <is>
          <t>1070</t>
        </is>
      </c>
      <c r="C2269" s="67" t="inlineStr">
        <is>
          <t>1613</t>
        </is>
      </c>
      <c r="D2269" s="68" t="inlineStr">
        <is>
          <t>03</t>
        </is>
      </c>
      <c r="E2269" s="68" t="inlineStr">
        <is>
          <t>6 物业施工费</t>
        </is>
      </c>
      <c r="F2269" s="68" t="inlineStr">
        <is>
          <t>6.1 总承包工程</t>
        </is>
      </c>
      <c r="G2269" s="68" t="inlineStr">
        <is>
          <t>6.1.3 给排水工程（含独立甜品站以外的所有给排水）</t>
        </is>
      </c>
      <c r="H2269" s="68" t="inlineStr">
        <is>
          <t>给水(下列各项包含吊杆及全部配件)</t>
        </is>
      </c>
      <c r="I2269" s="69" t="inlineStr">
        <is>
          <t>1000021949</t>
        </is>
      </c>
      <c r="J2269" s="69" t="inlineStr">
        <is>
          <t>安装热水器含底座 (不含热水器主材)</t>
        </is>
      </c>
      <c r="K2269" s="70" t="n"/>
      <c r="L2269" s="70" t="n"/>
      <c r="M2269" s="71" t="inlineStr">
        <is>
          <t>台</t>
        </is>
      </c>
      <c r="N2269" s="72" t="n">
        <v>994.83</v>
      </c>
      <c r="O2269" s="72">
        <f>ROUND(N2269*(1+$F$10),2)</f>
        <v/>
      </c>
      <c r="P2269" s="73">
        <f>ROUND(K2269*N2269,2)</f>
        <v/>
      </c>
      <c r="Q2269" s="74">
        <f>ROUND(L2269*N2269,2)</f>
        <v/>
      </c>
      <c r="R2269" s="75" t="n"/>
      <c r="S2269" s="76" t="n"/>
      <c r="T2269" s="77">
        <f>K2269-L2269</f>
        <v/>
      </c>
      <c r="U2269" s="77">
        <f>P2269-Q2269</f>
        <v/>
      </c>
      <c r="V2269" s="77">
        <f>ABS(U2269)</f>
        <v/>
      </c>
      <c r="W2269" s="78">
        <f>T2269/L2269</f>
        <v/>
      </c>
      <c r="X2269" s="79">
        <f>ABS(W2269)</f>
        <v/>
      </c>
    </row>
    <row r="2270" ht="11.4" customHeight="1">
      <c r="A2270" s="67" t="inlineStr">
        <is>
          <t>大甜72</t>
        </is>
      </c>
      <c r="B2270" s="67" t="inlineStr">
        <is>
          <t>1070</t>
        </is>
      </c>
      <c r="C2270" s="67" t="inlineStr">
        <is>
          <t>1613</t>
        </is>
      </c>
      <c r="D2270" s="68" t="inlineStr">
        <is>
          <t>03</t>
        </is>
      </c>
      <c r="E2270" s="68" t="inlineStr">
        <is>
          <t>6 物业施工费</t>
        </is>
      </c>
      <c r="F2270" s="68" t="inlineStr">
        <is>
          <t>6.1 总承包工程</t>
        </is>
      </c>
      <c r="G2270" s="68" t="inlineStr">
        <is>
          <t>6.1.3 给排水工程（含独立甜品站以外的所有给排水）</t>
        </is>
      </c>
      <c r="H2270" s="68" t="inlineStr">
        <is>
          <t>给水(下列各项包含吊杆及全部配件)</t>
        </is>
      </c>
      <c r="I2270" s="69" t="inlineStr">
        <is>
          <t>1000085739</t>
        </is>
      </c>
      <c r="J2270" s="69" t="inlineStr">
        <is>
          <t>安装“空气能热泵系统”含底座 (不含主材)</t>
        </is>
      </c>
      <c r="K2270" s="70" t="n"/>
      <c r="L2270" s="70" t="n"/>
      <c r="M2270" s="71" t="inlineStr">
        <is>
          <t>台</t>
        </is>
      </c>
      <c r="N2270" s="72" t="n">
        <v>1148.83</v>
      </c>
      <c r="O2270" s="72">
        <f>ROUND(N2270*(1+$F$10),2)</f>
        <v/>
      </c>
      <c r="P2270" s="73">
        <f>ROUND(K2270*N2270,2)</f>
        <v/>
      </c>
      <c r="Q2270" s="74">
        <f>ROUND(L2270*N2270,2)</f>
        <v/>
      </c>
      <c r="R2270" s="75" t="n"/>
      <c r="S2270" s="76" t="n"/>
      <c r="T2270" s="77">
        <f>K2270-L2270</f>
        <v/>
      </c>
      <c r="U2270" s="77">
        <f>P2270-Q2270</f>
        <v/>
      </c>
      <c r="V2270" s="77">
        <f>ABS(U2270)</f>
        <v/>
      </c>
      <c r="W2270" s="78">
        <f>T2270/L2270</f>
        <v/>
      </c>
      <c r="X2270" s="79">
        <f>ABS(W2270)</f>
        <v/>
      </c>
    </row>
    <row r="2271" ht="11.4" customHeight="1">
      <c r="A2271" s="67" t="inlineStr">
        <is>
          <t>大甜72</t>
        </is>
      </c>
      <c r="B2271" s="67" t="inlineStr">
        <is>
          <t>1070</t>
        </is>
      </c>
      <c r="C2271" s="67" t="inlineStr">
        <is>
          <t>1613</t>
        </is>
      </c>
      <c r="D2271" s="68" t="inlineStr">
        <is>
          <t>03</t>
        </is>
      </c>
      <c r="E2271" s="68" t="inlineStr">
        <is>
          <t>6 物业施工费</t>
        </is>
      </c>
      <c r="F2271" s="68" t="inlineStr">
        <is>
          <t>6.1 总承包工程</t>
        </is>
      </c>
      <c r="G2271" s="68" t="inlineStr">
        <is>
          <t>6.1.3 给排水工程（含独立甜品站以外的所有给排水）</t>
        </is>
      </c>
      <c r="H2271" s="68" t="inlineStr">
        <is>
          <t>给水(下列各项包含吊杆及全部配件)</t>
        </is>
      </c>
      <c r="I2271" s="69" t="inlineStr">
        <is>
          <t>1000021950</t>
        </is>
      </c>
      <c r="J2271" s="69" t="inlineStr">
        <is>
          <t>Φ20mm止回阀</t>
        </is>
      </c>
      <c r="K2271" s="70" t="n"/>
      <c r="L2271" s="70" t="n"/>
      <c r="M2271" s="71" t="inlineStr">
        <is>
          <t>只</t>
        </is>
      </c>
      <c r="N2271" s="72" t="n">
        <v>55.98</v>
      </c>
      <c r="O2271" s="72">
        <f>ROUND(N2271*(1+$F$10),2)</f>
        <v/>
      </c>
      <c r="P2271" s="73">
        <f>ROUND(K2271*N2271,2)</f>
        <v/>
      </c>
      <c r="Q2271" s="74">
        <f>ROUND(L2271*N2271,2)</f>
        <v/>
      </c>
      <c r="R2271" s="75" t="n"/>
      <c r="S2271" s="76" t="n"/>
      <c r="T2271" s="77">
        <f>K2271-L2271</f>
        <v/>
      </c>
      <c r="U2271" s="77">
        <f>P2271-Q2271</f>
        <v/>
      </c>
      <c r="V2271" s="77">
        <f>ABS(U2271)</f>
        <v/>
      </c>
      <c r="W2271" s="78">
        <f>T2271/L2271</f>
        <v/>
      </c>
      <c r="X2271" s="79">
        <f>ABS(W2271)</f>
        <v/>
      </c>
    </row>
    <row r="2272" ht="11.4" customHeight="1">
      <c r="A2272" s="67" t="inlineStr">
        <is>
          <t>大甜72</t>
        </is>
      </c>
      <c r="B2272" s="67" t="inlineStr">
        <is>
          <t>1070</t>
        </is>
      </c>
      <c r="C2272" s="67" t="inlineStr">
        <is>
          <t>1613</t>
        </is>
      </c>
      <c r="D2272" s="68" t="inlineStr">
        <is>
          <t>03</t>
        </is>
      </c>
      <c r="E2272" s="68" t="inlineStr">
        <is>
          <t>6 物业施工费</t>
        </is>
      </c>
      <c r="F2272" s="68" t="inlineStr">
        <is>
          <t>6.1 总承包工程</t>
        </is>
      </c>
      <c r="G2272" s="68" t="inlineStr">
        <is>
          <t>6.1.3 给排水工程（含独立甜品站以外的所有给排水）</t>
        </is>
      </c>
      <c r="H2272" s="68" t="inlineStr">
        <is>
          <t>给水(下列各项包含吊杆及全部配件)</t>
        </is>
      </c>
      <c r="I2272" s="69" t="inlineStr">
        <is>
          <t>1000021951</t>
        </is>
      </c>
      <c r="J2272" s="69" t="inlineStr">
        <is>
          <t>Φ25mm止回阀</t>
        </is>
      </c>
      <c r="K2272" s="70" t="n"/>
      <c r="L2272" s="70" t="n"/>
      <c r="M2272" s="71" t="inlineStr">
        <is>
          <t>只</t>
        </is>
      </c>
      <c r="N2272" s="72" t="n">
        <v>80.18000000000001</v>
      </c>
      <c r="O2272" s="72">
        <f>ROUND(N2272*(1+$F$10),2)</f>
        <v/>
      </c>
      <c r="P2272" s="73">
        <f>ROUND(K2272*N2272,2)</f>
        <v/>
      </c>
      <c r="Q2272" s="74">
        <f>ROUND(L2272*N2272,2)</f>
        <v/>
      </c>
      <c r="R2272" s="75" t="n"/>
      <c r="S2272" s="76" t="n"/>
      <c r="T2272" s="77">
        <f>K2272-L2272</f>
        <v/>
      </c>
      <c r="U2272" s="77">
        <f>P2272-Q2272</f>
        <v/>
      </c>
      <c r="V2272" s="77">
        <f>ABS(U2272)</f>
        <v/>
      </c>
      <c r="W2272" s="78">
        <f>T2272/L2272</f>
        <v/>
      </c>
      <c r="X2272" s="79">
        <f>ABS(W2272)</f>
        <v/>
      </c>
    </row>
    <row r="2273" ht="11.4" customHeight="1">
      <c r="A2273" s="67" t="inlineStr">
        <is>
          <t>大甜72</t>
        </is>
      </c>
      <c r="B2273" s="67" t="inlineStr">
        <is>
          <t>1070</t>
        </is>
      </c>
      <c r="C2273" s="67" t="inlineStr">
        <is>
          <t>1613</t>
        </is>
      </c>
      <c r="D2273" s="68" t="inlineStr">
        <is>
          <t>03</t>
        </is>
      </c>
      <c r="E2273" s="68" t="inlineStr">
        <is>
          <t>6 物业施工费</t>
        </is>
      </c>
      <c r="F2273" s="68" t="inlineStr">
        <is>
          <t>6.1 总承包工程</t>
        </is>
      </c>
      <c r="G2273" s="68" t="inlineStr">
        <is>
          <t>6.1.3 给排水工程（含独立甜品站以外的所有给排水）</t>
        </is>
      </c>
      <c r="H2273" s="68" t="inlineStr">
        <is>
          <t>给水(下列各项包含吊杆及全部配件)</t>
        </is>
      </c>
      <c r="I2273" s="69" t="inlineStr">
        <is>
          <t>1000021952</t>
        </is>
      </c>
      <c r="J2273" s="69" t="inlineStr">
        <is>
          <t>Φ50mm止回阀</t>
        </is>
      </c>
      <c r="K2273" s="70" t="n"/>
      <c r="L2273" s="70" t="n"/>
      <c r="M2273" s="71" t="inlineStr">
        <is>
          <t>只</t>
        </is>
      </c>
      <c r="N2273" s="72" t="n">
        <v>202.07</v>
      </c>
      <c r="O2273" s="72">
        <f>ROUND(N2273*(1+$F$10),2)</f>
        <v/>
      </c>
      <c r="P2273" s="73">
        <f>ROUND(K2273*N2273,2)</f>
        <v/>
      </c>
      <c r="Q2273" s="74">
        <f>ROUND(L2273*N2273,2)</f>
        <v/>
      </c>
      <c r="R2273" s="75" t="n"/>
      <c r="S2273" s="76" t="n"/>
      <c r="T2273" s="77">
        <f>K2273-L2273</f>
        <v/>
      </c>
      <c r="U2273" s="77">
        <f>P2273-Q2273</f>
        <v/>
      </c>
      <c r="V2273" s="77">
        <f>ABS(U2273)</f>
        <v/>
      </c>
      <c r="W2273" s="78">
        <f>T2273/L2273</f>
        <v/>
      </c>
      <c r="X2273" s="79">
        <f>ABS(W2273)</f>
        <v/>
      </c>
    </row>
    <row r="2274" ht="11.4" customHeight="1">
      <c r="A2274" s="67" t="inlineStr">
        <is>
          <t>大甜72</t>
        </is>
      </c>
      <c r="B2274" s="67" t="inlineStr">
        <is>
          <t>1070</t>
        </is>
      </c>
      <c r="C2274" s="67" t="inlineStr">
        <is>
          <t>1613</t>
        </is>
      </c>
      <c r="D2274" s="68" t="inlineStr">
        <is>
          <t>03</t>
        </is>
      </c>
      <c r="E2274" s="68" t="inlineStr">
        <is>
          <t>6 物业施工费</t>
        </is>
      </c>
      <c r="F2274" s="68" t="inlineStr">
        <is>
          <t>6.1 总承包工程</t>
        </is>
      </c>
      <c r="G2274" s="68" t="inlineStr">
        <is>
          <t>6.1.3 给排水工程（含独立甜品站以外的所有给排水）</t>
        </is>
      </c>
      <c r="H2274" s="68" t="inlineStr">
        <is>
          <t>其它给水(下列各项包含吊杆及全部配件)</t>
        </is>
      </c>
      <c r="I2274" s="69" t="inlineStr">
        <is>
          <t>1000021953</t>
        </is>
      </c>
      <c r="J2274" s="69" t="inlineStr">
        <is>
          <t>直饮水给水</t>
        </is>
      </c>
      <c r="K2274" s="70" t="n"/>
      <c r="L2274" s="70" t="n"/>
      <c r="M2274" s="71" t="inlineStr">
        <is>
          <t>米</t>
        </is>
      </c>
      <c r="N2274" s="72" t="n">
        <v>24.81</v>
      </c>
      <c r="O2274" s="72">
        <f>ROUND(N2274*(1+$F$10),2)</f>
        <v/>
      </c>
      <c r="P2274" s="73">
        <f>ROUND(K2274*N2274,2)</f>
        <v/>
      </c>
      <c r="Q2274" s="74">
        <f>ROUND(L2274*N2274,2)</f>
        <v/>
      </c>
      <c r="R2274" s="75" t="n"/>
      <c r="S2274" s="76" t="n"/>
      <c r="T2274" s="77">
        <f>K2274-L2274</f>
        <v/>
      </c>
      <c r="U2274" s="77">
        <f>P2274-Q2274</f>
        <v/>
      </c>
      <c r="V2274" s="77">
        <f>ABS(U2274)</f>
        <v/>
      </c>
      <c r="W2274" s="78">
        <f>T2274/L2274</f>
        <v/>
      </c>
      <c r="X2274" s="79">
        <f>ABS(W2274)</f>
        <v/>
      </c>
    </row>
    <row r="2275" ht="11.4" customHeight="1">
      <c r="A2275" s="67" t="inlineStr">
        <is>
          <t>大甜72</t>
        </is>
      </c>
      <c r="B2275" s="67" t="inlineStr">
        <is>
          <t>1070</t>
        </is>
      </c>
      <c r="C2275" s="67" t="inlineStr">
        <is>
          <t>1613</t>
        </is>
      </c>
      <c r="D2275" s="68" t="inlineStr">
        <is>
          <t>03</t>
        </is>
      </c>
      <c r="E2275" s="68" t="inlineStr">
        <is>
          <t>6 物业施工费</t>
        </is>
      </c>
      <c r="F2275" s="68" t="inlineStr">
        <is>
          <t>6.1 总承包工程</t>
        </is>
      </c>
      <c r="G2275" s="68" t="inlineStr">
        <is>
          <t>6.1.3 给排水工程（含独立甜品站以外的所有给排水）</t>
        </is>
      </c>
      <c r="H2275" s="68" t="inlineStr">
        <is>
          <t>排水(下列各项包含吊杆及全部配件)</t>
        </is>
      </c>
      <c r="I2275" s="69" t="inlineStr">
        <is>
          <t>1000021954</t>
        </is>
      </c>
      <c r="J2275" s="69" t="inlineStr">
        <is>
          <t>Φ 160UPVC排水管</t>
        </is>
      </c>
      <c r="K2275" s="70" t="n"/>
      <c r="L2275" s="70" t="n"/>
      <c r="M2275" s="71" t="inlineStr">
        <is>
          <t>米</t>
        </is>
      </c>
      <c r="N2275" s="72" t="n">
        <v>97.45</v>
      </c>
      <c r="O2275" s="72">
        <f>ROUND(N2275*(1+$F$10),2)</f>
        <v/>
      </c>
      <c r="P2275" s="73">
        <f>ROUND(K2275*N2275,2)</f>
        <v/>
      </c>
      <c r="Q2275" s="74">
        <f>ROUND(L2275*N2275,2)</f>
        <v/>
      </c>
      <c r="R2275" s="75" t="n"/>
      <c r="S2275" s="76" t="n"/>
      <c r="T2275" s="77">
        <f>K2275-L2275</f>
        <v/>
      </c>
      <c r="U2275" s="77">
        <f>P2275-Q2275</f>
        <v/>
      </c>
      <c r="V2275" s="77">
        <f>ABS(U2275)</f>
        <v/>
      </c>
      <c r="W2275" s="78">
        <f>T2275/L2275</f>
        <v/>
      </c>
      <c r="X2275" s="79">
        <f>ABS(W2275)</f>
        <v/>
      </c>
    </row>
    <row r="2276" ht="11.4" customHeight="1">
      <c r="A2276" s="67" t="inlineStr">
        <is>
          <t>大甜72</t>
        </is>
      </c>
      <c r="B2276" s="67" t="inlineStr">
        <is>
          <t>1070</t>
        </is>
      </c>
      <c r="C2276" s="67" t="inlineStr">
        <is>
          <t>1613</t>
        </is>
      </c>
      <c r="D2276" s="68" t="inlineStr">
        <is>
          <t>03</t>
        </is>
      </c>
      <c r="E2276" s="68" t="inlineStr">
        <is>
          <t>6 物业施工费</t>
        </is>
      </c>
      <c r="F2276" s="68" t="inlineStr">
        <is>
          <t>6.1 总承包工程</t>
        </is>
      </c>
      <c r="G2276" s="68" t="inlineStr">
        <is>
          <t>6.1.3 给排水工程（含独立甜品站以外的所有给排水）</t>
        </is>
      </c>
      <c r="H2276" s="68" t="inlineStr">
        <is>
          <t>排水(下列各项包含吊杆及全部配件)</t>
        </is>
      </c>
      <c r="I2276" s="69" t="inlineStr">
        <is>
          <t>1000021955</t>
        </is>
      </c>
      <c r="J2276" s="69" t="inlineStr">
        <is>
          <t>Φ 110UPVC排水管</t>
        </is>
      </c>
      <c r="K2276" s="70" t="n"/>
      <c r="L2276" s="70" t="n"/>
      <c r="M2276" s="71" t="inlineStr">
        <is>
          <t>米</t>
        </is>
      </c>
      <c r="N2276" s="72" t="n">
        <v>56.91</v>
      </c>
      <c r="O2276" s="72">
        <f>ROUND(N2276*(1+$F$10),2)</f>
        <v/>
      </c>
      <c r="P2276" s="73">
        <f>ROUND(K2276*N2276,2)</f>
        <v/>
      </c>
      <c r="Q2276" s="74">
        <f>ROUND(L2276*N2276,2)</f>
        <v/>
      </c>
      <c r="R2276" s="75" t="n"/>
      <c r="S2276" s="76" t="n"/>
      <c r="T2276" s="77">
        <f>K2276-L2276</f>
        <v/>
      </c>
      <c r="U2276" s="77">
        <f>P2276-Q2276</f>
        <v/>
      </c>
      <c r="V2276" s="77">
        <f>ABS(U2276)</f>
        <v/>
      </c>
      <c r="W2276" s="78">
        <f>T2276/L2276</f>
        <v/>
      </c>
      <c r="X2276" s="79">
        <f>ABS(W2276)</f>
        <v/>
      </c>
    </row>
    <row r="2277" ht="11.4" customHeight="1">
      <c r="A2277" s="67" t="inlineStr">
        <is>
          <t>大甜72</t>
        </is>
      </c>
      <c r="B2277" s="67" t="inlineStr">
        <is>
          <t>1070</t>
        </is>
      </c>
      <c r="C2277" s="67" t="inlineStr">
        <is>
          <t>1613</t>
        </is>
      </c>
      <c r="D2277" s="68" t="inlineStr">
        <is>
          <t>03</t>
        </is>
      </c>
      <c r="E2277" s="68" t="inlineStr">
        <is>
          <t>6 物业施工费</t>
        </is>
      </c>
      <c r="F2277" s="68" t="inlineStr">
        <is>
          <t>6.1 总承包工程</t>
        </is>
      </c>
      <c r="G2277" s="68" t="inlineStr">
        <is>
          <t>6.1.3 给排水工程（含独立甜品站以外的所有给排水）</t>
        </is>
      </c>
      <c r="H2277" s="68" t="inlineStr">
        <is>
          <t>排水(下列各项包含吊杆及全部配件)</t>
        </is>
      </c>
      <c r="I2277" s="69" t="inlineStr">
        <is>
          <t>1000021956</t>
        </is>
      </c>
      <c r="J2277" s="69" t="inlineStr">
        <is>
          <t>Φ 75UPVC排水管</t>
        </is>
      </c>
      <c r="K2277" s="70" t="n"/>
      <c r="L2277" s="70" t="n"/>
      <c r="M2277" s="71" t="inlineStr">
        <is>
          <t>米</t>
        </is>
      </c>
      <c r="N2277" s="72" t="n">
        <v>39.03</v>
      </c>
      <c r="O2277" s="72">
        <f>ROUND(N2277*(1+$F$10),2)</f>
        <v/>
      </c>
      <c r="P2277" s="73">
        <f>ROUND(K2277*N2277,2)</f>
        <v/>
      </c>
      <c r="Q2277" s="74">
        <f>ROUND(L2277*N2277,2)</f>
        <v/>
      </c>
      <c r="R2277" s="75" t="n"/>
      <c r="S2277" s="76" t="n"/>
      <c r="T2277" s="77">
        <f>K2277-L2277</f>
        <v/>
      </c>
      <c r="U2277" s="77">
        <f>P2277-Q2277</f>
        <v/>
      </c>
      <c r="V2277" s="77">
        <f>ABS(U2277)</f>
        <v/>
      </c>
      <c r="W2277" s="78">
        <f>T2277/L2277</f>
        <v/>
      </c>
      <c r="X2277" s="79">
        <f>ABS(W2277)</f>
        <v/>
      </c>
    </row>
    <row r="2278" ht="11.4" customHeight="1">
      <c r="A2278" s="67" t="inlineStr">
        <is>
          <t>大甜72</t>
        </is>
      </c>
      <c r="B2278" s="67" t="inlineStr">
        <is>
          <t>1070</t>
        </is>
      </c>
      <c r="C2278" s="67" t="inlineStr">
        <is>
          <t>1613</t>
        </is>
      </c>
      <c r="D2278" s="68" t="inlineStr">
        <is>
          <t>03</t>
        </is>
      </c>
      <c r="E2278" s="68" t="inlineStr">
        <is>
          <t>6 物业施工费</t>
        </is>
      </c>
      <c r="F2278" s="68" t="inlineStr">
        <is>
          <t>6.1 总承包工程</t>
        </is>
      </c>
      <c r="G2278" s="68" t="inlineStr">
        <is>
          <t>6.1.3 给排水工程（含独立甜品站以外的所有给排水）</t>
        </is>
      </c>
      <c r="H2278" s="68" t="inlineStr">
        <is>
          <t>排水(下列各项包含吊杆及全部配件)</t>
        </is>
      </c>
      <c r="I2278" s="69" t="inlineStr">
        <is>
          <t>1000021957</t>
        </is>
      </c>
      <c r="J2278" s="69" t="inlineStr">
        <is>
          <t>Φ 50UPVC排水管</t>
        </is>
      </c>
      <c r="K2278" s="70" t="n"/>
      <c r="L2278" s="70" t="n"/>
      <c r="M2278" s="71" t="inlineStr">
        <is>
          <t>米</t>
        </is>
      </c>
      <c r="N2278" s="72" t="n">
        <v>24.95</v>
      </c>
      <c r="O2278" s="72">
        <f>ROUND(N2278*(1+$F$10),2)</f>
        <v/>
      </c>
      <c r="P2278" s="73">
        <f>ROUND(K2278*N2278,2)</f>
        <v/>
      </c>
      <c r="Q2278" s="74">
        <f>ROUND(L2278*N2278,2)</f>
        <v/>
      </c>
      <c r="R2278" s="75" t="n"/>
      <c r="S2278" s="76" t="n"/>
      <c r="T2278" s="77">
        <f>K2278-L2278</f>
        <v/>
      </c>
      <c r="U2278" s="77">
        <f>P2278-Q2278</f>
        <v/>
      </c>
      <c r="V2278" s="77">
        <f>ABS(U2278)</f>
        <v/>
      </c>
      <c r="W2278" s="78">
        <f>T2278/L2278</f>
        <v/>
      </c>
      <c r="X2278" s="79">
        <f>ABS(W2278)</f>
        <v/>
      </c>
    </row>
    <row r="2279" ht="11.4" customHeight="1">
      <c r="A2279" s="67" t="inlineStr">
        <is>
          <t>大甜72</t>
        </is>
      </c>
      <c r="B2279" s="67" t="inlineStr">
        <is>
          <t>1070</t>
        </is>
      </c>
      <c r="C2279" s="67" t="inlineStr">
        <is>
          <t>1613</t>
        </is>
      </c>
      <c r="D2279" s="68" t="inlineStr">
        <is>
          <t>03</t>
        </is>
      </c>
      <c r="E2279" s="68" t="inlineStr">
        <is>
          <t>6 物业施工费</t>
        </is>
      </c>
      <c r="F2279" s="68" t="inlineStr">
        <is>
          <t>6.1 总承包工程</t>
        </is>
      </c>
      <c r="G2279" s="68" t="inlineStr">
        <is>
          <t>6.1.3 给排水工程（含独立甜品站以外的所有给排水）</t>
        </is>
      </c>
      <c r="H2279" s="68" t="inlineStr">
        <is>
          <t>排水(下列各项包含吊杆及全部配件)</t>
        </is>
      </c>
      <c r="I2279" s="69" t="inlineStr">
        <is>
          <t>1000021958</t>
        </is>
      </c>
      <c r="J2279" s="69" t="inlineStr">
        <is>
          <t>Φ 50UPVC透气管</t>
        </is>
      </c>
      <c r="K2279" s="70" t="n"/>
      <c r="L2279" s="70" t="n"/>
      <c r="M2279" s="71" t="inlineStr">
        <is>
          <t>米</t>
        </is>
      </c>
      <c r="N2279" s="72" t="n">
        <v>24.95</v>
      </c>
      <c r="O2279" s="72">
        <f>ROUND(N2279*(1+$F$10),2)</f>
        <v/>
      </c>
      <c r="P2279" s="73">
        <f>ROUND(K2279*N2279,2)</f>
        <v/>
      </c>
      <c r="Q2279" s="74">
        <f>ROUND(L2279*N2279,2)</f>
        <v/>
      </c>
      <c r="R2279" s="75" t="n"/>
      <c r="S2279" s="76" t="n"/>
      <c r="T2279" s="77">
        <f>K2279-L2279</f>
        <v/>
      </c>
      <c r="U2279" s="77">
        <f>P2279-Q2279</f>
        <v/>
      </c>
      <c r="V2279" s="77">
        <f>ABS(U2279)</f>
        <v/>
      </c>
      <c r="W2279" s="78">
        <f>T2279/L2279</f>
        <v/>
      </c>
      <c r="X2279" s="79">
        <f>ABS(W2279)</f>
        <v/>
      </c>
    </row>
    <row r="2280" ht="11.4" customHeight="1">
      <c r="A2280" s="67" t="inlineStr">
        <is>
          <t>大甜72</t>
        </is>
      </c>
      <c r="B2280" s="67" t="inlineStr">
        <is>
          <t>1070</t>
        </is>
      </c>
      <c r="C2280" s="67" t="inlineStr">
        <is>
          <t>1613</t>
        </is>
      </c>
      <c r="D2280" s="68" t="inlineStr">
        <is>
          <t>03</t>
        </is>
      </c>
      <c r="E2280" s="68" t="inlineStr">
        <is>
          <t>6 物业施工费</t>
        </is>
      </c>
      <c r="F2280" s="68" t="inlineStr">
        <is>
          <t>6.1 总承包工程</t>
        </is>
      </c>
      <c r="G2280" s="68" t="inlineStr">
        <is>
          <t>6.1.3 给排水工程（含独立甜品站以外的所有给排水）</t>
        </is>
      </c>
      <c r="H2280" s="68" t="inlineStr">
        <is>
          <t>排水(下列各项包含吊杆及全部配件)</t>
        </is>
      </c>
      <c r="I2280" s="69" t="inlineStr">
        <is>
          <t>1000021959</t>
        </is>
      </c>
      <c r="J2280" s="69" t="inlineStr">
        <is>
          <t>Φ75UPVC透气管</t>
        </is>
      </c>
      <c r="K2280" s="70" t="n"/>
      <c r="L2280" s="70" t="n"/>
      <c r="M2280" s="71" t="inlineStr">
        <is>
          <t>米</t>
        </is>
      </c>
      <c r="N2280" s="72" t="n">
        <v>34.08</v>
      </c>
      <c r="O2280" s="72">
        <f>ROUND(N2280*(1+$F$10),2)</f>
        <v/>
      </c>
      <c r="P2280" s="73">
        <f>ROUND(K2280*N2280,2)</f>
        <v/>
      </c>
      <c r="Q2280" s="74">
        <f>ROUND(L2280*N2280,2)</f>
        <v/>
      </c>
      <c r="R2280" s="75" t="n"/>
      <c r="S2280" s="76" t="n"/>
      <c r="T2280" s="77">
        <f>K2280-L2280</f>
        <v/>
      </c>
      <c r="U2280" s="77">
        <f>P2280-Q2280</f>
        <v/>
      </c>
      <c r="V2280" s="77">
        <f>ABS(U2280)</f>
        <v/>
      </c>
      <c r="W2280" s="78">
        <f>T2280/L2280</f>
        <v/>
      </c>
      <c r="X2280" s="79">
        <f>ABS(W2280)</f>
        <v/>
      </c>
    </row>
    <row r="2281" ht="11.4" customHeight="1">
      <c r="A2281" s="67" t="inlineStr">
        <is>
          <t>大甜72</t>
        </is>
      </c>
      <c r="B2281" s="67" t="inlineStr">
        <is>
          <t>1070</t>
        </is>
      </c>
      <c r="C2281" s="67" t="inlineStr">
        <is>
          <t>1613</t>
        </is>
      </c>
      <c r="D2281" s="68" t="inlineStr">
        <is>
          <t>03</t>
        </is>
      </c>
      <c r="E2281" s="68" t="inlineStr">
        <is>
          <t>6 物业施工费</t>
        </is>
      </c>
      <c r="F2281" s="68" t="inlineStr">
        <is>
          <t>6.1 总承包工程</t>
        </is>
      </c>
      <c r="G2281" s="68" t="inlineStr">
        <is>
          <t>6.1.3 给排水工程（含独立甜品站以外的所有给排水）</t>
        </is>
      </c>
      <c r="H2281" s="68" t="inlineStr">
        <is>
          <t>排水(下列各项包含吊杆及全部配件)</t>
        </is>
      </c>
      <c r="I2281" s="69" t="inlineStr">
        <is>
          <t>1000021577</t>
        </is>
      </c>
      <c r="J2281" s="69" t="inlineStr">
        <is>
          <t>不锈钢四防地漏</t>
        </is>
      </c>
      <c r="K2281" s="70" t="n"/>
      <c r="L2281" s="70" t="n"/>
      <c r="M2281" s="71" t="inlineStr">
        <is>
          <t>只</t>
        </is>
      </c>
      <c r="N2281" s="72" t="n">
        <v>196.45</v>
      </c>
      <c r="O2281" s="72">
        <f>ROUND(N2281*(1+$F$10),2)</f>
        <v/>
      </c>
      <c r="P2281" s="73">
        <f>ROUND(K2281*N2281,2)</f>
        <v/>
      </c>
      <c r="Q2281" s="74">
        <f>ROUND(L2281*N2281,2)</f>
        <v/>
      </c>
      <c r="R2281" s="75" t="n"/>
      <c r="S2281" s="76" t="n"/>
      <c r="T2281" s="77">
        <f>K2281-L2281</f>
        <v/>
      </c>
      <c r="U2281" s="77">
        <f>P2281-Q2281</f>
        <v/>
      </c>
      <c r="V2281" s="77">
        <f>ABS(U2281)</f>
        <v/>
      </c>
      <c r="W2281" s="78">
        <f>T2281/L2281</f>
        <v/>
      </c>
      <c r="X2281" s="79">
        <f>ABS(W2281)</f>
        <v/>
      </c>
    </row>
    <row r="2282" ht="11.4" customHeight="1">
      <c r="A2282" s="67" t="inlineStr">
        <is>
          <t>大甜72</t>
        </is>
      </c>
      <c r="B2282" s="67" t="inlineStr">
        <is>
          <t>1070</t>
        </is>
      </c>
      <c r="C2282" s="67" t="inlineStr">
        <is>
          <t>1613</t>
        </is>
      </c>
      <c r="D2282" s="68" t="inlineStr">
        <is>
          <t>03</t>
        </is>
      </c>
      <c r="E2282" s="68" t="inlineStr">
        <is>
          <t>6 物业施工费</t>
        </is>
      </c>
      <c r="F2282" s="68" t="inlineStr">
        <is>
          <t>6.1 总承包工程</t>
        </is>
      </c>
      <c r="G2282" s="68" t="inlineStr">
        <is>
          <t>6.1.3 给排水工程（含独立甜品站以外的所有给排水）</t>
        </is>
      </c>
      <c r="H2282" s="68" t="inlineStr">
        <is>
          <t>排水(下列各项包含吊杆及全部配件)</t>
        </is>
      </c>
      <c r="I2282" s="69" t="inlineStr">
        <is>
          <t>1000021578</t>
        </is>
      </c>
      <c r="J2282" s="69" t="inlineStr">
        <is>
          <t>杯型地漏</t>
        </is>
      </c>
      <c r="K2282" s="70" t="n"/>
      <c r="L2282" s="70" t="n"/>
      <c r="M2282" s="71" t="inlineStr">
        <is>
          <t>只</t>
        </is>
      </c>
      <c r="N2282" s="72" t="n">
        <v>245.17</v>
      </c>
      <c r="O2282" s="72">
        <f>ROUND(N2282*(1+$F$10),2)</f>
        <v/>
      </c>
      <c r="P2282" s="73">
        <f>ROUND(K2282*N2282,2)</f>
        <v/>
      </c>
      <c r="Q2282" s="74">
        <f>ROUND(L2282*N2282,2)</f>
        <v/>
      </c>
      <c r="R2282" s="75" t="n"/>
      <c r="S2282" s="76" t="n"/>
      <c r="T2282" s="77">
        <f>K2282-L2282</f>
        <v/>
      </c>
      <c r="U2282" s="77">
        <f>P2282-Q2282</f>
        <v/>
      </c>
      <c r="V2282" s="77">
        <f>ABS(U2282)</f>
        <v/>
      </c>
      <c r="W2282" s="78">
        <f>T2282/L2282</f>
        <v/>
      </c>
      <c r="X2282" s="79">
        <f>ABS(W2282)</f>
        <v/>
      </c>
    </row>
    <row r="2283" ht="11.4" customHeight="1">
      <c r="A2283" s="67" t="inlineStr">
        <is>
          <t>大甜72</t>
        </is>
      </c>
      <c r="B2283" s="67" t="inlineStr">
        <is>
          <t>1070</t>
        </is>
      </c>
      <c r="C2283" s="67" t="inlineStr">
        <is>
          <t>1613</t>
        </is>
      </c>
      <c r="D2283" s="68" t="inlineStr">
        <is>
          <t>03</t>
        </is>
      </c>
      <c r="E2283" s="68" t="inlineStr">
        <is>
          <t>6 物业施工费</t>
        </is>
      </c>
      <c r="F2283" s="68" t="inlineStr">
        <is>
          <t>6.1 总承包工程</t>
        </is>
      </c>
      <c r="G2283" s="68" t="inlineStr">
        <is>
          <t>6.1.3 给排水工程（含独立甜品站以外的所有给排水）</t>
        </is>
      </c>
      <c r="H2283" s="68" t="inlineStr">
        <is>
          <t>排水(下列各项包含吊杆及全部配件)</t>
        </is>
      </c>
      <c r="I2283" s="69" t="inlineStr">
        <is>
          <t>1000021960</t>
        </is>
      </c>
      <c r="J2283" s="69" t="inlineStr">
        <is>
          <t>清扫口</t>
        </is>
      </c>
      <c r="K2283" s="70" t="n"/>
      <c r="L2283" s="70" t="n"/>
      <c r="M2283" s="71" t="inlineStr">
        <is>
          <t>只</t>
        </is>
      </c>
      <c r="N2283" s="72" t="n">
        <v>29.9</v>
      </c>
      <c r="O2283" s="72">
        <f>ROUND(N2283*(1+$F$10),2)</f>
        <v/>
      </c>
      <c r="P2283" s="73">
        <f>ROUND(K2283*N2283,2)</f>
        <v/>
      </c>
      <c r="Q2283" s="74">
        <f>ROUND(L2283*N2283,2)</f>
        <v/>
      </c>
      <c r="R2283" s="75" t="n"/>
      <c r="S2283" s="76" t="n"/>
      <c r="T2283" s="77">
        <f>K2283-L2283</f>
        <v/>
      </c>
      <c r="U2283" s="77">
        <f>P2283-Q2283</f>
        <v/>
      </c>
      <c r="V2283" s="77">
        <f>ABS(U2283)</f>
        <v/>
      </c>
      <c r="W2283" s="78">
        <f>T2283/L2283</f>
        <v/>
      </c>
      <c r="X2283" s="79">
        <f>ABS(W2283)</f>
        <v/>
      </c>
    </row>
    <row r="2284" ht="11.4" customHeight="1">
      <c r="A2284" s="67" t="inlineStr">
        <is>
          <t>大甜72</t>
        </is>
      </c>
      <c r="B2284" s="67" t="inlineStr">
        <is>
          <t>1070</t>
        </is>
      </c>
      <c r="C2284" s="67" t="inlineStr">
        <is>
          <t>1613</t>
        </is>
      </c>
      <c r="D2284" s="68" t="inlineStr">
        <is>
          <t>03</t>
        </is>
      </c>
      <c r="E2284" s="68" t="inlineStr">
        <is>
          <t>6 物业施工费</t>
        </is>
      </c>
      <c r="F2284" s="68" t="inlineStr">
        <is>
          <t>6.1 总承包工程</t>
        </is>
      </c>
      <c r="G2284" s="68" t="inlineStr">
        <is>
          <t>6.1.3 给排水工程（含独立甜品站以外的所有给排水）</t>
        </is>
      </c>
      <c r="H2284" s="68" t="inlineStr">
        <is>
          <t>排水(下列各项包含吊杆及全部配件)</t>
        </is>
      </c>
      <c r="I2284" s="69" t="inlineStr">
        <is>
          <t>1000040112</t>
        </is>
      </c>
      <c r="J2284" s="69" t="inlineStr">
        <is>
          <t>给排水改造</t>
        </is>
      </c>
      <c r="K2284" s="70" t="n"/>
      <c r="L2284" s="70" t="n"/>
      <c r="M2284" s="71" t="inlineStr">
        <is>
          <t>项</t>
        </is>
      </c>
      <c r="N2284" s="72" t="n"/>
      <c r="O2284" s="72">
        <f>ROUND(N2284*(1+$F$10),2)</f>
        <v/>
      </c>
      <c r="P2284" s="73">
        <f>ROUND(K2284*N2284,2)</f>
        <v/>
      </c>
      <c r="Q2284" s="74">
        <f>ROUND(L2284*N2284,2)</f>
        <v/>
      </c>
      <c r="R2284" s="75" t="n"/>
      <c r="S2284" s="76" t="n"/>
      <c r="T2284" s="77">
        <f>K2284-L2284</f>
        <v/>
      </c>
      <c r="U2284" s="77">
        <f>P2284-Q2284</f>
        <v/>
      </c>
      <c r="V2284" s="77">
        <f>ABS(U2284)</f>
        <v/>
      </c>
      <c r="W2284" s="78">
        <f>T2284/L2284</f>
        <v/>
      </c>
      <c r="X2284" s="79">
        <f>ABS(W2284)</f>
        <v/>
      </c>
    </row>
    <row r="2285" ht="11.4" customHeight="1">
      <c r="A2285" s="67" t="inlineStr">
        <is>
          <t>大甜72</t>
        </is>
      </c>
      <c r="B2285" s="67" t="inlineStr">
        <is>
          <t>1070</t>
        </is>
      </c>
      <c r="C2285" s="67" t="inlineStr">
        <is>
          <t>1613</t>
        </is>
      </c>
      <c r="D2285" s="68" t="inlineStr">
        <is>
          <t>03</t>
        </is>
      </c>
      <c r="E2285" s="68" t="inlineStr">
        <is>
          <t>6 物业施工费</t>
        </is>
      </c>
      <c r="F2285" s="68" t="inlineStr">
        <is>
          <t>6.1 总承包工程</t>
        </is>
      </c>
      <c r="G2285" s="68" t="inlineStr">
        <is>
          <t>6.1.3 给排水工程（含独立甜品站以外的所有给排水）</t>
        </is>
      </c>
      <c r="H2285" s="68" t="inlineStr">
        <is>
          <t>给水(下列各项包含吊杆及全部配件)</t>
        </is>
      </c>
      <c r="I2285" s="69" t="inlineStr">
        <is>
          <t>1000021961</t>
        </is>
      </c>
      <c r="J2285" s="69" t="inlineStr">
        <is>
          <t>智能水表安装（不含主材，含两端接头）</t>
        </is>
      </c>
      <c r="K2285" s="70" t="n"/>
      <c r="L2285" s="70" t="n"/>
      <c r="M2285" s="71" t="inlineStr">
        <is>
          <t>只</t>
        </is>
      </c>
      <c r="N2285" s="72" t="n">
        <v>134.85</v>
      </c>
      <c r="O2285" s="72">
        <f>ROUND(N2285*(1+$F$10),2)</f>
        <v/>
      </c>
      <c r="P2285" s="73">
        <f>ROUND(K2285*N2285,2)</f>
        <v/>
      </c>
      <c r="Q2285" s="74">
        <f>ROUND(L2285*N2285,2)</f>
        <v/>
      </c>
      <c r="R2285" s="75" t="n"/>
      <c r="S2285" s="76" t="n"/>
      <c r="T2285" s="77">
        <f>K2285-L2285</f>
        <v/>
      </c>
      <c r="U2285" s="77">
        <f>P2285-Q2285</f>
        <v/>
      </c>
      <c r="V2285" s="77">
        <f>ABS(U2285)</f>
        <v/>
      </c>
      <c r="W2285" s="78">
        <f>T2285/L2285</f>
        <v/>
      </c>
      <c r="X2285" s="79">
        <f>ABS(W2285)</f>
        <v/>
      </c>
    </row>
    <row r="2286" ht="11.4" customHeight="1">
      <c r="A2286" s="67" t="inlineStr">
        <is>
          <t>大甜72</t>
        </is>
      </c>
      <c r="B2286" s="67" t="inlineStr">
        <is>
          <t>1070</t>
        </is>
      </c>
      <c r="C2286" s="67" t="inlineStr">
        <is>
          <t>1613</t>
        </is>
      </c>
      <c r="D2286" s="68" t="inlineStr">
        <is>
          <t>03</t>
        </is>
      </c>
      <c r="E2286" s="68" t="inlineStr">
        <is>
          <t>6 物业施工费</t>
        </is>
      </c>
      <c r="F2286" s="68" t="inlineStr">
        <is>
          <t>6.1 总承包工程</t>
        </is>
      </c>
      <c r="G2286" s="68" t="inlineStr">
        <is>
          <t>6.1.3 给排水工程（含独立甜品站以外的所有给排水）</t>
        </is>
      </c>
      <c r="H2286" s="68" t="inlineStr">
        <is>
          <t>给水(下列各项包含吊杆及全部配件)</t>
        </is>
      </c>
      <c r="I2286" s="69" t="inlineStr">
        <is>
          <t>1000021579</t>
        </is>
      </c>
      <c r="J2286" s="69" t="inlineStr">
        <is>
          <t>智能水表（DN50）</t>
        </is>
      </c>
      <c r="K2286" s="70" t="n"/>
      <c r="L2286" s="70" t="n"/>
      <c r="M2286" s="71" t="inlineStr">
        <is>
          <t>只</t>
        </is>
      </c>
      <c r="N2286" s="72" t="n">
        <v>416.64</v>
      </c>
      <c r="O2286" s="72">
        <f>ROUND(N2286*(1+$F$10),2)</f>
        <v/>
      </c>
      <c r="P2286" s="73">
        <f>ROUND(K2286*N2286,2)</f>
        <v/>
      </c>
      <c r="Q2286" s="74">
        <f>ROUND(L2286*N2286,2)</f>
        <v/>
      </c>
      <c r="R2286" s="75" t="n"/>
      <c r="S2286" s="76" t="n"/>
      <c r="T2286" s="77">
        <f>K2286-L2286</f>
        <v/>
      </c>
      <c r="U2286" s="77">
        <f>P2286-Q2286</f>
        <v/>
      </c>
      <c r="V2286" s="77">
        <f>ABS(U2286)</f>
        <v/>
      </c>
      <c r="W2286" s="78">
        <f>T2286/L2286</f>
        <v/>
      </c>
      <c r="X2286" s="79">
        <f>ABS(W2286)</f>
        <v/>
      </c>
    </row>
    <row r="2287" ht="11.4" customHeight="1">
      <c r="A2287" s="67" t="inlineStr">
        <is>
          <t>大甜72</t>
        </is>
      </c>
      <c r="B2287" s="67" t="inlineStr">
        <is>
          <t>1070</t>
        </is>
      </c>
      <c r="C2287" s="67" t="inlineStr">
        <is>
          <t>1613</t>
        </is>
      </c>
      <c r="D2287" s="68" t="inlineStr">
        <is>
          <t>03</t>
        </is>
      </c>
      <c r="E2287" s="68" t="inlineStr">
        <is>
          <t>6 物业施工费</t>
        </is>
      </c>
      <c r="F2287" s="68" t="inlineStr">
        <is>
          <t>6.1 总承包工程</t>
        </is>
      </c>
      <c r="G2287" s="68" t="inlineStr">
        <is>
          <t>6.1.3 给排水工程（含独立甜品站以外的所有给排水）</t>
        </is>
      </c>
      <c r="H2287" s="68" t="inlineStr">
        <is>
          <t>给水(下列各项包含吊杆及全部配件)</t>
        </is>
      </c>
      <c r="I2287" s="69" t="inlineStr">
        <is>
          <t>1000021712</t>
        </is>
      </c>
      <c r="J2287" s="69" t="inlineStr">
        <is>
          <t>智能水表（DN40）</t>
        </is>
      </c>
      <c r="K2287" s="70" t="n"/>
      <c r="L2287" s="70" t="n"/>
      <c r="M2287" s="71" t="inlineStr">
        <is>
          <t>只</t>
        </is>
      </c>
      <c r="N2287" s="72" t="n">
        <v>454.51</v>
      </c>
      <c r="O2287" s="72">
        <f>ROUND(N2287*(1+$F$10),2)</f>
        <v/>
      </c>
      <c r="P2287" s="73">
        <f>ROUND(K2287*N2287,2)</f>
        <v/>
      </c>
      <c r="Q2287" s="74">
        <f>ROUND(L2287*N2287,2)</f>
        <v/>
      </c>
      <c r="R2287" s="75" t="n"/>
      <c r="S2287" s="76" t="n"/>
      <c r="T2287" s="77">
        <f>K2287-L2287</f>
        <v/>
      </c>
      <c r="U2287" s="77">
        <f>P2287-Q2287</f>
        <v/>
      </c>
      <c r="V2287" s="77">
        <f>ABS(U2287)</f>
        <v/>
      </c>
      <c r="W2287" s="78">
        <f>T2287/L2287</f>
        <v/>
      </c>
      <c r="X2287" s="79">
        <f>ABS(W2287)</f>
        <v/>
      </c>
    </row>
    <row r="2288" ht="11.4" customHeight="1">
      <c r="A2288" s="67" t="inlineStr">
        <is>
          <t>大甜72</t>
        </is>
      </c>
      <c r="B2288" s="67" t="inlineStr">
        <is>
          <t>1070</t>
        </is>
      </c>
      <c r="C2288" s="67" t="inlineStr">
        <is>
          <t>1613</t>
        </is>
      </c>
      <c r="D2288" s="68" t="inlineStr">
        <is>
          <t>03</t>
        </is>
      </c>
      <c r="E2288" s="68" t="inlineStr">
        <is>
          <t>6 物业施工费</t>
        </is>
      </c>
      <c r="F2288" s="68" t="inlineStr">
        <is>
          <t>6.1 总承包工程</t>
        </is>
      </c>
      <c r="G2288" s="68" t="inlineStr">
        <is>
          <t>6.1.3 给排水工程（含独立甜品站以外的所有给排水）</t>
        </is>
      </c>
      <c r="H2288" s="68" t="inlineStr">
        <is>
          <t>给水(下列各项包含吊杆及全部配件)</t>
        </is>
      </c>
      <c r="I2288" s="69" t="inlineStr">
        <is>
          <t>1000021580</t>
        </is>
      </c>
      <c r="J2288" s="69" t="inlineStr">
        <is>
          <t>智能水表（DN25）</t>
        </is>
      </c>
      <c r="K2288" s="70" t="n"/>
      <c r="L2288" s="70" t="n"/>
      <c r="M2288" s="71" t="inlineStr">
        <is>
          <t>只</t>
        </is>
      </c>
      <c r="N2288" s="72" t="n">
        <v>236.73</v>
      </c>
      <c r="O2288" s="72">
        <f>ROUND(N2288*(1+$F$10),2)</f>
        <v/>
      </c>
      <c r="P2288" s="73">
        <f>ROUND(K2288*N2288,2)</f>
        <v/>
      </c>
      <c r="Q2288" s="74">
        <f>ROUND(L2288*N2288,2)</f>
        <v/>
      </c>
      <c r="R2288" s="75" t="n"/>
      <c r="S2288" s="76" t="n"/>
      <c r="T2288" s="77">
        <f>K2288-L2288</f>
        <v/>
      </c>
      <c r="U2288" s="77">
        <f>P2288-Q2288</f>
        <v/>
      </c>
      <c r="V2288" s="77">
        <f>ABS(U2288)</f>
        <v/>
      </c>
      <c r="W2288" s="78">
        <f>T2288/L2288</f>
        <v/>
      </c>
      <c r="X2288" s="79">
        <f>ABS(W2288)</f>
        <v/>
      </c>
    </row>
    <row r="2289" ht="11.4" customHeight="1">
      <c r="A2289" s="67" t="inlineStr">
        <is>
          <t>大甜73</t>
        </is>
      </c>
      <c r="B2289" s="67" t="inlineStr">
        <is>
          <t>1071</t>
        </is>
      </c>
      <c r="C2289" s="67" t="inlineStr">
        <is>
          <t>1614</t>
        </is>
      </c>
      <c r="D2289" s="68" t="inlineStr">
        <is>
          <t>03</t>
        </is>
      </c>
      <c r="E2289" s="68" t="inlineStr">
        <is>
          <t>6 物业施工费</t>
        </is>
      </c>
      <c r="F2289" s="68" t="inlineStr">
        <is>
          <t>6.1 总承包工程</t>
        </is>
      </c>
      <c r="G2289" s="68" t="inlineStr">
        <is>
          <t>6.1.4 空调通风工程</t>
        </is>
      </c>
      <c r="H2289" s="68" t="inlineStr">
        <is>
          <t>空调机/风机安装</t>
        </is>
      </c>
      <c r="I2289" s="69" t="inlineStr">
        <is>
          <t>1000021962</t>
        </is>
      </c>
      <c r="J2289" s="69" t="inlineStr">
        <is>
          <t>室外机安装--25匹风冷管道分体空调(含吊杆减震器、维修平台、室外机底座、吊装等）</t>
        </is>
      </c>
      <c r="K2289" s="70" t="n"/>
      <c r="L2289" s="70" t="n"/>
      <c r="M2289" s="71" t="inlineStr">
        <is>
          <t>套</t>
        </is>
      </c>
      <c r="N2289" s="72" t="n">
        <v>5000.89</v>
      </c>
      <c r="O2289" s="72">
        <f>ROUND(N2289*(1+$F$10),2)</f>
        <v/>
      </c>
      <c r="P2289" s="73">
        <f>ROUND(K2289*N2289,2)</f>
        <v/>
      </c>
      <c r="Q2289" s="74">
        <f>ROUND(L2289*N2289,2)</f>
        <v/>
      </c>
      <c r="R2289" s="75" t="n"/>
      <c r="S2289" s="76" t="n"/>
      <c r="T2289" s="77">
        <f>K2289-L2289</f>
        <v/>
      </c>
      <c r="U2289" s="77">
        <f>P2289-Q2289</f>
        <v/>
      </c>
      <c r="V2289" s="77">
        <f>ABS(U2289)</f>
        <v/>
      </c>
      <c r="W2289" s="78">
        <f>T2289/L2289</f>
        <v/>
      </c>
      <c r="X2289" s="79">
        <f>ABS(W2289)</f>
        <v/>
      </c>
    </row>
    <row r="2290" ht="11.4" customHeight="1">
      <c r="A2290" s="67" t="inlineStr">
        <is>
          <t>大甜73</t>
        </is>
      </c>
      <c r="B2290" s="67" t="inlineStr">
        <is>
          <t>1071</t>
        </is>
      </c>
      <c r="C2290" s="67" t="inlineStr">
        <is>
          <t>1614</t>
        </is>
      </c>
      <c r="D2290" s="68" t="inlineStr">
        <is>
          <t>03</t>
        </is>
      </c>
      <c r="E2290" s="68" t="inlineStr">
        <is>
          <t>6 物业施工费</t>
        </is>
      </c>
      <c r="F2290" s="68" t="inlineStr">
        <is>
          <t>6.1 总承包工程</t>
        </is>
      </c>
      <c r="G2290" s="68" t="inlineStr">
        <is>
          <t>6.1.4 空调通风工程</t>
        </is>
      </c>
      <c r="H2290" s="68" t="inlineStr">
        <is>
          <t>空调机/风机安装</t>
        </is>
      </c>
      <c r="I2290" s="69" t="inlineStr">
        <is>
          <t>1000021963</t>
        </is>
      </c>
      <c r="J2290" s="69" t="inlineStr">
        <is>
          <t>室外机安装--15 - 20匹风冷管道分体空调(含吊杆减震器、维修平台、室外机底座、吊装等）</t>
        </is>
      </c>
      <c r="K2290" s="70" t="n"/>
      <c r="L2290" s="70" t="n"/>
      <c r="M2290" s="71" t="inlineStr">
        <is>
          <t>套</t>
        </is>
      </c>
      <c r="N2290" s="72" t="n">
        <v>4096.03</v>
      </c>
      <c r="O2290" s="72">
        <f>ROUND(N2290*(1+$F$10),2)</f>
        <v/>
      </c>
      <c r="P2290" s="73">
        <f>ROUND(K2290*N2290,2)</f>
        <v/>
      </c>
      <c r="Q2290" s="74">
        <f>ROUND(L2290*N2290,2)</f>
        <v/>
      </c>
      <c r="R2290" s="75" t="n"/>
      <c r="S2290" s="76" t="n"/>
      <c r="T2290" s="77">
        <f>K2290-L2290</f>
        <v/>
      </c>
      <c r="U2290" s="77">
        <f>P2290-Q2290</f>
        <v/>
      </c>
      <c r="V2290" s="77">
        <f>ABS(U2290)</f>
        <v/>
      </c>
      <c r="W2290" s="78">
        <f>T2290/L2290</f>
        <v/>
      </c>
      <c r="X2290" s="79">
        <f>ABS(W2290)</f>
        <v/>
      </c>
    </row>
    <row r="2291" ht="11.4" customHeight="1">
      <c r="A2291" s="67" t="inlineStr">
        <is>
          <t>大甜73</t>
        </is>
      </c>
      <c r="B2291" s="67" t="inlineStr">
        <is>
          <t>1071</t>
        </is>
      </c>
      <c r="C2291" s="67" t="inlineStr">
        <is>
          <t>1614</t>
        </is>
      </c>
      <c r="D2291" s="68" t="inlineStr">
        <is>
          <t>03</t>
        </is>
      </c>
      <c r="E2291" s="68" t="inlineStr">
        <is>
          <t>6 物业施工费</t>
        </is>
      </c>
      <c r="F2291" s="68" t="inlineStr">
        <is>
          <t>6.1 总承包工程</t>
        </is>
      </c>
      <c r="G2291" s="68" t="inlineStr">
        <is>
          <t>6.1.4 空调通风工程</t>
        </is>
      </c>
      <c r="H2291" s="68" t="inlineStr">
        <is>
          <t>空调机/风机安装</t>
        </is>
      </c>
      <c r="I2291" s="69" t="inlineStr">
        <is>
          <t>1000021964</t>
        </is>
      </c>
      <c r="J2291" s="69" t="inlineStr">
        <is>
          <t>室外机安装--8 - 12.5匹风冷管道分体空调(含吊杆减震器、维修平台、室外机底座、吊装等）</t>
        </is>
      </c>
      <c r="K2291" s="70" t="n"/>
      <c r="L2291" s="70" t="n"/>
      <c r="M2291" s="71" t="inlineStr">
        <is>
          <t>套</t>
        </is>
      </c>
      <c r="N2291" s="72" t="n">
        <v>1924.76</v>
      </c>
      <c r="O2291" s="72">
        <f>ROUND(N2291*(1+$F$10),2)</f>
        <v/>
      </c>
      <c r="P2291" s="73">
        <f>ROUND(K2291*N2291,2)</f>
        <v/>
      </c>
      <c r="Q2291" s="74">
        <f>ROUND(L2291*N2291,2)</f>
        <v/>
      </c>
      <c r="R2291" s="75" t="n"/>
      <c r="S2291" s="76" t="n"/>
      <c r="T2291" s="77">
        <f>K2291-L2291</f>
        <v/>
      </c>
      <c r="U2291" s="77">
        <f>P2291-Q2291</f>
        <v/>
      </c>
      <c r="V2291" s="77">
        <f>ABS(U2291)</f>
        <v/>
      </c>
      <c r="W2291" s="78">
        <f>T2291/L2291</f>
        <v/>
      </c>
      <c r="X2291" s="79">
        <f>ABS(W2291)</f>
        <v/>
      </c>
    </row>
    <row r="2292" ht="11.4" customHeight="1">
      <c r="A2292" s="67" t="inlineStr">
        <is>
          <t>大甜73</t>
        </is>
      </c>
      <c r="B2292" s="67" t="inlineStr">
        <is>
          <t>1071</t>
        </is>
      </c>
      <c r="C2292" s="67" t="inlineStr">
        <is>
          <t>1614</t>
        </is>
      </c>
      <c r="D2292" s="68" t="inlineStr">
        <is>
          <t>03</t>
        </is>
      </c>
      <c r="E2292" s="68" t="inlineStr">
        <is>
          <t>6 物业施工费</t>
        </is>
      </c>
      <c r="F2292" s="68" t="inlineStr">
        <is>
          <t>6.1 总承包工程</t>
        </is>
      </c>
      <c r="G2292" s="68" t="inlineStr">
        <is>
          <t>6.1.4 空调通风工程</t>
        </is>
      </c>
      <c r="H2292" s="68" t="inlineStr">
        <is>
          <t>空调机/风机安装</t>
        </is>
      </c>
      <c r="I2292" s="69" t="inlineStr">
        <is>
          <t>1000021965</t>
        </is>
      </c>
      <c r="J2292" s="69" t="inlineStr">
        <is>
          <t>室外机安装--5 - 7匹风冷管道分体空调(含吊杆减震器、维修平台、室外机底座、吊装等）</t>
        </is>
      </c>
      <c r="K2292" s="70" t="n"/>
      <c r="L2292" s="70" t="n"/>
      <c r="M2292" s="71" t="inlineStr">
        <is>
          <t>套</t>
        </is>
      </c>
      <c r="N2292" s="72" t="n">
        <v>1165.33</v>
      </c>
      <c r="O2292" s="72">
        <f>ROUND(N2292*(1+$F$10),2)</f>
        <v/>
      </c>
      <c r="P2292" s="73">
        <f>ROUND(K2292*N2292,2)</f>
        <v/>
      </c>
      <c r="Q2292" s="74">
        <f>ROUND(L2292*N2292,2)</f>
        <v/>
      </c>
      <c r="R2292" s="75" t="n"/>
      <c r="S2292" s="76" t="n"/>
      <c r="T2292" s="77">
        <f>K2292-L2292</f>
        <v/>
      </c>
      <c r="U2292" s="77">
        <f>P2292-Q2292</f>
        <v/>
      </c>
      <c r="V2292" s="77">
        <f>ABS(U2292)</f>
        <v/>
      </c>
      <c r="W2292" s="78">
        <f>T2292/L2292</f>
        <v/>
      </c>
      <c r="X2292" s="79">
        <f>ABS(W2292)</f>
        <v/>
      </c>
    </row>
    <row r="2293" ht="11.4" customHeight="1">
      <c r="A2293" s="67" t="inlineStr">
        <is>
          <t>大甜73</t>
        </is>
      </c>
      <c r="B2293" s="67" t="inlineStr">
        <is>
          <t>1071</t>
        </is>
      </c>
      <c r="C2293" s="67" t="inlineStr">
        <is>
          <t>1614</t>
        </is>
      </c>
      <c r="D2293" s="68" t="inlineStr">
        <is>
          <t>03</t>
        </is>
      </c>
      <c r="E2293" s="68" t="inlineStr">
        <is>
          <t>6 物业施工费</t>
        </is>
      </c>
      <c r="F2293" s="68" t="inlineStr">
        <is>
          <t>6.1 总承包工程</t>
        </is>
      </c>
      <c r="G2293" s="68" t="inlineStr">
        <is>
          <t>6.1.4 空调通风工程</t>
        </is>
      </c>
      <c r="H2293" s="68" t="inlineStr">
        <is>
          <t>空调机/风机安装</t>
        </is>
      </c>
      <c r="I2293" s="69" t="inlineStr">
        <is>
          <t>1000021966</t>
        </is>
      </c>
      <c r="J2293" s="69" t="inlineStr">
        <is>
          <t>室外机安装--3匹风冷管道分体空调(含吊杆减震器、维修平台、室外机底座、吊装等）</t>
        </is>
      </c>
      <c r="K2293" s="70" t="n"/>
      <c r="L2293" s="70" t="n"/>
      <c r="M2293" s="71" t="inlineStr">
        <is>
          <t>套</t>
        </is>
      </c>
      <c r="N2293" s="72" t="n">
        <v>918.38</v>
      </c>
      <c r="O2293" s="72">
        <f>ROUND(N2293*(1+$F$10),2)</f>
        <v/>
      </c>
      <c r="P2293" s="73">
        <f>ROUND(K2293*N2293,2)</f>
        <v/>
      </c>
      <c r="Q2293" s="74">
        <f>ROUND(L2293*N2293,2)</f>
        <v/>
      </c>
      <c r="R2293" s="75" t="n"/>
      <c r="S2293" s="76" t="n"/>
      <c r="T2293" s="77">
        <f>K2293-L2293</f>
        <v/>
      </c>
      <c r="U2293" s="77">
        <f>P2293-Q2293</f>
        <v/>
      </c>
      <c r="V2293" s="77">
        <f>ABS(U2293)</f>
        <v/>
      </c>
      <c r="W2293" s="78">
        <f>T2293/L2293</f>
        <v/>
      </c>
      <c r="X2293" s="79">
        <f>ABS(W2293)</f>
        <v/>
      </c>
    </row>
    <row r="2294" ht="11.4" customHeight="1">
      <c r="A2294" s="67" t="inlineStr">
        <is>
          <t>大甜73</t>
        </is>
      </c>
      <c r="B2294" s="67" t="inlineStr">
        <is>
          <t>1071</t>
        </is>
      </c>
      <c r="C2294" s="67" t="inlineStr">
        <is>
          <t>1614</t>
        </is>
      </c>
      <c r="D2294" s="68" t="inlineStr">
        <is>
          <t>03</t>
        </is>
      </c>
      <c r="E2294" s="68" t="inlineStr">
        <is>
          <t>6 物业施工费</t>
        </is>
      </c>
      <c r="F2294" s="68" t="inlineStr">
        <is>
          <t>6.1 总承包工程</t>
        </is>
      </c>
      <c r="G2294" s="68" t="inlineStr">
        <is>
          <t>6.1.4 空调通风工程</t>
        </is>
      </c>
      <c r="H2294" s="68" t="inlineStr">
        <is>
          <t>空调机/风机安装</t>
        </is>
      </c>
      <c r="I2294" s="69" t="inlineStr">
        <is>
          <t>1000021967</t>
        </is>
      </c>
      <c r="J2294" s="69" t="inlineStr">
        <is>
          <t>室内机安装--8 - 12.5匹风冷管道分体空调(含吊杆减震器、维修平台、室外机底座等）</t>
        </is>
      </c>
      <c r="K2294" s="70" t="n"/>
      <c r="L2294" s="70" t="n"/>
      <c r="M2294" s="71" t="inlineStr">
        <is>
          <t>套</t>
        </is>
      </c>
      <c r="N2294" s="72" t="n">
        <v>944.89</v>
      </c>
      <c r="O2294" s="72">
        <f>ROUND(N2294*(1+$F$10),2)</f>
        <v/>
      </c>
      <c r="P2294" s="73">
        <f>ROUND(K2294*N2294,2)</f>
        <v/>
      </c>
      <c r="Q2294" s="74">
        <f>ROUND(L2294*N2294,2)</f>
        <v/>
      </c>
      <c r="R2294" s="75" t="n"/>
      <c r="S2294" s="76" t="n"/>
      <c r="T2294" s="77">
        <f>K2294-L2294</f>
        <v/>
      </c>
      <c r="U2294" s="77">
        <f>P2294-Q2294</f>
        <v/>
      </c>
      <c r="V2294" s="77">
        <f>ABS(U2294)</f>
        <v/>
      </c>
      <c r="W2294" s="78">
        <f>T2294/L2294</f>
        <v/>
      </c>
      <c r="X2294" s="79">
        <f>ABS(W2294)</f>
        <v/>
      </c>
    </row>
    <row r="2295" ht="11.4" customHeight="1">
      <c r="A2295" s="67" t="inlineStr">
        <is>
          <t>大甜73</t>
        </is>
      </c>
      <c r="B2295" s="67" t="inlineStr">
        <is>
          <t>1071</t>
        </is>
      </c>
      <c r="C2295" s="67" t="inlineStr">
        <is>
          <t>1614</t>
        </is>
      </c>
      <c r="D2295" s="68" t="inlineStr">
        <is>
          <t>03</t>
        </is>
      </c>
      <c r="E2295" s="68" t="inlineStr">
        <is>
          <t>6 物业施工费</t>
        </is>
      </c>
      <c r="F2295" s="68" t="inlineStr">
        <is>
          <t>6.1 总承包工程</t>
        </is>
      </c>
      <c r="G2295" s="68" t="inlineStr">
        <is>
          <t>6.1.4 空调通风工程</t>
        </is>
      </c>
      <c r="H2295" s="68" t="inlineStr">
        <is>
          <t>空调机/风机安装</t>
        </is>
      </c>
      <c r="I2295" s="69" t="inlineStr">
        <is>
          <t>1000021968</t>
        </is>
      </c>
      <c r="J2295" s="69" t="inlineStr">
        <is>
          <t>室内机安装--5 - 7匹风冷管道分体空调(含吊杆减震器、维修平台、室外机底座等）</t>
        </is>
      </c>
      <c r="K2295" s="70" t="n"/>
      <c r="L2295" s="70" t="n"/>
      <c r="M2295" s="71" t="inlineStr">
        <is>
          <t>套</t>
        </is>
      </c>
      <c r="N2295" s="72" t="n">
        <v>621.38</v>
      </c>
      <c r="O2295" s="72">
        <f>ROUND(N2295*(1+$F$10),2)</f>
        <v/>
      </c>
      <c r="P2295" s="73">
        <f>ROUND(K2295*N2295,2)</f>
        <v/>
      </c>
      <c r="Q2295" s="74">
        <f>ROUND(L2295*N2295,2)</f>
        <v/>
      </c>
      <c r="R2295" s="75" t="n"/>
      <c r="S2295" s="76" t="n"/>
      <c r="T2295" s="77">
        <f>K2295-L2295</f>
        <v/>
      </c>
      <c r="U2295" s="77">
        <f>P2295-Q2295</f>
        <v/>
      </c>
      <c r="V2295" s="77">
        <f>ABS(U2295)</f>
        <v/>
      </c>
      <c r="W2295" s="78">
        <f>T2295/L2295</f>
        <v/>
      </c>
      <c r="X2295" s="79">
        <f>ABS(W2295)</f>
        <v/>
      </c>
    </row>
    <row r="2296" ht="11.4" customHeight="1">
      <c r="A2296" s="67" t="inlineStr">
        <is>
          <t>大甜73</t>
        </is>
      </c>
      <c r="B2296" s="67" t="inlineStr">
        <is>
          <t>1071</t>
        </is>
      </c>
      <c r="C2296" s="67" t="inlineStr">
        <is>
          <t>1614</t>
        </is>
      </c>
      <c r="D2296" s="68" t="inlineStr">
        <is>
          <t>03</t>
        </is>
      </c>
      <c r="E2296" s="68" t="inlineStr">
        <is>
          <t>6 物业施工费</t>
        </is>
      </c>
      <c r="F2296" s="68" t="inlineStr">
        <is>
          <t>6.1 总承包工程</t>
        </is>
      </c>
      <c r="G2296" s="68" t="inlineStr">
        <is>
          <t>6.1.4 空调通风工程</t>
        </is>
      </c>
      <c r="H2296" s="68" t="inlineStr">
        <is>
          <t>空调机/风机安装</t>
        </is>
      </c>
      <c r="I2296" s="69" t="inlineStr">
        <is>
          <t>1000021969</t>
        </is>
      </c>
      <c r="J2296" s="69" t="inlineStr">
        <is>
          <t>室内机安装--3匹风冷管道分体空调(含吊杆减震器、维修平台、室外机底座等）</t>
        </is>
      </c>
      <c r="K2296" s="70" t="n"/>
      <c r="L2296" s="70" t="n"/>
      <c r="M2296" s="71" t="inlineStr">
        <is>
          <t>套</t>
        </is>
      </c>
      <c r="N2296" s="72" t="n">
        <v>242.43</v>
      </c>
      <c r="O2296" s="72">
        <f>ROUND(N2296*(1+$F$10),2)</f>
        <v/>
      </c>
      <c r="P2296" s="73">
        <f>ROUND(K2296*N2296,2)</f>
        <v/>
      </c>
      <c r="Q2296" s="74">
        <f>ROUND(L2296*N2296,2)</f>
        <v/>
      </c>
      <c r="R2296" s="75" t="n"/>
      <c r="S2296" s="76" t="n"/>
      <c r="T2296" s="77">
        <f>K2296-L2296</f>
        <v/>
      </c>
      <c r="U2296" s="77">
        <f>P2296-Q2296</f>
        <v/>
      </c>
      <c r="V2296" s="77">
        <f>ABS(U2296)</f>
        <v/>
      </c>
      <c r="W2296" s="78">
        <f>T2296/L2296</f>
        <v/>
      </c>
      <c r="X2296" s="79">
        <f>ABS(W2296)</f>
        <v/>
      </c>
    </row>
    <row r="2297" ht="11.4" customHeight="1">
      <c r="A2297" s="67" t="inlineStr">
        <is>
          <t>大甜73</t>
        </is>
      </c>
      <c r="B2297" s="67" t="inlineStr">
        <is>
          <t>1071</t>
        </is>
      </c>
      <c r="C2297" s="67" t="inlineStr">
        <is>
          <t>1614</t>
        </is>
      </c>
      <c r="D2297" s="68" t="inlineStr">
        <is>
          <t>03</t>
        </is>
      </c>
      <c r="E2297" s="68" t="inlineStr">
        <is>
          <t>6 物业施工费</t>
        </is>
      </c>
      <c r="F2297" s="68" t="inlineStr">
        <is>
          <t>6.1 总承包工程</t>
        </is>
      </c>
      <c r="G2297" s="68" t="inlineStr">
        <is>
          <t>6.1.4 空调通风工程</t>
        </is>
      </c>
      <c r="H2297" s="68" t="inlineStr">
        <is>
          <t>空调机/风机安装</t>
        </is>
      </c>
      <c r="I2297" s="69" t="inlineStr">
        <is>
          <t>1000021970</t>
        </is>
      </c>
      <c r="J2297" s="69" t="inlineStr">
        <is>
          <t>多联机制冷剂（室外机数量，单根冷媒管长度在70米以下）</t>
        </is>
      </c>
      <c r="K2297" s="70" t="n"/>
      <c r="L2297" s="70" t="n"/>
      <c r="M2297" s="71" t="inlineStr">
        <is>
          <t>台</t>
        </is>
      </c>
      <c r="N2297" s="72" t="n">
        <v>610</v>
      </c>
      <c r="O2297" s="72">
        <f>ROUND(N2297*(1+$F$10),2)</f>
        <v/>
      </c>
      <c r="P2297" s="73">
        <f>ROUND(K2297*N2297,2)</f>
        <v/>
      </c>
      <c r="Q2297" s="74">
        <f>ROUND(L2297*N2297,2)</f>
        <v/>
      </c>
      <c r="R2297" s="75" t="n"/>
      <c r="S2297" s="76" t="n"/>
      <c r="T2297" s="77">
        <f>K2297-L2297</f>
        <v/>
      </c>
      <c r="U2297" s="77">
        <f>P2297-Q2297</f>
        <v/>
      </c>
      <c r="V2297" s="77">
        <f>ABS(U2297)</f>
        <v/>
      </c>
      <c r="W2297" s="78">
        <f>T2297/L2297</f>
        <v/>
      </c>
      <c r="X2297" s="79">
        <f>ABS(W2297)</f>
        <v/>
      </c>
    </row>
    <row r="2298" ht="11.4" customHeight="1">
      <c r="A2298" s="67" t="inlineStr">
        <is>
          <t>大甜73</t>
        </is>
      </c>
      <c r="B2298" s="67" t="inlineStr">
        <is>
          <t>1071</t>
        </is>
      </c>
      <c r="C2298" s="67" t="inlineStr">
        <is>
          <t>1614</t>
        </is>
      </c>
      <c r="D2298" s="68" t="inlineStr">
        <is>
          <t>03</t>
        </is>
      </c>
      <c r="E2298" s="68" t="inlineStr">
        <is>
          <t>6 物业施工费</t>
        </is>
      </c>
      <c r="F2298" s="68" t="inlineStr">
        <is>
          <t>6.1 总承包工程</t>
        </is>
      </c>
      <c r="G2298" s="68" t="inlineStr">
        <is>
          <t>6.1.4 空调通风工程</t>
        </is>
      </c>
      <c r="H2298" s="68" t="inlineStr">
        <is>
          <t>空调机/风机安装</t>
        </is>
      </c>
      <c r="I2298" s="69" t="inlineStr">
        <is>
          <t>1000021971</t>
        </is>
      </c>
      <c r="J2298" s="69" t="inlineStr">
        <is>
          <t>多联机制冷剂（室外机数量，单根冷媒管长度在70米以上）</t>
        </is>
      </c>
      <c r="K2298" s="70" t="n"/>
      <c r="L2298" s="70" t="n"/>
      <c r="M2298" s="71" t="inlineStr">
        <is>
          <t>台</t>
        </is>
      </c>
      <c r="N2298" s="72" t="n">
        <v>610</v>
      </c>
      <c r="O2298" s="72">
        <f>ROUND(N2298*(1+$F$10),2)</f>
        <v/>
      </c>
      <c r="P2298" s="73">
        <f>ROUND(K2298*N2298,2)</f>
        <v/>
      </c>
      <c r="Q2298" s="74">
        <f>ROUND(L2298*N2298,2)</f>
        <v/>
      </c>
      <c r="R2298" s="75" t="n"/>
      <c r="S2298" s="76" t="n"/>
      <c r="T2298" s="77">
        <f>K2298-L2298</f>
        <v/>
      </c>
      <c r="U2298" s="77">
        <f>P2298-Q2298</f>
        <v/>
      </c>
      <c r="V2298" s="77">
        <f>ABS(U2298)</f>
        <v/>
      </c>
      <c r="W2298" s="78">
        <f>T2298/L2298</f>
        <v/>
      </c>
      <c r="X2298" s="79">
        <f>ABS(W2298)</f>
        <v/>
      </c>
    </row>
    <row r="2299" ht="11.4" customHeight="1">
      <c r="A2299" s="67" t="inlineStr">
        <is>
          <t>大甜73</t>
        </is>
      </c>
      <c r="B2299" s="67" t="inlineStr">
        <is>
          <t>1071</t>
        </is>
      </c>
      <c r="C2299" s="67" t="inlineStr">
        <is>
          <t>1614</t>
        </is>
      </c>
      <c r="D2299" s="68" t="inlineStr">
        <is>
          <t>03</t>
        </is>
      </c>
      <c r="E2299" s="68" t="inlineStr">
        <is>
          <t>6 物业施工费</t>
        </is>
      </c>
      <c r="F2299" s="68" t="inlineStr">
        <is>
          <t>6.1 总承包工程</t>
        </is>
      </c>
      <c r="G2299" s="68" t="inlineStr">
        <is>
          <t>6.1.4 空调通风工程</t>
        </is>
      </c>
      <c r="H2299" s="68" t="inlineStr">
        <is>
          <t>空调机/风机安装</t>
        </is>
      </c>
      <c r="I2299" s="69" t="inlineStr">
        <is>
          <t>1000021972</t>
        </is>
      </c>
      <c r="J2299" s="69" t="inlineStr">
        <is>
          <t>单联机制冷剂（室外机数量，单根冷媒管长度在70米以下）</t>
        </is>
      </c>
      <c r="K2299" s="70" t="n"/>
      <c r="L2299" s="70" t="n"/>
      <c r="M2299" s="71" t="inlineStr">
        <is>
          <t>台</t>
        </is>
      </c>
      <c r="N2299" s="72" t="n">
        <v>368</v>
      </c>
      <c r="O2299" s="72">
        <f>ROUND(N2299*(1+$F$10),2)</f>
        <v/>
      </c>
      <c r="P2299" s="73">
        <f>ROUND(K2299*N2299,2)</f>
        <v/>
      </c>
      <c r="Q2299" s="74">
        <f>ROUND(L2299*N2299,2)</f>
        <v/>
      </c>
      <c r="R2299" s="75" t="n"/>
      <c r="S2299" s="76" t="n"/>
      <c r="T2299" s="77">
        <f>K2299-L2299</f>
        <v/>
      </c>
      <c r="U2299" s="77">
        <f>P2299-Q2299</f>
        <v/>
      </c>
      <c r="V2299" s="77">
        <f>ABS(U2299)</f>
        <v/>
      </c>
      <c r="W2299" s="78">
        <f>T2299/L2299</f>
        <v/>
      </c>
      <c r="X2299" s="79">
        <f>ABS(W2299)</f>
        <v/>
      </c>
    </row>
    <row r="2300" ht="11.4" customHeight="1">
      <c r="A2300" s="67" t="inlineStr">
        <is>
          <t>大甜73</t>
        </is>
      </c>
      <c r="B2300" s="67" t="inlineStr">
        <is>
          <t>1071</t>
        </is>
      </c>
      <c r="C2300" s="67" t="inlineStr">
        <is>
          <t>1614</t>
        </is>
      </c>
      <c r="D2300" s="68" t="inlineStr">
        <is>
          <t>03</t>
        </is>
      </c>
      <c r="E2300" s="68" t="inlineStr">
        <is>
          <t>6 物业施工费</t>
        </is>
      </c>
      <c r="F2300" s="68" t="inlineStr">
        <is>
          <t>6.1 总承包工程</t>
        </is>
      </c>
      <c r="G2300" s="68" t="inlineStr">
        <is>
          <t>6.1.4 空调通风工程</t>
        </is>
      </c>
      <c r="H2300" s="68" t="inlineStr">
        <is>
          <t>空调机/风机安装</t>
        </is>
      </c>
      <c r="I2300" s="69" t="inlineStr">
        <is>
          <t>1000021973</t>
        </is>
      </c>
      <c r="J2300" s="69" t="inlineStr">
        <is>
          <t>单联机制冷剂（室外机数量，单根冷媒管长度在70米以上）</t>
        </is>
      </c>
      <c r="K2300" s="70" t="n"/>
      <c r="L2300" s="70" t="n"/>
      <c r="M2300" s="71" t="inlineStr">
        <is>
          <t>台</t>
        </is>
      </c>
      <c r="N2300" s="72" t="n">
        <v>368</v>
      </c>
      <c r="O2300" s="72">
        <f>ROUND(N2300*(1+$F$10),2)</f>
        <v/>
      </c>
      <c r="P2300" s="73">
        <f>ROUND(K2300*N2300,2)</f>
        <v/>
      </c>
      <c r="Q2300" s="74">
        <f>ROUND(L2300*N2300,2)</f>
        <v/>
      </c>
      <c r="R2300" s="75" t="n"/>
      <c r="S2300" s="76" t="n"/>
      <c r="T2300" s="77">
        <f>K2300-L2300</f>
        <v/>
      </c>
      <c r="U2300" s="77">
        <f>P2300-Q2300</f>
        <v/>
      </c>
      <c r="V2300" s="77">
        <f>ABS(U2300)</f>
        <v/>
      </c>
      <c r="W2300" s="78">
        <f>T2300/L2300</f>
        <v/>
      </c>
      <c r="X2300" s="79">
        <f>ABS(W2300)</f>
        <v/>
      </c>
    </row>
    <row r="2301" ht="11.4" customHeight="1">
      <c r="A2301" s="67" t="inlineStr">
        <is>
          <t>大甜73</t>
        </is>
      </c>
      <c r="B2301" s="67" t="inlineStr">
        <is>
          <t>1071</t>
        </is>
      </c>
      <c r="C2301" s="67" t="inlineStr">
        <is>
          <t>1614</t>
        </is>
      </c>
      <c r="D2301" s="68" t="inlineStr">
        <is>
          <t>03</t>
        </is>
      </c>
      <c r="E2301" s="68" t="inlineStr">
        <is>
          <t>6 物业施工费</t>
        </is>
      </c>
      <c r="F2301" s="68" t="inlineStr">
        <is>
          <t>6.1 总承包工程</t>
        </is>
      </c>
      <c r="G2301" s="68" t="inlineStr">
        <is>
          <t>6.1.4 空调通风工程</t>
        </is>
      </c>
      <c r="H2301" s="68" t="inlineStr">
        <is>
          <t>空调机/风机安装</t>
        </is>
      </c>
      <c r="I2301" s="69" t="inlineStr">
        <is>
          <t>1000040113</t>
        </is>
      </c>
      <c r="J2301" s="69" t="inlineStr">
        <is>
          <t>冷却水塔系统</t>
        </is>
      </c>
      <c r="K2301" s="70" t="n"/>
      <c r="L2301" s="70" t="n"/>
      <c r="M2301" s="71" t="inlineStr">
        <is>
          <t>项</t>
        </is>
      </c>
      <c r="N2301" s="72" t="n"/>
      <c r="O2301" s="72">
        <f>ROUND(N2301*(1+$F$10),2)</f>
        <v/>
      </c>
      <c r="P2301" s="73">
        <f>ROUND(K2301*N2301,2)</f>
        <v/>
      </c>
      <c r="Q2301" s="74">
        <f>ROUND(L2301*N2301,2)</f>
        <v/>
      </c>
      <c r="R2301" s="75" t="n"/>
      <c r="S2301" s="76" t="n"/>
      <c r="T2301" s="77">
        <f>K2301-L2301</f>
        <v/>
      </c>
      <c r="U2301" s="77">
        <f>P2301-Q2301</f>
        <v/>
      </c>
      <c r="V2301" s="77">
        <f>ABS(U2301)</f>
        <v/>
      </c>
      <c r="W2301" s="78">
        <f>T2301/L2301</f>
        <v/>
      </c>
      <c r="X2301" s="79">
        <f>ABS(W2301)</f>
        <v/>
      </c>
    </row>
    <row r="2302" ht="11.4" customHeight="1">
      <c r="A2302" s="67" t="inlineStr">
        <is>
          <t>大甜73</t>
        </is>
      </c>
      <c r="B2302" s="67" t="inlineStr">
        <is>
          <t>1071</t>
        </is>
      </c>
      <c r="C2302" s="67" t="inlineStr">
        <is>
          <t>1614</t>
        </is>
      </c>
      <c r="D2302" s="68" t="inlineStr">
        <is>
          <t>03</t>
        </is>
      </c>
      <c r="E2302" s="68" t="inlineStr">
        <is>
          <t>6 物业施工费</t>
        </is>
      </c>
      <c r="F2302" s="68" t="inlineStr">
        <is>
          <t>6.1 总承包工程</t>
        </is>
      </c>
      <c r="G2302" s="68" t="inlineStr">
        <is>
          <t>6.1.4 空调通风工程</t>
        </is>
      </c>
      <c r="H2302" s="68" t="inlineStr">
        <is>
          <t>空调机/风机安装</t>
        </is>
      </c>
      <c r="I2302" s="69" t="inlineStr">
        <is>
          <t>1000021974</t>
        </is>
      </c>
      <c r="J2302" s="69" t="inlineStr">
        <is>
          <t>新风机/排风机连吊杆减震器等(风量4000CMH及以上）（不含主材）</t>
        </is>
      </c>
      <c r="K2302" s="70" t="n"/>
      <c r="L2302" s="70" t="n"/>
      <c r="M2302" s="71" t="inlineStr">
        <is>
          <t>台</t>
        </is>
      </c>
      <c r="N2302" s="72" t="n">
        <v>1973.15</v>
      </c>
      <c r="O2302" s="72">
        <f>ROUND(N2302*(1+$F$10),2)</f>
        <v/>
      </c>
      <c r="P2302" s="73">
        <f>ROUND(K2302*N2302,2)</f>
        <v/>
      </c>
      <c r="Q2302" s="74">
        <f>ROUND(L2302*N2302,2)</f>
        <v/>
      </c>
      <c r="R2302" s="75" t="n"/>
      <c r="S2302" s="76" t="n"/>
      <c r="T2302" s="77">
        <f>K2302-L2302</f>
        <v/>
      </c>
      <c r="U2302" s="77">
        <f>P2302-Q2302</f>
        <v/>
      </c>
      <c r="V2302" s="77">
        <f>ABS(U2302)</f>
        <v/>
      </c>
      <c r="W2302" s="78">
        <f>T2302/L2302</f>
        <v/>
      </c>
      <c r="X2302" s="79">
        <f>ABS(W2302)</f>
        <v/>
      </c>
    </row>
    <row r="2303" ht="11.4" customHeight="1">
      <c r="A2303" s="67" t="inlineStr">
        <is>
          <t>大甜73</t>
        </is>
      </c>
      <c r="B2303" s="67" t="inlineStr">
        <is>
          <t>1071</t>
        </is>
      </c>
      <c r="C2303" s="67" t="inlineStr">
        <is>
          <t>1614</t>
        </is>
      </c>
      <c r="D2303" s="68" t="inlineStr">
        <is>
          <t>03</t>
        </is>
      </c>
      <c r="E2303" s="68" t="inlineStr">
        <is>
          <t>6 物业施工费</t>
        </is>
      </c>
      <c r="F2303" s="68" t="inlineStr">
        <is>
          <t>6.1 总承包工程</t>
        </is>
      </c>
      <c r="G2303" s="68" t="inlineStr">
        <is>
          <t>6.1.4 空调通风工程</t>
        </is>
      </c>
      <c r="H2303" s="68" t="inlineStr">
        <is>
          <t>空调机/风机安装</t>
        </is>
      </c>
      <c r="I2303" s="69" t="inlineStr">
        <is>
          <t>1000021975</t>
        </is>
      </c>
      <c r="J2303" s="69" t="inlineStr">
        <is>
          <t>新风机/排风机连吊杆减震器等(风量2000-4000CMH）（不含主材）</t>
        </is>
      </c>
      <c r="K2303" s="70" t="n"/>
      <c r="L2303" s="70" t="n"/>
      <c r="M2303" s="71" t="inlineStr">
        <is>
          <t>台</t>
        </is>
      </c>
      <c r="N2303" s="72" t="n">
        <v>1264.76</v>
      </c>
      <c r="O2303" s="72">
        <f>ROUND(N2303*(1+$F$10),2)</f>
        <v/>
      </c>
      <c r="P2303" s="73">
        <f>ROUND(K2303*N2303,2)</f>
        <v/>
      </c>
      <c r="Q2303" s="74">
        <f>ROUND(L2303*N2303,2)</f>
        <v/>
      </c>
      <c r="R2303" s="75" t="n"/>
      <c r="S2303" s="76" t="n"/>
      <c r="T2303" s="77">
        <f>K2303-L2303</f>
        <v/>
      </c>
      <c r="U2303" s="77">
        <f>P2303-Q2303</f>
        <v/>
      </c>
      <c r="V2303" s="77">
        <f>ABS(U2303)</f>
        <v/>
      </c>
      <c r="W2303" s="78">
        <f>T2303/L2303</f>
        <v/>
      </c>
      <c r="X2303" s="79">
        <f>ABS(W2303)</f>
        <v/>
      </c>
    </row>
    <row r="2304" ht="11.4" customHeight="1">
      <c r="A2304" s="67" t="inlineStr">
        <is>
          <t>大甜73</t>
        </is>
      </c>
      <c r="B2304" s="67" t="inlineStr">
        <is>
          <t>1071</t>
        </is>
      </c>
      <c r="C2304" s="67" t="inlineStr">
        <is>
          <t>1614</t>
        </is>
      </c>
      <c r="D2304" s="68" t="inlineStr">
        <is>
          <t>03</t>
        </is>
      </c>
      <c r="E2304" s="68" t="inlineStr">
        <is>
          <t>6 物业施工费</t>
        </is>
      </c>
      <c r="F2304" s="68" t="inlineStr">
        <is>
          <t>6.1 总承包工程</t>
        </is>
      </c>
      <c r="G2304" s="68" t="inlineStr">
        <is>
          <t>6.1.4 空调通风工程</t>
        </is>
      </c>
      <c r="H2304" s="68" t="inlineStr">
        <is>
          <t>空调机/风机安装</t>
        </is>
      </c>
      <c r="I2304" s="69" t="inlineStr">
        <is>
          <t>1000021976</t>
        </is>
      </c>
      <c r="J2304" s="69" t="inlineStr">
        <is>
          <t>新风机/排风机连吊杆减震器等(风量2000CMH及以下）（不含主材）</t>
        </is>
      </c>
      <c r="K2304" s="70" t="n"/>
      <c r="L2304" s="70" t="n"/>
      <c r="M2304" s="71" t="inlineStr">
        <is>
          <t>台</t>
        </is>
      </c>
      <c r="N2304" s="72" t="n">
        <v>641.29</v>
      </c>
      <c r="O2304" s="72">
        <f>ROUND(N2304*(1+$F$10),2)</f>
        <v/>
      </c>
      <c r="P2304" s="73">
        <f>ROUND(K2304*N2304,2)</f>
        <v/>
      </c>
      <c r="Q2304" s="74">
        <f>ROUND(L2304*N2304,2)</f>
        <v/>
      </c>
      <c r="R2304" s="75" t="n"/>
      <c r="S2304" s="76" t="n"/>
      <c r="T2304" s="77">
        <f>K2304-L2304</f>
        <v/>
      </c>
      <c r="U2304" s="77">
        <f>P2304-Q2304</f>
        <v/>
      </c>
      <c r="V2304" s="77">
        <f>ABS(U2304)</f>
        <v/>
      </c>
      <c r="W2304" s="78">
        <f>T2304/L2304</f>
        <v/>
      </c>
      <c r="X2304" s="79">
        <f>ABS(W2304)</f>
        <v/>
      </c>
    </row>
    <row r="2305" ht="11.4" customHeight="1">
      <c r="A2305" s="67" t="inlineStr">
        <is>
          <t>大甜73</t>
        </is>
      </c>
      <c r="B2305" s="67" t="inlineStr">
        <is>
          <t>1071</t>
        </is>
      </c>
      <c r="C2305" s="67" t="inlineStr">
        <is>
          <t>1614</t>
        </is>
      </c>
      <c r="D2305" s="68" t="inlineStr">
        <is>
          <t>03</t>
        </is>
      </c>
      <c r="E2305" s="68" t="inlineStr">
        <is>
          <t>6 物业施工费</t>
        </is>
      </c>
      <c r="F2305" s="68" t="inlineStr">
        <is>
          <t>6.1 总承包工程</t>
        </is>
      </c>
      <c r="G2305" s="68" t="inlineStr">
        <is>
          <t>6.1.4 空调通风工程</t>
        </is>
      </c>
      <c r="H2305" s="68" t="inlineStr">
        <is>
          <t>空调机/风机安装</t>
        </is>
      </c>
      <c r="I2305" s="69" t="inlineStr">
        <is>
          <t>1000021977</t>
        </is>
      </c>
      <c r="J2305" s="69" t="inlineStr">
        <is>
          <t>排油烟机安装, 连吊杆减震器及底座、检修平台(不含抽油烟机主材)</t>
        </is>
      </c>
      <c r="K2305" s="70" t="n"/>
      <c r="L2305" s="70" t="n"/>
      <c r="M2305" s="71" t="inlineStr">
        <is>
          <t>台</t>
        </is>
      </c>
      <c r="N2305" s="72" t="n">
        <v>1813.65</v>
      </c>
      <c r="O2305" s="72">
        <f>ROUND(N2305*(1+$F$10),2)</f>
        <v/>
      </c>
      <c r="P2305" s="73">
        <f>ROUND(K2305*N2305,2)</f>
        <v/>
      </c>
      <c r="Q2305" s="74">
        <f>ROUND(L2305*N2305,2)</f>
        <v/>
      </c>
      <c r="R2305" s="75" t="n"/>
      <c r="S2305" s="76" t="n"/>
      <c r="T2305" s="77">
        <f>K2305-L2305</f>
        <v/>
      </c>
      <c r="U2305" s="77">
        <f>P2305-Q2305</f>
        <v/>
      </c>
      <c r="V2305" s="77">
        <f>ABS(U2305)</f>
        <v/>
      </c>
      <c r="W2305" s="78">
        <f>T2305/L2305</f>
        <v/>
      </c>
      <c r="X2305" s="79">
        <f>ABS(W2305)</f>
        <v/>
      </c>
    </row>
    <row r="2306" ht="11.4" customHeight="1">
      <c r="A2306" s="67" t="inlineStr">
        <is>
          <t>大甜73</t>
        </is>
      </c>
      <c r="B2306" s="67" t="inlineStr">
        <is>
          <t>1071</t>
        </is>
      </c>
      <c r="C2306" s="67" t="inlineStr">
        <is>
          <t>1614</t>
        </is>
      </c>
      <c r="D2306" s="68" t="inlineStr">
        <is>
          <t>03</t>
        </is>
      </c>
      <c r="E2306" s="68" t="inlineStr">
        <is>
          <t>6 物业施工费</t>
        </is>
      </c>
      <c r="F2306" s="68" t="inlineStr">
        <is>
          <t>6.1 总承包工程</t>
        </is>
      </c>
      <c r="G2306" s="68" t="inlineStr">
        <is>
          <t>6.1.4 空调通风工程</t>
        </is>
      </c>
      <c r="H2306" s="68" t="inlineStr">
        <is>
          <t>空调机/风机安装</t>
        </is>
      </c>
      <c r="I2306" s="69" t="inlineStr">
        <is>
          <t>1000021978</t>
        </is>
      </c>
      <c r="J2306" s="69" t="inlineStr">
        <is>
          <t>小型排风扇安装（不含主材）</t>
        </is>
      </c>
      <c r="K2306" s="70" t="n"/>
      <c r="L2306" s="70" t="n"/>
      <c r="M2306" s="71" t="inlineStr">
        <is>
          <t>台</t>
        </is>
      </c>
      <c r="N2306" s="72" t="n">
        <v>243.65</v>
      </c>
      <c r="O2306" s="72">
        <f>ROUND(N2306*(1+$F$10),2)</f>
        <v/>
      </c>
      <c r="P2306" s="73">
        <f>ROUND(K2306*N2306,2)</f>
        <v/>
      </c>
      <c r="Q2306" s="74">
        <f>ROUND(L2306*N2306,2)</f>
        <v/>
      </c>
      <c r="R2306" s="75" t="n"/>
      <c r="S2306" s="76" t="n"/>
      <c r="T2306" s="77">
        <f>K2306-L2306</f>
        <v/>
      </c>
      <c r="U2306" s="77">
        <f>P2306-Q2306</f>
        <v/>
      </c>
      <c r="V2306" s="77">
        <f>ABS(U2306)</f>
        <v/>
      </c>
      <c r="W2306" s="78">
        <f>T2306/L2306</f>
        <v/>
      </c>
      <c r="X2306" s="79">
        <f>ABS(W2306)</f>
        <v/>
      </c>
    </row>
    <row r="2307" ht="11.4" customHeight="1">
      <c r="A2307" s="67" t="inlineStr">
        <is>
          <t>大甜73</t>
        </is>
      </c>
      <c r="B2307" s="67" t="inlineStr">
        <is>
          <t>1071</t>
        </is>
      </c>
      <c r="C2307" s="67" t="inlineStr">
        <is>
          <t>1614</t>
        </is>
      </c>
      <c r="D2307" s="68" t="inlineStr">
        <is>
          <t>03</t>
        </is>
      </c>
      <c r="E2307" s="68" t="inlineStr">
        <is>
          <t>6 物业施工费</t>
        </is>
      </c>
      <c r="F2307" s="68" t="inlineStr">
        <is>
          <t>6.1 总承包工程</t>
        </is>
      </c>
      <c r="G2307" s="68" t="inlineStr">
        <is>
          <t>6.1.4 空调通风工程</t>
        </is>
      </c>
      <c r="H2307" s="68" t="inlineStr">
        <is>
          <t>空调机/风机安装</t>
        </is>
      </c>
      <c r="I2307" s="69" t="inlineStr">
        <is>
          <t>1000021979</t>
        </is>
      </c>
      <c r="J2307" s="69" t="inlineStr">
        <is>
          <t>风幕机安装(不含主材)</t>
        </is>
      </c>
      <c r="K2307" s="70" t="n"/>
      <c r="L2307" s="70" t="n"/>
      <c r="M2307" s="71" t="inlineStr">
        <is>
          <t>台</t>
        </is>
      </c>
      <c r="N2307" s="72" t="n">
        <v>314.05</v>
      </c>
      <c r="O2307" s="72">
        <f>ROUND(N2307*(1+$F$10),2)</f>
        <v/>
      </c>
      <c r="P2307" s="73">
        <f>ROUND(K2307*N2307,2)</f>
        <v/>
      </c>
      <c r="Q2307" s="74">
        <f>ROUND(L2307*N2307,2)</f>
        <v/>
      </c>
      <c r="R2307" s="75" t="n"/>
      <c r="S2307" s="76" t="n"/>
      <c r="T2307" s="77">
        <f>K2307-L2307</f>
        <v/>
      </c>
      <c r="U2307" s="77">
        <f>P2307-Q2307</f>
        <v/>
      </c>
      <c r="V2307" s="77">
        <f>ABS(U2307)</f>
        <v/>
      </c>
      <c r="W2307" s="78">
        <f>T2307/L2307</f>
        <v/>
      </c>
      <c r="X2307" s="79">
        <f>ABS(W2307)</f>
        <v/>
      </c>
    </row>
    <row r="2308" ht="11.4" customHeight="1">
      <c r="A2308" s="67" t="inlineStr">
        <is>
          <t>大甜73</t>
        </is>
      </c>
      <c r="B2308" s="67" t="inlineStr">
        <is>
          <t>1071</t>
        </is>
      </c>
      <c r="C2308" s="67" t="inlineStr">
        <is>
          <t>1614</t>
        </is>
      </c>
      <c r="D2308" s="68" t="inlineStr">
        <is>
          <t>03</t>
        </is>
      </c>
      <c r="E2308" s="68" t="inlineStr">
        <is>
          <t>6 物业施工费</t>
        </is>
      </c>
      <c r="F2308" s="68" t="inlineStr">
        <is>
          <t>6.1 总承包工程</t>
        </is>
      </c>
      <c r="G2308" s="68" t="inlineStr">
        <is>
          <t>6.1.4 空调通风工程</t>
        </is>
      </c>
      <c r="H2308" s="68" t="inlineStr">
        <is>
          <t>空调机/风机安装</t>
        </is>
      </c>
      <c r="I2308" s="69" t="inlineStr">
        <is>
          <t>1000021980</t>
        </is>
      </c>
      <c r="J2308" s="69" t="inlineStr">
        <is>
          <t>吊扇安装（含主材）</t>
        </is>
      </c>
      <c r="K2308" s="70" t="n"/>
      <c r="L2308" s="70" t="n"/>
      <c r="M2308" s="71" t="inlineStr">
        <is>
          <t>台</t>
        </is>
      </c>
      <c r="N2308" s="72" t="n">
        <v>446.05</v>
      </c>
      <c r="O2308" s="72">
        <f>ROUND(N2308*(1+$F$10),2)</f>
        <v/>
      </c>
      <c r="P2308" s="73">
        <f>ROUND(K2308*N2308,2)</f>
        <v/>
      </c>
      <c r="Q2308" s="74">
        <f>ROUND(L2308*N2308,2)</f>
        <v/>
      </c>
      <c r="R2308" s="75" t="n"/>
      <c r="S2308" s="76" t="n"/>
      <c r="T2308" s="77">
        <f>K2308-L2308</f>
        <v/>
      </c>
      <c r="U2308" s="77">
        <f>P2308-Q2308</f>
        <v/>
      </c>
      <c r="V2308" s="77">
        <f>ABS(U2308)</f>
        <v/>
      </c>
      <c r="W2308" s="78">
        <f>T2308/L2308</f>
        <v/>
      </c>
      <c r="X2308" s="79">
        <f>ABS(W2308)</f>
        <v/>
      </c>
    </row>
    <row r="2309" ht="11.4" customHeight="1">
      <c r="A2309" s="67" t="inlineStr">
        <is>
          <t>大甜73</t>
        </is>
      </c>
      <c r="B2309" s="67" t="inlineStr">
        <is>
          <t>1071</t>
        </is>
      </c>
      <c r="C2309" s="67" t="inlineStr">
        <is>
          <t>1614</t>
        </is>
      </c>
      <c r="D2309" s="68" t="inlineStr">
        <is>
          <t>03</t>
        </is>
      </c>
      <c r="E2309" s="68" t="inlineStr">
        <is>
          <t>6 物业施工费</t>
        </is>
      </c>
      <c r="F2309" s="68" t="inlineStr">
        <is>
          <t>6.1 总承包工程</t>
        </is>
      </c>
      <c r="G2309" s="68" t="inlineStr">
        <is>
          <t>6.1.4 空调通风工程</t>
        </is>
      </c>
      <c r="H2309" s="68" t="inlineStr">
        <is>
          <t>空调机/风机安装</t>
        </is>
      </c>
      <c r="I2309" s="69" t="inlineStr">
        <is>
          <t>1000021981</t>
        </is>
      </c>
      <c r="J2309" s="69" t="inlineStr">
        <is>
          <t>空调室内机电加热器安装</t>
        </is>
      </c>
      <c r="K2309" s="70" t="n"/>
      <c r="L2309" s="70" t="n"/>
      <c r="M2309" s="71" t="inlineStr">
        <is>
          <t>台</t>
        </is>
      </c>
      <c r="N2309" s="72" t="n">
        <v>567.05</v>
      </c>
      <c r="O2309" s="72">
        <f>ROUND(N2309*(1+$F$10),2)</f>
        <v/>
      </c>
      <c r="P2309" s="73">
        <f>ROUND(K2309*N2309,2)</f>
        <v/>
      </c>
      <c r="Q2309" s="74">
        <f>ROUND(L2309*N2309,2)</f>
        <v/>
      </c>
      <c r="R2309" s="75" t="n"/>
      <c r="S2309" s="76" t="n"/>
      <c r="T2309" s="77">
        <f>K2309-L2309</f>
        <v/>
      </c>
      <c r="U2309" s="77">
        <f>P2309-Q2309</f>
        <v/>
      </c>
      <c r="V2309" s="77">
        <f>ABS(U2309)</f>
        <v/>
      </c>
      <c r="W2309" s="78">
        <f>T2309/L2309</f>
        <v/>
      </c>
      <c r="X2309" s="79">
        <f>ABS(W2309)</f>
        <v/>
      </c>
    </row>
    <row r="2310" ht="11.4" customHeight="1">
      <c r="A2310" s="67" t="inlineStr">
        <is>
          <t>大甜73</t>
        </is>
      </c>
      <c r="B2310" s="67" t="inlineStr">
        <is>
          <t>1071</t>
        </is>
      </c>
      <c r="C2310" s="67" t="inlineStr">
        <is>
          <t>1614</t>
        </is>
      </c>
      <c r="D2310" s="68" t="inlineStr">
        <is>
          <t>03</t>
        </is>
      </c>
      <c r="E2310" s="68" t="inlineStr">
        <is>
          <t>6 物业施工费</t>
        </is>
      </c>
      <c r="F2310" s="68" t="inlineStr">
        <is>
          <t>6.1 总承包工程</t>
        </is>
      </c>
      <c r="G2310" s="68" t="inlineStr">
        <is>
          <t>6.1.4 空调通风工程</t>
        </is>
      </c>
      <c r="H2310" s="68" t="inlineStr">
        <is>
          <t>空调机/风机安装</t>
        </is>
      </c>
      <c r="I2310" s="69" t="inlineStr">
        <is>
          <t>1000021982</t>
        </is>
      </c>
      <c r="J2310" s="69" t="inlineStr">
        <is>
          <t>烘手器安装(不含主材)</t>
        </is>
      </c>
      <c r="K2310" s="70" t="n"/>
      <c r="L2310" s="70" t="n"/>
      <c r="M2310" s="71" t="inlineStr">
        <is>
          <t>台</t>
        </is>
      </c>
      <c r="N2310" s="72" t="n">
        <v>152.75</v>
      </c>
      <c r="O2310" s="72">
        <f>ROUND(N2310*(1+$F$10),2)</f>
        <v/>
      </c>
      <c r="P2310" s="73">
        <f>ROUND(K2310*N2310,2)</f>
        <v/>
      </c>
      <c r="Q2310" s="74">
        <f>ROUND(L2310*N2310,2)</f>
        <v/>
      </c>
      <c r="R2310" s="75" t="n"/>
      <c r="S2310" s="76" t="n"/>
      <c r="T2310" s="77">
        <f>K2310-L2310</f>
        <v/>
      </c>
      <c r="U2310" s="77">
        <f>P2310-Q2310</f>
        <v/>
      </c>
      <c r="V2310" s="77">
        <f>ABS(U2310)</f>
        <v/>
      </c>
      <c r="W2310" s="78">
        <f>T2310/L2310</f>
        <v/>
      </c>
      <c r="X2310" s="79">
        <f>ABS(W2310)</f>
        <v/>
      </c>
    </row>
    <row r="2311" ht="11.4" customHeight="1">
      <c r="A2311" s="67" t="inlineStr">
        <is>
          <t>大甜73</t>
        </is>
      </c>
      <c r="B2311" s="67" t="inlineStr">
        <is>
          <t>1071</t>
        </is>
      </c>
      <c r="C2311" s="67" t="inlineStr">
        <is>
          <t>1614</t>
        </is>
      </c>
      <c r="D2311" s="68" t="inlineStr">
        <is>
          <t>03</t>
        </is>
      </c>
      <c r="E2311" s="68" t="inlineStr">
        <is>
          <t>6 物业施工费</t>
        </is>
      </c>
      <c r="F2311" s="68" t="inlineStr">
        <is>
          <t>6.1 总承包工程</t>
        </is>
      </c>
      <c r="G2311" s="68" t="inlineStr">
        <is>
          <t>6.1.4 空调通风工程</t>
        </is>
      </c>
      <c r="H2311" s="68" t="inlineStr">
        <is>
          <t>空调机/风机安装</t>
        </is>
      </c>
      <c r="I2311" s="69" t="inlineStr">
        <is>
          <t>1000021983</t>
        </is>
      </c>
      <c r="J2311" s="69" t="inlineStr">
        <is>
          <t>冷凝水管安装（含保温）</t>
        </is>
      </c>
      <c r="K2311" s="70" t="n"/>
      <c r="L2311" s="70" t="n"/>
      <c r="M2311" s="71" t="inlineStr">
        <is>
          <t>米</t>
        </is>
      </c>
      <c r="N2311" s="72" t="n">
        <v>27.67</v>
      </c>
      <c r="O2311" s="72">
        <f>ROUND(N2311*(1+$F$10),2)</f>
        <v/>
      </c>
      <c r="P2311" s="73">
        <f>ROUND(K2311*N2311,2)</f>
        <v/>
      </c>
      <c r="Q2311" s="74">
        <f>ROUND(L2311*N2311,2)</f>
        <v/>
      </c>
      <c r="R2311" s="75" t="n"/>
      <c r="S2311" s="76" t="n"/>
      <c r="T2311" s="77">
        <f>K2311-L2311</f>
        <v/>
      </c>
      <c r="U2311" s="77">
        <f>P2311-Q2311</f>
        <v/>
      </c>
      <c r="V2311" s="77">
        <f>ABS(U2311)</f>
        <v/>
      </c>
      <c r="W2311" s="78">
        <f>T2311/L2311</f>
        <v/>
      </c>
      <c r="X2311" s="79">
        <f>ABS(W2311)</f>
        <v/>
      </c>
    </row>
    <row r="2312" ht="11.4" customHeight="1">
      <c r="A2312" s="67" t="inlineStr">
        <is>
          <t>大甜73</t>
        </is>
      </c>
      <c r="B2312" s="67" t="inlineStr">
        <is>
          <t>1071</t>
        </is>
      </c>
      <c r="C2312" s="67" t="inlineStr">
        <is>
          <t>1614</t>
        </is>
      </c>
      <c r="D2312" s="68" t="inlineStr">
        <is>
          <t>03</t>
        </is>
      </c>
      <c r="E2312" s="68" t="inlineStr">
        <is>
          <t>6 物业施工费</t>
        </is>
      </c>
      <c r="F2312" s="68" t="inlineStr">
        <is>
          <t>6.1 总承包工程</t>
        </is>
      </c>
      <c r="G2312" s="68" t="inlineStr">
        <is>
          <t>6.1.4 空调通风工程</t>
        </is>
      </c>
      <c r="H2312" s="68" t="inlineStr">
        <is>
          <t>空调机/风机安装</t>
        </is>
      </c>
      <c r="I2312" s="69" t="inlineStr">
        <is>
          <t>1000021984</t>
        </is>
      </c>
      <c r="J2312" s="69" t="inlineStr">
        <is>
          <t>21-25匹冷冻水系统风机盘管安装（含阀组和主机安装等）</t>
        </is>
      </c>
      <c r="K2312" s="70" t="n"/>
      <c r="L2312" s="70" t="n"/>
      <c r="M2312" s="71" t="inlineStr">
        <is>
          <t>套</t>
        </is>
      </c>
      <c r="N2312" s="72" t="n">
        <v>2968.65</v>
      </c>
      <c r="O2312" s="72">
        <f>ROUND(N2312*(1+$F$10),2)</f>
        <v/>
      </c>
      <c r="P2312" s="73">
        <f>ROUND(K2312*N2312,2)</f>
        <v/>
      </c>
      <c r="Q2312" s="74">
        <f>ROUND(L2312*N2312,2)</f>
        <v/>
      </c>
      <c r="R2312" s="75" t="n"/>
      <c r="S2312" s="76" t="n"/>
      <c r="T2312" s="77">
        <f>K2312-L2312</f>
        <v/>
      </c>
      <c r="U2312" s="77">
        <f>P2312-Q2312</f>
        <v/>
      </c>
      <c r="V2312" s="77">
        <f>ABS(U2312)</f>
        <v/>
      </c>
      <c r="W2312" s="78">
        <f>T2312/L2312</f>
        <v/>
      </c>
      <c r="X2312" s="79">
        <f>ABS(W2312)</f>
        <v/>
      </c>
    </row>
    <row r="2313" ht="11.4" customHeight="1">
      <c r="A2313" s="67" t="inlineStr">
        <is>
          <t>大甜73</t>
        </is>
      </c>
      <c r="B2313" s="67" t="inlineStr">
        <is>
          <t>1071</t>
        </is>
      </c>
      <c r="C2313" s="67" t="inlineStr">
        <is>
          <t>1614</t>
        </is>
      </c>
      <c r="D2313" s="68" t="inlineStr">
        <is>
          <t>03</t>
        </is>
      </c>
      <c r="E2313" s="68" t="inlineStr">
        <is>
          <t>6 物业施工费</t>
        </is>
      </c>
      <c r="F2313" s="68" t="inlineStr">
        <is>
          <t>6.1 总承包工程</t>
        </is>
      </c>
      <c r="G2313" s="68" t="inlineStr">
        <is>
          <t>6.1.4 空调通风工程</t>
        </is>
      </c>
      <c r="H2313" s="68" t="inlineStr">
        <is>
          <t>空调机/风机安装</t>
        </is>
      </c>
      <c r="I2313" s="69" t="inlineStr">
        <is>
          <t>1000021985</t>
        </is>
      </c>
      <c r="J2313" s="69" t="inlineStr">
        <is>
          <t>15-20匹冷冻水系统风机盘管安装（含阀组和主机安装等）</t>
        </is>
      </c>
      <c r="K2313" s="70" t="n"/>
      <c r="L2313" s="70" t="n"/>
      <c r="M2313" s="71" t="inlineStr">
        <is>
          <t>套</t>
        </is>
      </c>
      <c r="N2313" s="72" t="n">
        <v>2941.15</v>
      </c>
      <c r="O2313" s="72">
        <f>ROUND(N2313*(1+$F$10),2)</f>
        <v/>
      </c>
      <c r="P2313" s="73">
        <f>ROUND(K2313*N2313,2)</f>
        <v/>
      </c>
      <c r="Q2313" s="74">
        <f>ROUND(L2313*N2313,2)</f>
        <v/>
      </c>
      <c r="R2313" s="75" t="n"/>
      <c r="S2313" s="76" t="n"/>
      <c r="T2313" s="77">
        <f>K2313-L2313</f>
        <v/>
      </c>
      <c r="U2313" s="77">
        <f>P2313-Q2313</f>
        <v/>
      </c>
      <c r="V2313" s="77">
        <f>ABS(U2313)</f>
        <v/>
      </c>
      <c r="W2313" s="78">
        <f>T2313/L2313</f>
        <v/>
      </c>
      <c r="X2313" s="79">
        <f>ABS(W2313)</f>
        <v/>
      </c>
    </row>
    <row r="2314" ht="11.4" customHeight="1">
      <c r="A2314" s="67" t="inlineStr">
        <is>
          <t>大甜73</t>
        </is>
      </c>
      <c r="B2314" s="67" t="inlineStr">
        <is>
          <t>1071</t>
        </is>
      </c>
      <c r="C2314" s="67" t="inlineStr">
        <is>
          <t>1614</t>
        </is>
      </c>
      <c r="D2314" s="68" t="inlineStr">
        <is>
          <t>03</t>
        </is>
      </c>
      <c r="E2314" s="68" t="inlineStr">
        <is>
          <t>6 物业施工费</t>
        </is>
      </c>
      <c r="F2314" s="68" t="inlineStr">
        <is>
          <t>6.1 总承包工程</t>
        </is>
      </c>
      <c r="G2314" s="68" t="inlineStr">
        <is>
          <t>6.1.4 空调通风工程</t>
        </is>
      </c>
      <c r="H2314" s="68" t="inlineStr">
        <is>
          <t>空调机/风机安装</t>
        </is>
      </c>
      <c r="I2314" s="69" t="inlineStr">
        <is>
          <t>1000021986</t>
        </is>
      </c>
      <c r="J2314" s="69" t="inlineStr">
        <is>
          <t>8-12.5匹冷冻水系统风机盘管安装（含阀组和主机安装等）</t>
        </is>
      </c>
      <c r="K2314" s="70" t="n"/>
      <c r="L2314" s="70" t="n"/>
      <c r="M2314" s="71" t="inlineStr">
        <is>
          <t>套</t>
        </is>
      </c>
      <c r="N2314" s="72" t="n">
        <v>2836.65</v>
      </c>
      <c r="O2314" s="72">
        <f>ROUND(N2314*(1+$F$10),2)</f>
        <v/>
      </c>
      <c r="P2314" s="73">
        <f>ROUND(K2314*N2314,2)</f>
        <v/>
      </c>
      <c r="Q2314" s="74">
        <f>ROUND(L2314*N2314,2)</f>
        <v/>
      </c>
      <c r="R2314" s="75" t="n"/>
      <c r="S2314" s="76" t="n"/>
      <c r="T2314" s="77">
        <f>K2314-L2314</f>
        <v/>
      </c>
      <c r="U2314" s="77">
        <f>P2314-Q2314</f>
        <v/>
      </c>
      <c r="V2314" s="77">
        <f>ABS(U2314)</f>
        <v/>
      </c>
      <c r="W2314" s="78">
        <f>T2314/L2314</f>
        <v/>
      </c>
      <c r="X2314" s="79">
        <f>ABS(W2314)</f>
        <v/>
      </c>
    </row>
    <row r="2315" ht="11.4" customHeight="1">
      <c r="A2315" s="67" t="inlineStr">
        <is>
          <t>大甜73</t>
        </is>
      </c>
      <c r="B2315" s="67" t="inlineStr">
        <is>
          <t>1071</t>
        </is>
      </c>
      <c r="C2315" s="67" t="inlineStr">
        <is>
          <t>1614</t>
        </is>
      </c>
      <c r="D2315" s="68" t="inlineStr">
        <is>
          <t>03</t>
        </is>
      </c>
      <c r="E2315" s="68" t="inlineStr">
        <is>
          <t>6 物业施工费</t>
        </is>
      </c>
      <c r="F2315" s="68" t="inlineStr">
        <is>
          <t>6.1 总承包工程</t>
        </is>
      </c>
      <c r="G2315" s="68" t="inlineStr">
        <is>
          <t>6.1.4 空调通风工程</t>
        </is>
      </c>
      <c r="H2315" s="68" t="inlineStr">
        <is>
          <t>空调机/风机安装</t>
        </is>
      </c>
      <c r="I2315" s="69" t="inlineStr">
        <is>
          <t>1000021987</t>
        </is>
      </c>
      <c r="J2315" s="69" t="inlineStr">
        <is>
          <t>5-7匹冷冻水系统风机盘管安装（含阀组和主机安装等）</t>
        </is>
      </c>
      <c r="K2315" s="70" t="n"/>
      <c r="L2315" s="70" t="n"/>
      <c r="M2315" s="71" t="inlineStr">
        <is>
          <t>套</t>
        </is>
      </c>
      <c r="N2315" s="72" t="n">
        <v>2358.7</v>
      </c>
      <c r="O2315" s="72">
        <f>ROUND(N2315*(1+$F$10),2)</f>
        <v/>
      </c>
      <c r="P2315" s="73">
        <f>ROUND(K2315*N2315,2)</f>
        <v/>
      </c>
      <c r="Q2315" s="74">
        <f>ROUND(L2315*N2315,2)</f>
        <v/>
      </c>
      <c r="R2315" s="75" t="n"/>
      <c r="S2315" s="76" t="n"/>
      <c r="T2315" s="77">
        <f>K2315-L2315</f>
        <v/>
      </c>
      <c r="U2315" s="77">
        <f>P2315-Q2315</f>
        <v/>
      </c>
      <c r="V2315" s="77">
        <f>ABS(U2315)</f>
        <v/>
      </c>
      <c r="W2315" s="78">
        <f>T2315/L2315</f>
        <v/>
      </c>
      <c r="X2315" s="79">
        <f>ABS(W2315)</f>
        <v/>
      </c>
    </row>
    <row r="2316" ht="11.4" customHeight="1">
      <c r="A2316" s="67" t="inlineStr">
        <is>
          <t>大甜73</t>
        </is>
      </c>
      <c r="B2316" s="67" t="inlineStr">
        <is>
          <t>1071</t>
        </is>
      </c>
      <c r="C2316" s="67" t="inlineStr">
        <is>
          <t>1614</t>
        </is>
      </c>
      <c r="D2316" s="68" t="inlineStr">
        <is>
          <t>03</t>
        </is>
      </c>
      <c r="E2316" s="68" t="inlineStr">
        <is>
          <t>6 物业施工费</t>
        </is>
      </c>
      <c r="F2316" s="68" t="inlineStr">
        <is>
          <t>6.1 总承包工程</t>
        </is>
      </c>
      <c r="G2316" s="68" t="inlineStr">
        <is>
          <t>6.1.4 空调通风工程</t>
        </is>
      </c>
      <c r="H2316" s="68" t="inlineStr">
        <is>
          <t>空调机/风机安装</t>
        </is>
      </c>
      <c r="I2316" s="69" t="inlineStr">
        <is>
          <t>1000021988</t>
        </is>
      </c>
      <c r="J2316" s="69" t="inlineStr">
        <is>
          <t>3-4匹冷冻水系统风机盘管安装（含阀组和主机安装等）</t>
        </is>
      </c>
      <c r="K2316" s="70" t="n"/>
      <c r="L2316" s="70" t="n"/>
      <c r="M2316" s="71" t="inlineStr">
        <is>
          <t>套</t>
        </is>
      </c>
      <c r="N2316" s="72" t="n">
        <v>2336.7</v>
      </c>
      <c r="O2316" s="72">
        <f>ROUND(N2316*(1+$F$10),2)</f>
        <v/>
      </c>
      <c r="P2316" s="73">
        <f>ROUND(K2316*N2316,2)</f>
        <v/>
      </c>
      <c r="Q2316" s="74">
        <f>ROUND(L2316*N2316,2)</f>
        <v/>
      </c>
      <c r="R2316" s="75" t="n"/>
      <c r="S2316" s="76" t="n"/>
      <c r="T2316" s="77">
        <f>K2316-L2316</f>
        <v/>
      </c>
      <c r="U2316" s="77">
        <f>P2316-Q2316</f>
        <v/>
      </c>
      <c r="V2316" s="77">
        <f>ABS(U2316)</f>
        <v/>
      </c>
      <c r="W2316" s="78">
        <f>T2316/L2316</f>
        <v/>
      </c>
      <c r="X2316" s="79">
        <f>ABS(W2316)</f>
        <v/>
      </c>
    </row>
    <row r="2317" ht="11.4" customHeight="1">
      <c r="A2317" s="67" t="inlineStr">
        <is>
          <t>大甜73</t>
        </is>
      </c>
      <c r="B2317" s="67" t="inlineStr">
        <is>
          <t>1071</t>
        </is>
      </c>
      <c r="C2317" s="67" t="inlineStr">
        <is>
          <t>1614</t>
        </is>
      </c>
      <c r="D2317" s="68" t="inlineStr">
        <is>
          <t>03</t>
        </is>
      </c>
      <c r="E2317" s="68" t="inlineStr">
        <is>
          <t>6 物业施工费</t>
        </is>
      </c>
      <c r="F2317" s="68" t="inlineStr">
        <is>
          <t>6.1 总承包工程</t>
        </is>
      </c>
      <c r="G2317" s="68" t="inlineStr">
        <is>
          <t>6.1.4 空调通风工程</t>
        </is>
      </c>
      <c r="H2317" s="68" t="inlineStr">
        <is>
          <t>空调机/风机安装</t>
        </is>
      </c>
      <c r="I2317" s="69" t="inlineStr">
        <is>
          <t>1000021989</t>
        </is>
      </c>
      <c r="J2317" s="69" t="inlineStr">
        <is>
          <t>接管DN50水冷式冷水机安装（含阀组和主机安装等）</t>
        </is>
      </c>
      <c r="K2317" s="70" t="n"/>
      <c r="L2317" s="70" t="n"/>
      <c r="M2317" s="71" t="inlineStr">
        <is>
          <t>套</t>
        </is>
      </c>
      <c r="N2317" s="72" t="n">
        <v>7092.3</v>
      </c>
      <c r="O2317" s="72">
        <f>ROUND(N2317*(1+$F$10),2)</f>
        <v/>
      </c>
      <c r="P2317" s="73">
        <f>ROUND(K2317*N2317,2)</f>
        <v/>
      </c>
      <c r="Q2317" s="74">
        <f>ROUND(L2317*N2317,2)</f>
        <v/>
      </c>
      <c r="R2317" s="75" t="n"/>
      <c r="S2317" s="76" t="n"/>
      <c r="T2317" s="77">
        <f>K2317-L2317</f>
        <v/>
      </c>
      <c r="U2317" s="77">
        <f>P2317-Q2317</f>
        <v/>
      </c>
      <c r="V2317" s="77">
        <f>ABS(U2317)</f>
        <v/>
      </c>
      <c r="W2317" s="78">
        <f>T2317/L2317</f>
        <v/>
      </c>
      <c r="X2317" s="79">
        <f>ABS(W2317)</f>
        <v/>
      </c>
    </row>
    <row r="2318" ht="11.4" customHeight="1">
      <c r="A2318" s="67" t="inlineStr">
        <is>
          <t>大甜73</t>
        </is>
      </c>
      <c r="B2318" s="67" t="inlineStr">
        <is>
          <t>1071</t>
        </is>
      </c>
      <c r="C2318" s="67" t="inlineStr">
        <is>
          <t>1614</t>
        </is>
      </c>
      <c r="D2318" s="68" t="inlineStr">
        <is>
          <t>03</t>
        </is>
      </c>
      <c r="E2318" s="68" t="inlineStr">
        <is>
          <t>6 物业施工费</t>
        </is>
      </c>
      <c r="F2318" s="68" t="inlineStr">
        <is>
          <t>6.1 总承包工程</t>
        </is>
      </c>
      <c r="G2318" s="68" t="inlineStr">
        <is>
          <t>6.1.4 空调通风工程</t>
        </is>
      </c>
      <c r="H2318" s="68" t="inlineStr">
        <is>
          <t>空调机/风机安装</t>
        </is>
      </c>
      <c r="I2318" s="69" t="inlineStr">
        <is>
          <t>1000021990</t>
        </is>
      </c>
      <c r="J2318" s="69" t="inlineStr">
        <is>
          <t>接管DN40水冷式冷水机安装（含阀组和主机安装等）</t>
        </is>
      </c>
      <c r="K2318" s="70" t="n"/>
      <c r="L2318" s="70" t="n"/>
      <c r="M2318" s="71" t="inlineStr">
        <is>
          <t>套</t>
        </is>
      </c>
      <c r="N2318" s="72" t="n">
        <v>6328.35</v>
      </c>
      <c r="O2318" s="72">
        <f>ROUND(N2318*(1+$F$10),2)</f>
        <v/>
      </c>
      <c r="P2318" s="73">
        <f>ROUND(K2318*N2318,2)</f>
        <v/>
      </c>
      <c r="Q2318" s="74">
        <f>ROUND(L2318*N2318,2)</f>
        <v/>
      </c>
      <c r="R2318" s="75" t="n"/>
      <c r="S2318" s="76" t="n"/>
      <c r="T2318" s="77">
        <f>K2318-L2318</f>
        <v/>
      </c>
      <c r="U2318" s="77">
        <f>P2318-Q2318</f>
        <v/>
      </c>
      <c r="V2318" s="77">
        <f>ABS(U2318)</f>
        <v/>
      </c>
      <c r="W2318" s="78">
        <f>T2318/L2318</f>
        <v/>
      </c>
      <c r="X2318" s="79">
        <f>ABS(W2318)</f>
        <v/>
      </c>
    </row>
    <row r="2319" ht="11.4" customHeight="1">
      <c r="A2319" s="67" t="inlineStr">
        <is>
          <t>大甜73</t>
        </is>
      </c>
      <c r="B2319" s="67" t="inlineStr">
        <is>
          <t>1071</t>
        </is>
      </c>
      <c r="C2319" s="67" t="inlineStr">
        <is>
          <t>1614</t>
        </is>
      </c>
      <c r="D2319" s="68" t="inlineStr">
        <is>
          <t>03</t>
        </is>
      </c>
      <c r="E2319" s="68" t="inlineStr">
        <is>
          <t>6 物业施工费</t>
        </is>
      </c>
      <c r="F2319" s="68" t="inlineStr">
        <is>
          <t>6.1 总承包工程</t>
        </is>
      </c>
      <c r="G2319" s="68" t="inlineStr">
        <is>
          <t>6.1.4 空调通风工程</t>
        </is>
      </c>
      <c r="H2319" s="68" t="inlineStr">
        <is>
          <t>空调机/风机安装</t>
        </is>
      </c>
      <c r="I2319" s="69" t="inlineStr">
        <is>
          <t>1000021991</t>
        </is>
      </c>
      <c r="J2319" s="69" t="inlineStr">
        <is>
          <t>接管DN32水冷式冷水机安装（含阀组和主机安装等）</t>
        </is>
      </c>
      <c r="K2319" s="70" t="n"/>
      <c r="L2319" s="70" t="n"/>
      <c r="M2319" s="71" t="inlineStr">
        <is>
          <t>套</t>
        </is>
      </c>
      <c r="N2319" s="72" t="n">
        <v>5249.49</v>
      </c>
      <c r="O2319" s="72">
        <f>ROUND(N2319*(1+$F$10),2)</f>
        <v/>
      </c>
      <c r="P2319" s="73">
        <f>ROUND(K2319*N2319,2)</f>
        <v/>
      </c>
      <c r="Q2319" s="74">
        <f>ROUND(L2319*N2319,2)</f>
        <v/>
      </c>
      <c r="R2319" s="75" t="n"/>
      <c r="S2319" s="76" t="n"/>
      <c r="T2319" s="77">
        <f>K2319-L2319</f>
        <v/>
      </c>
      <c r="U2319" s="77">
        <f>P2319-Q2319</f>
        <v/>
      </c>
      <c r="V2319" s="77">
        <f>ABS(U2319)</f>
        <v/>
      </c>
      <c r="W2319" s="78">
        <f>T2319/L2319</f>
        <v/>
      </c>
      <c r="X2319" s="79">
        <f>ABS(W2319)</f>
        <v/>
      </c>
    </row>
    <row r="2320" ht="11.4" customHeight="1">
      <c r="A2320" s="67" t="inlineStr">
        <is>
          <t>大甜73</t>
        </is>
      </c>
      <c r="B2320" s="67" t="inlineStr">
        <is>
          <t>1071</t>
        </is>
      </c>
      <c r="C2320" s="67" t="inlineStr">
        <is>
          <t>1614</t>
        </is>
      </c>
      <c r="D2320" s="68" t="inlineStr">
        <is>
          <t>03</t>
        </is>
      </c>
      <c r="E2320" s="68" t="inlineStr">
        <is>
          <t>6 物业施工费</t>
        </is>
      </c>
      <c r="F2320" s="68" t="inlineStr">
        <is>
          <t>6.1 总承包工程</t>
        </is>
      </c>
      <c r="G2320" s="68" t="inlineStr">
        <is>
          <t>6.1.4 空调通风工程</t>
        </is>
      </c>
      <c r="H2320" s="68" t="inlineStr">
        <is>
          <t>空调风管(包含保温、吊杆及全部配件）</t>
        </is>
      </c>
      <c r="I2320" s="69" t="inlineStr">
        <is>
          <t>1000021992</t>
        </is>
      </c>
      <c r="J2320" s="69" t="inlineStr">
        <is>
          <t>送风管连保温及调节阀、防火阀等(玻璃棉保温材料)</t>
        </is>
      </c>
      <c r="K2320" s="70" t="n"/>
      <c r="L2320" s="70" t="n"/>
      <c r="M2320" s="71" t="inlineStr">
        <is>
          <t>m2</t>
        </is>
      </c>
      <c r="N2320" s="72" t="n">
        <v>179.04</v>
      </c>
      <c r="O2320" s="72">
        <f>ROUND(N2320*(1+$F$10),2)</f>
        <v/>
      </c>
      <c r="P2320" s="73">
        <f>ROUND(K2320*N2320,2)</f>
        <v/>
      </c>
      <c r="Q2320" s="74">
        <f>ROUND(L2320*N2320,2)</f>
        <v/>
      </c>
      <c r="R2320" s="75" t="n"/>
      <c r="S2320" s="76" t="n"/>
      <c r="T2320" s="77">
        <f>K2320-L2320</f>
        <v/>
      </c>
      <c r="U2320" s="77">
        <f>P2320-Q2320</f>
        <v/>
      </c>
      <c r="V2320" s="77">
        <f>ABS(U2320)</f>
        <v/>
      </c>
      <c r="W2320" s="78">
        <f>T2320/L2320</f>
        <v/>
      </c>
      <c r="X2320" s="79">
        <f>ABS(W2320)</f>
        <v/>
      </c>
    </row>
    <row r="2321" ht="11.4" customHeight="1">
      <c r="A2321" s="67" t="inlineStr">
        <is>
          <t>大甜73</t>
        </is>
      </c>
      <c r="B2321" s="67" t="inlineStr">
        <is>
          <t>1071</t>
        </is>
      </c>
      <c r="C2321" s="67" t="inlineStr">
        <is>
          <t>1614</t>
        </is>
      </c>
      <c r="D2321" s="68" t="inlineStr">
        <is>
          <t>03</t>
        </is>
      </c>
      <c r="E2321" s="68" t="inlineStr">
        <is>
          <t>6 物业施工费</t>
        </is>
      </c>
      <c r="F2321" s="68" t="inlineStr">
        <is>
          <t>6.1 总承包工程</t>
        </is>
      </c>
      <c r="G2321" s="68" t="inlineStr">
        <is>
          <t>6.1.4 空调通风工程</t>
        </is>
      </c>
      <c r="H2321" s="68" t="inlineStr">
        <is>
          <t>空调风管(包含保温、吊杆及全部配件）</t>
        </is>
      </c>
      <c r="I2321" s="69" t="inlineStr">
        <is>
          <t>1000021993</t>
        </is>
      </c>
      <c r="J2321" s="69" t="inlineStr">
        <is>
          <t>送风管连保温及调节阀、防火阀等(橡塑保温材料)</t>
        </is>
      </c>
      <c r="K2321" s="70" t="n"/>
      <c r="L2321" s="70" t="n"/>
      <c r="M2321" s="71" t="inlineStr">
        <is>
          <t>m2</t>
        </is>
      </c>
      <c r="N2321" s="72" t="n">
        <v>205.44</v>
      </c>
      <c r="O2321" s="72">
        <f>ROUND(N2321*(1+$F$10),2)</f>
        <v/>
      </c>
      <c r="P2321" s="73">
        <f>ROUND(K2321*N2321,2)</f>
        <v/>
      </c>
      <c r="Q2321" s="74">
        <f>ROUND(L2321*N2321,2)</f>
        <v/>
      </c>
      <c r="R2321" s="75" t="n"/>
      <c r="S2321" s="76" t="n"/>
      <c r="T2321" s="77">
        <f>K2321-L2321</f>
        <v/>
      </c>
      <c r="U2321" s="77">
        <f>P2321-Q2321</f>
        <v/>
      </c>
      <c r="V2321" s="77">
        <f>ABS(U2321)</f>
        <v/>
      </c>
      <c r="W2321" s="78">
        <f>T2321/L2321</f>
        <v/>
      </c>
      <c r="X2321" s="79">
        <f>ABS(W2321)</f>
        <v/>
      </c>
    </row>
    <row r="2322" ht="11.4" customHeight="1">
      <c r="A2322" s="67" t="inlineStr">
        <is>
          <t>大甜73</t>
        </is>
      </c>
      <c r="B2322" s="67" t="inlineStr">
        <is>
          <t>1071</t>
        </is>
      </c>
      <c r="C2322" s="67" t="inlineStr">
        <is>
          <t>1614</t>
        </is>
      </c>
      <c r="D2322" s="68" t="inlineStr">
        <is>
          <t>03</t>
        </is>
      </c>
      <c r="E2322" s="68" t="inlineStr">
        <is>
          <t>6 物业施工费</t>
        </is>
      </c>
      <c r="F2322" s="68" t="inlineStr">
        <is>
          <t>6.1 总承包工程</t>
        </is>
      </c>
      <c r="G2322" s="68" t="inlineStr">
        <is>
          <t>6.1.4 空调通风工程</t>
        </is>
      </c>
      <c r="H2322" s="68" t="inlineStr">
        <is>
          <t>空调风管(包含保温、吊杆及全部配件）</t>
        </is>
      </c>
      <c r="I2322" s="69" t="inlineStr">
        <is>
          <t>1000021994</t>
        </is>
      </c>
      <c r="J2322" s="69" t="inlineStr">
        <is>
          <t>末端送风软管(带保温)</t>
        </is>
      </c>
      <c r="K2322" s="70" t="n"/>
      <c r="L2322" s="70" t="n"/>
      <c r="M2322" s="71" t="inlineStr">
        <is>
          <t>米</t>
        </is>
      </c>
      <c r="N2322" s="72" t="n">
        <v>238.25</v>
      </c>
      <c r="O2322" s="72">
        <f>ROUND(N2322*(1+$F$10),2)</f>
        <v/>
      </c>
      <c r="P2322" s="73">
        <f>ROUND(K2322*N2322,2)</f>
        <v/>
      </c>
      <c r="Q2322" s="74">
        <f>ROUND(L2322*N2322,2)</f>
        <v/>
      </c>
      <c r="R2322" s="75" t="n"/>
      <c r="S2322" s="76" t="n"/>
      <c r="T2322" s="77">
        <f>K2322-L2322</f>
        <v/>
      </c>
      <c r="U2322" s="77">
        <f>P2322-Q2322</f>
        <v/>
      </c>
      <c r="V2322" s="77">
        <f>ABS(U2322)</f>
        <v/>
      </c>
      <c r="W2322" s="78">
        <f>T2322/L2322</f>
        <v/>
      </c>
      <c r="X2322" s="79">
        <f>ABS(W2322)</f>
        <v/>
      </c>
    </row>
    <row r="2323" ht="11.4" customHeight="1">
      <c r="A2323" s="67" t="inlineStr">
        <is>
          <t>大甜73</t>
        </is>
      </c>
      <c r="B2323" s="67" t="inlineStr">
        <is>
          <t>1071</t>
        </is>
      </c>
      <c r="C2323" s="67" t="inlineStr">
        <is>
          <t>1614</t>
        </is>
      </c>
      <c r="D2323" s="68" t="inlineStr">
        <is>
          <t>03</t>
        </is>
      </c>
      <c r="E2323" s="68" t="inlineStr">
        <is>
          <t>6 物业施工费</t>
        </is>
      </c>
      <c r="F2323" s="68" t="inlineStr">
        <is>
          <t>6.1 总承包工程</t>
        </is>
      </c>
      <c r="G2323" s="68" t="inlineStr">
        <is>
          <t>6.1.4 空调通风工程</t>
        </is>
      </c>
      <c r="H2323" s="68" t="inlineStr">
        <is>
          <t>空调风管(包含保温、吊杆及全部配件）</t>
        </is>
      </c>
      <c r="I2323" s="69" t="inlineStr">
        <is>
          <t>1000021995</t>
        </is>
      </c>
      <c r="J2323" s="69" t="inlineStr">
        <is>
          <t>新风管连保温及调节阀、防火阀等(玻璃棉保温材料)</t>
        </is>
      </c>
      <c r="K2323" s="70" t="n"/>
      <c r="L2323" s="70" t="n"/>
      <c r="M2323" s="71" t="inlineStr">
        <is>
          <t>m2</t>
        </is>
      </c>
      <c r="N2323" s="72" t="n">
        <v>179.04</v>
      </c>
      <c r="O2323" s="72">
        <f>ROUND(N2323*(1+$F$10),2)</f>
        <v/>
      </c>
      <c r="P2323" s="73">
        <f>ROUND(K2323*N2323,2)</f>
        <v/>
      </c>
      <c r="Q2323" s="74">
        <f>ROUND(L2323*N2323,2)</f>
        <v/>
      </c>
      <c r="R2323" s="75" t="n"/>
      <c r="S2323" s="76" t="n"/>
      <c r="T2323" s="77">
        <f>K2323-L2323</f>
        <v/>
      </c>
      <c r="U2323" s="77">
        <f>P2323-Q2323</f>
        <v/>
      </c>
      <c r="V2323" s="77">
        <f>ABS(U2323)</f>
        <v/>
      </c>
      <c r="W2323" s="78">
        <f>T2323/L2323</f>
        <v/>
      </c>
      <c r="X2323" s="79">
        <f>ABS(W2323)</f>
        <v/>
      </c>
    </row>
    <row r="2324" ht="11.4" customHeight="1">
      <c r="A2324" s="67" t="inlineStr">
        <is>
          <t>大甜73</t>
        </is>
      </c>
      <c r="B2324" s="67" t="inlineStr">
        <is>
          <t>1071</t>
        </is>
      </c>
      <c r="C2324" s="67" t="inlineStr">
        <is>
          <t>1614</t>
        </is>
      </c>
      <c r="D2324" s="68" t="inlineStr">
        <is>
          <t>03</t>
        </is>
      </c>
      <c r="E2324" s="68" t="inlineStr">
        <is>
          <t>6 物业施工费</t>
        </is>
      </c>
      <c r="F2324" s="68" t="inlineStr">
        <is>
          <t>6.1 总承包工程</t>
        </is>
      </c>
      <c r="G2324" s="68" t="inlineStr">
        <is>
          <t>6.1.4 空调通风工程</t>
        </is>
      </c>
      <c r="H2324" s="68" t="inlineStr">
        <is>
          <t>空调风管(包含保温、吊杆及全部配件）</t>
        </is>
      </c>
      <c r="I2324" s="69" t="inlineStr">
        <is>
          <t>1000021996</t>
        </is>
      </c>
      <c r="J2324" s="69" t="inlineStr">
        <is>
          <t>新风管连保温及调节阀、防火阀等(橡塑保温材料)</t>
        </is>
      </c>
      <c r="K2324" s="70" t="n"/>
      <c r="L2324" s="70" t="n"/>
      <c r="M2324" s="71" t="inlineStr">
        <is>
          <t>m2</t>
        </is>
      </c>
      <c r="N2324" s="72" t="n">
        <v>205.44</v>
      </c>
      <c r="O2324" s="72">
        <f>ROUND(N2324*(1+$F$10),2)</f>
        <v/>
      </c>
      <c r="P2324" s="73">
        <f>ROUND(K2324*N2324,2)</f>
        <v/>
      </c>
      <c r="Q2324" s="74">
        <f>ROUND(L2324*N2324,2)</f>
        <v/>
      </c>
      <c r="R2324" s="75" t="n"/>
      <c r="S2324" s="76" t="n"/>
      <c r="T2324" s="77">
        <f>K2324-L2324</f>
        <v/>
      </c>
      <c r="U2324" s="77">
        <f>P2324-Q2324</f>
        <v/>
      </c>
      <c r="V2324" s="77">
        <f>ABS(U2324)</f>
        <v/>
      </c>
      <c r="W2324" s="78">
        <f>T2324/L2324</f>
        <v/>
      </c>
      <c r="X2324" s="79">
        <f>ABS(W2324)</f>
        <v/>
      </c>
    </row>
    <row r="2325" ht="11.4" customHeight="1">
      <c r="A2325" s="67" t="inlineStr">
        <is>
          <t>大甜73</t>
        </is>
      </c>
      <c r="B2325" s="67" t="inlineStr">
        <is>
          <t>1071</t>
        </is>
      </c>
      <c r="C2325" s="67" t="inlineStr">
        <is>
          <t>1614</t>
        </is>
      </c>
      <c r="D2325" s="68" t="inlineStr">
        <is>
          <t>03</t>
        </is>
      </c>
      <c r="E2325" s="68" t="inlineStr">
        <is>
          <t>6 物业施工费</t>
        </is>
      </c>
      <c r="F2325" s="68" t="inlineStr">
        <is>
          <t>6.1 总承包工程</t>
        </is>
      </c>
      <c r="G2325" s="68" t="inlineStr">
        <is>
          <t>6.1.4 空调通风工程</t>
        </is>
      </c>
      <c r="H2325" s="68" t="inlineStr">
        <is>
          <t>空调风管(包含保温、吊杆及全部配件）</t>
        </is>
      </c>
      <c r="I2325" s="69" t="inlineStr">
        <is>
          <t>1000021997</t>
        </is>
      </c>
      <c r="J2325" s="69" t="inlineStr">
        <is>
          <t>排风管</t>
        </is>
      </c>
      <c r="K2325" s="70" t="n"/>
      <c r="L2325" s="70" t="n"/>
      <c r="M2325" s="71" t="inlineStr">
        <is>
          <t>m2</t>
        </is>
      </c>
      <c r="N2325" s="72" t="n">
        <v>156.31</v>
      </c>
      <c r="O2325" s="72">
        <f>ROUND(N2325*(1+$F$10),2)</f>
        <v/>
      </c>
      <c r="P2325" s="73">
        <f>ROUND(K2325*N2325,2)</f>
        <v/>
      </c>
      <c r="Q2325" s="74">
        <f>ROUND(L2325*N2325,2)</f>
        <v/>
      </c>
      <c r="R2325" s="75" t="n"/>
      <c r="S2325" s="76" t="n"/>
      <c r="T2325" s="77">
        <f>K2325-L2325</f>
        <v/>
      </c>
      <c r="U2325" s="77">
        <f>P2325-Q2325</f>
        <v/>
      </c>
      <c r="V2325" s="77">
        <f>ABS(U2325)</f>
        <v/>
      </c>
      <c r="W2325" s="78">
        <f>T2325/L2325</f>
        <v/>
      </c>
      <c r="X2325" s="79">
        <f>ABS(W2325)</f>
        <v/>
      </c>
    </row>
    <row r="2326" ht="11.4" customHeight="1">
      <c r="A2326" s="67" t="inlineStr">
        <is>
          <t>大甜73</t>
        </is>
      </c>
      <c r="B2326" s="67" t="inlineStr">
        <is>
          <t>1071</t>
        </is>
      </c>
      <c r="C2326" s="67" t="inlineStr">
        <is>
          <t>1614</t>
        </is>
      </c>
      <c r="D2326" s="68" t="inlineStr">
        <is>
          <t>03</t>
        </is>
      </c>
      <c r="E2326" s="68" t="inlineStr">
        <is>
          <t>6 物业施工费</t>
        </is>
      </c>
      <c r="F2326" s="68" t="inlineStr">
        <is>
          <t>6.1 总承包工程</t>
        </is>
      </c>
      <c r="G2326" s="68" t="inlineStr">
        <is>
          <t>6.1.4 空调通风工程</t>
        </is>
      </c>
      <c r="H2326" s="68" t="inlineStr">
        <is>
          <t>空调风管(包含保温、吊杆及全部配件）</t>
        </is>
      </c>
      <c r="I2326" s="69" t="inlineStr">
        <is>
          <t>1000021998</t>
        </is>
      </c>
      <c r="J2326" s="69" t="inlineStr">
        <is>
          <t>130排风软管</t>
        </is>
      </c>
      <c r="K2326" s="70" t="n"/>
      <c r="L2326" s="70" t="n"/>
      <c r="M2326" s="71" t="inlineStr">
        <is>
          <t>米</t>
        </is>
      </c>
      <c r="N2326" s="72" t="n">
        <v>93.05</v>
      </c>
      <c r="O2326" s="72">
        <f>ROUND(N2326*(1+$F$10),2)</f>
        <v/>
      </c>
      <c r="P2326" s="73">
        <f>ROUND(K2326*N2326,2)</f>
        <v/>
      </c>
      <c r="Q2326" s="74">
        <f>ROUND(L2326*N2326,2)</f>
        <v/>
      </c>
      <c r="R2326" s="75" t="n"/>
      <c r="S2326" s="76" t="n"/>
      <c r="T2326" s="77">
        <f>K2326-L2326</f>
        <v/>
      </c>
      <c r="U2326" s="77">
        <f>P2326-Q2326</f>
        <v/>
      </c>
      <c r="V2326" s="77">
        <f>ABS(U2326)</f>
        <v/>
      </c>
      <c r="W2326" s="78">
        <f>T2326/L2326</f>
        <v/>
      </c>
      <c r="X2326" s="79">
        <f>ABS(W2326)</f>
        <v/>
      </c>
    </row>
    <row r="2327" ht="11.4" customHeight="1">
      <c r="A2327" s="67" t="inlineStr">
        <is>
          <t>大甜73</t>
        </is>
      </c>
      <c r="B2327" s="67" t="inlineStr">
        <is>
          <t>1071</t>
        </is>
      </c>
      <c r="C2327" s="67" t="inlineStr">
        <is>
          <t>1614</t>
        </is>
      </c>
      <c r="D2327" s="68" t="inlineStr">
        <is>
          <t>03</t>
        </is>
      </c>
      <c r="E2327" s="68" t="inlineStr">
        <is>
          <t>6 物业施工费</t>
        </is>
      </c>
      <c r="F2327" s="68" t="inlineStr">
        <is>
          <t>6.1 总承包工程</t>
        </is>
      </c>
      <c r="G2327" s="68" t="inlineStr">
        <is>
          <t>6.1.4 空调通风工程</t>
        </is>
      </c>
      <c r="H2327" s="68" t="inlineStr">
        <is>
          <t>空调风管(包含保温、吊杆及全部配件）</t>
        </is>
      </c>
      <c r="I2327" s="69" t="inlineStr">
        <is>
          <t>1000021999</t>
        </is>
      </c>
      <c r="J2327" s="69" t="inlineStr">
        <is>
          <t>350送风软管</t>
        </is>
      </c>
      <c r="K2327" s="70" t="n"/>
      <c r="L2327" s="70" t="n"/>
      <c r="M2327" s="71" t="inlineStr">
        <is>
          <t>米</t>
        </is>
      </c>
      <c r="N2327" s="72" t="n">
        <v>205.25</v>
      </c>
      <c r="O2327" s="72">
        <f>ROUND(N2327*(1+$F$10),2)</f>
        <v/>
      </c>
      <c r="P2327" s="73">
        <f>ROUND(K2327*N2327,2)</f>
        <v/>
      </c>
      <c r="Q2327" s="74">
        <f>ROUND(L2327*N2327,2)</f>
        <v/>
      </c>
      <c r="R2327" s="75" t="n"/>
      <c r="S2327" s="76" t="n"/>
      <c r="T2327" s="77">
        <f>K2327-L2327</f>
        <v/>
      </c>
      <c r="U2327" s="77">
        <f>P2327-Q2327</f>
        <v/>
      </c>
      <c r="V2327" s="77">
        <f>ABS(U2327)</f>
        <v/>
      </c>
      <c r="W2327" s="78">
        <f>T2327/L2327</f>
        <v/>
      </c>
      <c r="X2327" s="79">
        <f>ABS(W2327)</f>
        <v/>
      </c>
    </row>
    <row r="2328" ht="11.4" customHeight="1">
      <c r="A2328" s="67" t="inlineStr">
        <is>
          <t>大甜73</t>
        </is>
      </c>
      <c r="B2328" s="67" t="inlineStr">
        <is>
          <t>1071</t>
        </is>
      </c>
      <c r="C2328" s="67" t="inlineStr">
        <is>
          <t>1614</t>
        </is>
      </c>
      <c r="D2328" s="68" t="inlineStr">
        <is>
          <t>03</t>
        </is>
      </c>
      <c r="E2328" s="68" t="inlineStr">
        <is>
          <t>6 物业施工费</t>
        </is>
      </c>
      <c r="F2328" s="68" t="inlineStr">
        <is>
          <t>6.1 总承包工程</t>
        </is>
      </c>
      <c r="G2328" s="68" t="inlineStr">
        <is>
          <t>6.1.4 空调通风工程</t>
        </is>
      </c>
      <c r="H2328" s="68" t="inlineStr">
        <is>
          <t>空调风管(包含保温、吊杆及全部配件）</t>
        </is>
      </c>
      <c r="I2328" s="69" t="inlineStr">
        <is>
          <t>1000022000</t>
        </is>
      </c>
      <c r="J2328" s="69" t="inlineStr">
        <is>
          <t>2mm厚钢板排油烟管</t>
        </is>
      </c>
      <c r="K2328" s="70" t="n"/>
      <c r="L2328" s="70" t="n"/>
      <c r="M2328" s="71" t="inlineStr">
        <is>
          <t>m2</t>
        </is>
      </c>
      <c r="N2328" s="72" t="n">
        <v>219.44</v>
      </c>
      <c r="O2328" s="72">
        <f>ROUND(N2328*(1+$F$10),2)</f>
        <v/>
      </c>
      <c r="P2328" s="73">
        <f>ROUND(K2328*N2328,2)</f>
        <v/>
      </c>
      <c r="Q2328" s="74">
        <f>ROUND(L2328*N2328,2)</f>
        <v/>
      </c>
      <c r="R2328" s="75" t="n"/>
      <c r="S2328" s="76" t="n"/>
      <c r="T2328" s="77">
        <f>K2328-L2328</f>
        <v/>
      </c>
      <c r="U2328" s="77">
        <f>P2328-Q2328</f>
        <v/>
      </c>
      <c r="V2328" s="77">
        <f>ABS(U2328)</f>
        <v/>
      </c>
      <c r="W2328" s="78">
        <f>T2328/L2328</f>
        <v/>
      </c>
      <c r="X2328" s="79">
        <f>ABS(W2328)</f>
        <v/>
      </c>
    </row>
    <row r="2329" ht="11.4" customHeight="1">
      <c r="A2329" s="67" t="inlineStr">
        <is>
          <t>大甜73</t>
        </is>
      </c>
      <c r="B2329" s="67" t="inlineStr">
        <is>
          <t>1071</t>
        </is>
      </c>
      <c r="C2329" s="67" t="inlineStr">
        <is>
          <t>1614</t>
        </is>
      </c>
      <c r="D2329" s="68" t="inlineStr">
        <is>
          <t>03</t>
        </is>
      </c>
      <c r="E2329" s="68" t="inlineStr">
        <is>
          <t>6 物业施工费</t>
        </is>
      </c>
      <c r="F2329" s="68" t="inlineStr">
        <is>
          <t>6.1 总承包工程</t>
        </is>
      </c>
      <c r="G2329" s="68" t="inlineStr">
        <is>
          <t>6.1.4 空调通风工程</t>
        </is>
      </c>
      <c r="H2329" s="68" t="inlineStr">
        <is>
          <t>空调风管(包含保温、吊杆及全部配件）</t>
        </is>
      </c>
      <c r="I2329" s="69" t="inlineStr">
        <is>
          <t>1000022002</t>
        </is>
      </c>
      <c r="J2329" s="69" t="inlineStr">
        <is>
          <t>不锈钢排油烟管</t>
        </is>
      </c>
      <c r="K2329" s="70" t="n"/>
      <c r="L2329" s="70" t="n"/>
      <c r="M2329" s="71" t="inlineStr">
        <is>
          <t>m2</t>
        </is>
      </c>
      <c r="N2329" s="72" t="n">
        <v>365.36</v>
      </c>
      <c r="O2329" s="72">
        <f>ROUND(N2329*(1+$F$10),2)</f>
        <v/>
      </c>
      <c r="P2329" s="73">
        <f>ROUND(K2329*N2329,2)</f>
        <v/>
      </c>
      <c r="Q2329" s="74">
        <f>ROUND(L2329*N2329,2)</f>
        <v/>
      </c>
      <c r="R2329" s="75" t="n"/>
      <c r="S2329" s="76" t="n"/>
      <c r="T2329" s="77">
        <f>K2329-L2329</f>
        <v/>
      </c>
      <c r="U2329" s="77">
        <f>P2329-Q2329</f>
        <v/>
      </c>
      <c r="V2329" s="77">
        <f>ABS(U2329)</f>
        <v/>
      </c>
      <c r="W2329" s="78">
        <f>T2329/L2329</f>
        <v/>
      </c>
      <c r="X2329" s="79">
        <f>ABS(W2329)</f>
        <v/>
      </c>
    </row>
    <row r="2330" ht="11.4" customHeight="1">
      <c r="A2330" s="67" t="inlineStr">
        <is>
          <t>大甜73</t>
        </is>
      </c>
      <c r="B2330" s="67" t="inlineStr">
        <is>
          <t>1071</t>
        </is>
      </c>
      <c r="C2330" s="67" t="inlineStr">
        <is>
          <t>1614</t>
        </is>
      </c>
      <c r="D2330" s="68" t="inlineStr">
        <is>
          <t>03</t>
        </is>
      </c>
      <c r="E2330" s="68" t="inlineStr">
        <is>
          <t>6 物业施工费</t>
        </is>
      </c>
      <c r="F2330" s="68" t="inlineStr">
        <is>
          <t>6.1 总承包工程</t>
        </is>
      </c>
      <c r="G2330" s="68" t="inlineStr">
        <is>
          <t>6.1.4 空调通风工程</t>
        </is>
      </c>
      <c r="H2330" s="68" t="inlineStr">
        <is>
          <t>空调风管(包含保温、吊杆及全部配件）</t>
        </is>
      </c>
      <c r="I2330" s="69" t="inlineStr">
        <is>
          <t>1000022001</t>
        </is>
      </c>
      <c r="J2330" s="69" t="inlineStr">
        <is>
          <t>2mm钢板油烟排放稀释袖套</t>
        </is>
      </c>
      <c r="K2330" s="70" t="n"/>
      <c r="L2330" s="70" t="n"/>
      <c r="M2330" s="71" t="inlineStr">
        <is>
          <t>只</t>
        </is>
      </c>
      <c r="N2330" s="72" t="n">
        <v>832.04</v>
      </c>
      <c r="O2330" s="72">
        <f>ROUND(N2330*(1+$F$10),2)</f>
        <v/>
      </c>
      <c r="P2330" s="73">
        <f>ROUND(K2330*N2330,2)</f>
        <v/>
      </c>
      <c r="Q2330" s="74">
        <f>ROUND(L2330*N2330,2)</f>
        <v/>
      </c>
      <c r="R2330" s="75" t="n"/>
      <c r="S2330" s="76" t="n"/>
      <c r="T2330" s="77">
        <f>K2330-L2330</f>
        <v/>
      </c>
      <c r="U2330" s="77">
        <f>P2330-Q2330</f>
        <v/>
      </c>
      <c r="V2330" s="77">
        <f>ABS(U2330)</f>
        <v/>
      </c>
      <c r="W2330" s="78">
        <f>T2330/L2330</f>
        <v/>
      </c>
      <c r="X2330" s="79">
        <f>ABS(W2330)</f>
        <v/>
      </c>
    </row>
    <row r="2331" ht="11.4" customHeight="1">
      <c r="A2331" s="67" t="inlineStr">
        <is>
          <t>大甜73</t>
        </is>
      </c>
      <c r="B2331" s="67" t="inlineStr">
        <is>
          <t>1071</t>
        </is>
      </c>
      <c r="C2331" s="67" t="inlineStr">
        <is>
          <t>1614</t>
        </is>
      </c>
      <c r="D2331" s="68" t="inlineStr">
        <is>
          <t>03</t>
        </is>
      </c>
      <c r="E2331" s="68" t="inlineStr">
        <is>
          <t>6 物业施工费</t>
        </is>
      </c>
      <c r="F2331" s="68" t="inlineStr">
        <is>
          <t>6.1 总承包工程</t>
        </is>
      </c>
      <c r="G2331" s="68" t="inlineStr">
        <is>
          <t>6.1.4 空调通风工程</t>
        </is>
      </c>
      <c r="H2331" s="68" t="inlineStr">
        <is>
          <t>空调风管(包含保温、吊杆及全部配件）</t>
        </is>
      </c>
      <c r="I2331" s="69" t="inlineStr">
        <is>
          <t>1000022003</t>
        </is>
      </c>
      <c r="J2331" s="69" t="inlineStr">
        <is>
          <t>回风箱1800mm</t>
        </is>
      </c>
      <c r="K2331" s="70" t="n"/>
      <c r="L2331" s="70" t="n"/>
      <c r="M2331" s="71" t="inlineStr">
        <is>
          <t>只</t>
        </is>
      </c>
      <c r="N2331" s="72" t="n">
        <v>1691.55</v>
      </c>
      <c r="O2331" s="72">
        <f>ROUND(N2331*(1+$F$10),2)</f>
        <v/>
      </c>
      <c r="P2331" s="73">
        <f>ROUND(K2331*N2331,2)</f>
        <v/>
      </c>
      <c r="Q2331" s="74">
        <f>ROUND(L2331*N2331,2)</f>
        <v/>
      </c>
      <c r="R2331" s="75" t="n"/>
      <c r="S2331" s="76" t="n"/>
      <c r="T2331" s="77">
        <f>K2331-L2331</f>
        <v/>
      </c>
      <c r="U2331" s="77">
        <f>P2331-Q2331</f>
        <v/>
      </c>
      <c r="V2331" s="77">
        <f>ABS(U2331)</f>
        <v/>
      </c>
      <c r="W2331" s="78">
        <f>T2331/L2331</f>
        <v/>
      </c>
      <c r="X2331" s="79">
        <f>ABS(W2331)</f>
        <v/>
      </c>
    </row>
    <row r="2332" ht="11.4" customHeight="1">
      <c r="A2332" s="67" t="inlineStr">
        <is>
          <t>大甜73</t>
        </is>
      </c>
      <c r="B2332" s="67" t="inlineStr">
        <is>
          <t>1071</t>
        </is>
      </c>
      <c r="C2332" s="67" t="inlineStr">
        <is>
          <t>1614</t>
        </is>
      </c>
      <c r="D2332" s="68" t="inlineStr">
        <is>
          <t>03</t>
        </is>
      </c>
      <c r="E2332" s="68" t="inlineStr">
        <is>
          <t>6 物业施工费</t>
        </is>
      </c>
      <c r="F2332" s="68" t="inlineStr">
        <is>
          <t>6.1 总承包工程</t>
        </is>
      </c>
      <c r="G2332" s="68" t="inlineStr">
        <is>
          <t>6.1.4 空调通风工程</t>
        </is>
      </c>
      <c r="H2332" s="68" t="inlineStr">
        <is>
          <t>空调风管(包含保温、吊杆及全部配件）</t>
        </is>
      </c>
      <c r="I2332" s="69" t="inlineStr">
        <is>
          <t>1000022004</t>
        </is>
      </c>
      <c r="J2332" s="69" t="inlineStr">
        <is>
          <t>回风箱1200mm</t>
        </is>
      </c>
      <c r="K2332" s="70" t="n"/>
      <c r="L2332" s="70" t="n"/>
      <c r="M2332" s="71" t="inlineStr">
        <is>
          <t>只</t>
        </is>
      </c>
      <c r="N2332" s="72" t="n">
        <v>1315.9</v>
      </c>
      <c r="O2332" s="72">
        <f>ROUND(N2332*(1+$F$10),2)</f>
        <v/>
      </c>
      <c r="P2332" s="73">
        <f>ROUND(K2332*N2332,2)</f>
        <v/>
      </c>
      <c r="Q2332" s="74">
        <f>ROUND(L2332*N2332,2)</f>
        <v/>
      </c>
      <c r="R2332" s="75" t="n"/>
      <c r="S2332" s="76" t="n"/>
      <c r="T2332" s="77">
        <f>K2332-L2332</f>
        <v/>
      </c>
      <c r="U2332" s="77">
        <f>P2332-Q2332</f>
        <v/>
      </c>
      <c r="V2332" s="77">
        <f>ABS(U2332)</f>
        <v/>
      </c>
      <c r="W2332" s="78">
        <f>T2332/L2332</f>
        <v/>
      </c>
      <c r="X2332" s="79">
        <f>ABS(W2332)</f>
        <v/>
      </c>
    </row>
    <row r="2333" ht="11.4" customHeight="1">
      <c r="A2333" s="67" t="inlineStr">
        <is>
          <t>大甜73</t>
        </is>
      </c>
      <c r="B2333" s="67" t="inlineStr">
        <is>
          <t>1071</t>
        </is>
      </c>
      <c r="C2333" s="67" t="inlineStr">
        <is>
          <t>1614</t>
        </is>
      </c>
      <c r="D2333" s="68" t="inlineStr">
        <is>
          <t>03</t>
        </is>
      </c>
      <c r="E2333" s="68" t="inlineStr">
        <is>
          <t>6 物业施工费</t>
        </is>
      </c>
      <c r="F2333" s="68" t="inlineStr">
        <is>
          <t>6.1 总承包工程</t>
        </is>
      </c>
      <c r="G2333" s="68" t="inlineStr">
        <is>
          <t>6.1.4 空调通风工程</t>
        </is>
      </c>
      <c r="H2333" s="68" t="inlineStr">
        <is>
          <t>空调风管(包含保温、吊杆及全部配件）</t>
        </is>
      </c>
      <c r="I2333" s="69" t="inlineStr">
        <is>
          <t>1000022005</t>
        </is>
      </c>
      <c r="J2333" s="69" t="inlineStr">
        <is>
          <t>回风箱600mm</t>
        </is>
      </c>
      <c r="K2333" s="70" t="n"/>
      <c r="L2333" s="70" t="n"/>
      <c r="M2333" s="71" t="inlineStr">
        <is>
          <t>只</t>
        </is>
      </c>
      <c r="N2333" s="72" t="n">
        <v>969.96</v>
      </c>
      <c r="O2333" s="72">
        <f>ROUND(N2333*(1+$F$10),2)</f>
        <v/>
      </c>
      <c r="P2333" s="73">
        <f>ROUND(K2333*N2333,2)</f>
        <v/>
      </c>
      <c r="Q2333" s="74">
        <f>ROUND(L2333*N2333,2)</f>
        <v/>
      </c>
      <c r="R2333" s="75" t="n"/>
      <c r="S2333" s="76" t="n"/>
      <c r="T2333" s="77">
        <f>K2333-L2333</f>
        <v/>
      </c>
      <c r="U2333" s="77">
        <f>P2333-Q2333</f>
        <v/>
      </c>
      <c r="V2333" s="77">
        <f>ABS(U2333)</f>
        <v/>
      </c>
      <c r="W2333" s="78">
        <f>T2333/L2333</f>
        <v/>
      </c>
      <c r="X2333" s="79">
        <f>ABS(W2333)</f>
        <v/>
      </c>
    </row>
    <row r="2334" ht="11.4" customHeight="1">
      <c r="A2334" s="67" t="inlineStr">
        <is>
          <t>大甜73</t>
        </is>
      </c>
      <c r="B2334" s="67" t="inlineStr">
        <is>
          <t>1071</t>
        </is>
      </c>
      <c r="C2334" s="67" t="inlineStr">
        <is>
          <t>1614</t>
        </is>
      </c>
      <c r="D2334" s="68" t="inlineStr">
        <is>
          <t>03</t>
        </is>
      </c>
      <c r="E2334" s="68" t="inlineStr">
        <is>
          <t>6 物业施工费</t>
        </is>
      </c>
      <c r="F2334" s="68" t="inlineStr">
        <is>
          <t>6.1 总承包工程</t>
        </is>
      </c>
      <c r="G2334" s="68" t="inlineStr">
        <is>
          <t>6.1.4 空调通风工程</t>
        </is>
      </c>
      <c r="H2334" s="68" t="inlineStr">
        <is>
          <t>空调风管(包含保温、吊杆及全部配件）</t>
        </is>
      </c>
      <c r="I2334" s="69" t="inlineStr">
        <is>
          <t>1000022006</t>
        </is>
      </c>
      <c r="J2334" s="69" t="inlineStr">
        <is>
          <t>静压箱</t>
        </is>
      </c>
      <c r="K2334" s="70" t="n"/>
      <c r="L2334" s="70" t="n"/>
      <c r="M2334" s="71" t="inlineStr">
        <is>
          <t>只</t>
        </is>
      </c>
      <c r="N2334" s="72" t="n">
        <v>1692.65</v>
      </c>
      <c r="O2334" s="72">
        <f>ROUND(N2334*(1+$F$10),2)</f>
        <v/>
      </c>
      <c r="P2334" s="73">
        <f>ROUND(K2334*N2334,2)</f>
        <v/>
      </c>
      <c r="Q2334" s="74">
        <f>ROUND(L2334*N2334,2)</f>
        <v/>
      </c>
      <c r="R2334" s="75" t="n"/>
      <c r="S2334" s="76" t="n"/>
      <c r="T2334" s="77">
        <f>K2334-L2334</f>
        <v/>
      </c>
      <c r="U2334" s="77">
        <f>P2334-Q2334</f>
        <v/>
      </c>
      <c r="V2334" s="77">
        <f>ABS(U2334)</f>
        <v/>
      </c>
      <c r="W2334" s="78">
        <f>T2334/L2334</f>
        <v/>
      </c>
      <c r="X2334" s="79">
        <f>ABS(W2334)</f>
        <v/>
      </c>
    </row>
    <row r="2335" ht="11.4" customHeight="1">
      <c r="A2335" s="67" t="inlineStr">
        <is>
          <t>大甜73</t>
        </is>
      </c>
      <c r="B2335" s="67" t="inlineStr">
        <is>
          <t>1071</t>
        </is>
      </c>
      <c r="C2335" s="67" t="inlineStr">
        <is>
          <t>1614</t>
        </is>
      </c>
      <c r="D2335" s="68" t="inlineStr">
        <is>
          <t>03</t>
        </is>
      </c>
      <c r="E2335" s="68" t="inlineStr">
        <is>
          <t>6 物业施工费</t>
        </is>
      </c>
      <c r="F2335" s="68" t="inlineStr">
        <is>
          <t>6.1 总承包工程</t>
        </is>
      </c>
      <c r="G2335" s="68" t="inlineStr">
        <is>
          <t>6.1.4 空调通风工程</t>
        </is>
      </c>
      <c r="H2335" s="68" t="inlineStr">
        <is>
          <t>空调风管(包含保温、吊杆及全部配件）</t>
        </is>
      </c>
      <c r="I2335" s="69" t="inlineStr">
        <is>
          <t>1000051719</t>
        </is>
      </c>
      <c r="J2335" s="69" t="inlineStr">
        <is>
          <t>条形风口静压箱</t>
        </is>
      </c>
      <c r="K2335" s="70" t="n"/>
      <c r="L2335" s="70" t="n"/>
      <c r="M2335" s="71" t="inlineStr">
        <is>
          <t>个</t>
        </is>
      </c>
      <c r="N2335" s="72" t="n">
        <v>350</v>
      </c>
      <c r="O2335" s="72">
        <f>ROUND(N2335*(1+$F$10),2)</f>
        <v/>
      </c>
      <c r="P2335" s="73">
        <f>ROUND(K2335*N2335,2)</f>
        <v/>
      </c>
      <c r="Q2335" s="74">
        <f>ROUND(L2335*N2335,2)</f>
        <v/>
      </c>
      <c r="R2335" s="75" t="n"/>
      <c r="S2335" s="76" t="n"/>
      <c r="T2335" s="77">
        <f>K2335-L2335</f>
        <v/>
      </c>
      <c r="U2335" s="77">
        <f>P2335-Q2335</f>
        <v/>
      </c>
      <c r="V2335" s="77">
        <f>ABS(U2335)</f>
        <v/>
      </c>
      <c r="W2335" s="78">
        <f>T2335/L2335</f>
        <v/>
      </c>
      <c r="X2335" s="79">
        <f>ABS(W2335)</f>
        <v/>
      </c>
    </row>
    <row r="2336" ht="11.4" customHeight="1">
      <c r="A2336" s="67" t="inlineStr">
        <is>
          <t>大甜73</t>
        </is>
      </c>
      <c r="B2336" s="67" t="inlineStr">
        <is>
          <t>1071</t>
        </is>
      </c>
      <c r="C2336" s="67" t="inlineStr">
        <is>
          <t>1614</t>
        </is>
      </c>
      <c r="D2336" s="68" t="inlineStr">
        <is>
          <t>03</t>
        </is>
      </c>
      <c r="E2336" s="68" t="inlineStr">
        <is>
          <t>6 物业施工费</t>
        </is>
      </c>
      <c r="F2336" s="68" t="inlineStr">
        <is>
          <t>6.1 总承包工程</t>
        </is>
      </c>
      <c r="G2336" s="68" t="inlineStr">
        <is>
          <t>6.1.4 空调通风工程</t>
        </is>
      </c>
      <c r="H2336" s="68" t="inlineStr">
        <is>
          <t>空调冷媒管(含保温、吊杆）</t>
        </is>
      </c>
      <c r="I2336" s="69" t="inlineStr">
        <is>
          <t>1000022007</t>
        </is>
      </c>
      <c r="J2336" s="69" t="inlineStr">
        <is>
          <t>连接25匹分体空调内、外机的一对(两根)冷媒管</t>
        </is>
      </c>
      <c r="K2336" s="70" t="n"/>
      <c r="L2336" s="70" t="n"/>
      <c r="M2336" s="71" t="inlineStr">
        <is>
          <t>米</t>
        </is>
      </c>
      <c r="N2336" s="72" t="n">
        <v>230.44</v>
      </c>
      <c r="O2336" s="72">
        <f>ROUND(N2336*(1+$F$10),2)</f>
        <v/>
      </c>
      <c r="P2336" s="73">
        <f>ROUND(K2336*N2336,2)</f>
        <v/>
      </c>
      <c r="Q2336" s="74">
        <f>ROUND(L2336*N2336,2)</f>
        <v/>
      </c>
      <c r="R2336" s="75" t="n"/>
      <c r="S2336" s="76" t="n"/>
      <c r="T2336" s="77">
        <f>K2336-L2336</f>
        <v/>
      </c>
      <c r="U2336" s="77">
        <f>P2336-Q2336</f>
        <v/>
      </c>
      <c r="V2336" s="77">
        <f>ABS(U2336)</f>
        <v/>
      </c>
      <c r="W2336" s="78">
        <f>T2336/L2336</f>
        <v/>
      </c>
      <c r="X2336" s="79">
        <f>ABS(W2336)</f>
        <v/>
      </c>
    </row>
    <row r="2337" ht="11.4" customHeight="1">
      <c r="A2337" s="67" t="inlineStr">
        <is>
          <t>大甜73</t>
        </is>
      </c>
      <c r="B2337" s="67" t="inlineStr">
        <is>
          <t>1071</t>
        </is>
      </c>
      <c r="C2337" s="67" t="inlineStr">
        <is>
          <t>1614</t>
        </is>
      </c>
      <c r="D2337" s="68" t="inlineStr">
        <is>
          <t>03</t>
        </is>
      </c>
      <c r="E2337" s="68" t="inlineStr">
        <is>
          <t>6 物业施工费</t>
        </is>
      </c>
      <c r="F2337" s="68" t="inlineStr">
        <is>
          <t>6.1 总承包工程</t>
        </is>
      </c>
      <c r="G2337" s="68" t="inlineStr">
        <is>
          <t>6.1.4 空调通风工程</t>
        </is>
      </c>
      <c r="H2337" s="68" t="inlineStr">
        <is>
          <t>空调冷媒管(含保温、吊杆）</t>
        </is>
      </c>
      <c r="I2337" s="69" t="inlineStr">
        <is>
          <t>1000022008</t>
        </is>
      </c>
      <c r="J2337" s="69" t="inlineStr">
        <is>
          <t>连接15 - 20匹分体空调内、外机的一对(两根)冷媒管</t>
        </is>
      </c>
      <c r="K2337" s="70" t="n"/>
      <c r="L2337" s="70" t="n"/>
      <c r="M2337" s="71" t="inlineStr">
        <is>
          <t>米</t>
        </is>
      </c>
      <c r="N2337" s="72" t="n">
        <v>199.42</v>
      </c>
      <c r="O2337" s="72">
        <f>ROUND(N2337*(1+$F$10),2)</f>
        <v/>
      </c>
      <c r="P2337" s="73">
        <f>ROUND(K2337*N2337,2)</f>
        <v/>
      </c>
      <c r="Q2337" s="74">
        <f>ROUND(L2337*N2337,2)</f>
        <v/>
      </c>
      <c r="R2337" s="75" t="n"/>
      <c r="S2337" s="76" t="n"/>
      <c r="T2337" s="77">
        <f>K2337-L2337</f>
        <v/>
      </c>
      <c r="U2337" s="77">
        <f>P2337-Q2337</f>
        <v/>
      </c>
      <c r="V2337" s="77">
        <f>ABS(U2337)</f>
        <v/>
      </c>
      <c r="W2337" s="78">
        <f>T2337/L2337</f>
        <v/>
      </c>
      <c r="X2337" s="79">
        <f>ABS(W2337)</f>
        <v/>
      </c>
    </row>
    <row r="2338" ht="11.4" customHeight="1">
      <c r="A2338" s="67" t="inlineStr">
        <is>
          <t>大甜73</t>
        </is>
      </c>
      <c r="B2338" s="67" t="inlineStr">
        <is>
          <t>1071</t>
        </is>
      </c>
      <c r="C2338" s="67" t="inlineStr">
        <is>
          <t>1614</t>
        </is>
      </c>
      <c r="D2338" s="68" t="inlineStr">
        <is>
          <t>03</t>
        </is>
      </c>
      <c r="E2338" s="68" t="inlineStr">
        <is>
          <t>6 物业施工费</t>
        </is>
      </c>
      <c r="F2338" s="68" t="inlineStr">
        <is>
          <t>6.1 总承包工程</t>
        </is>
      </c>
      <c r="G2338" s="68" t="inlineStr">
        <is>
          <t>6.1.4 空调通风工程</t>
        </is>
      </c>
      <c r="H2338" s="68" t="inlineStr">
        <is>
          <t>空调冷媒管(含保温、吊杆）</t>
        </is>
      </c>
      <c r="I2338" s="69" t="inlineStr">
        <is>
          <t>1000022009</t>
        </is>
      </c>
      <c r="J2338" s="69" t="inlineStr">
        <is>
          <t>连接8 - 12.5匹空调内、外机的一对(两根)冷媒管</t>
        </is>
      </c>
      <c r="K2338" s="70" t="n"/>
      <c r="L2338" s="70" t="n"/>
      <c r="M2338" s="71" t="inlineStr">
        <is>
          <t>米</t>
        </is>
      </c>
      <c r="N2338" s="72" t="n">
        <v>187.87</v>
      </c>
      <c r="O2338" s="72">
        <f>ROUND(N2338*(1+$F$10),2)</f>
        <v/>
      </c>
      <c r="P2338" s="73">
        <f>ROUND(K2338*N2338,2)</f>
        <v/>
      </c>
      <c r="Q2338" s="74">
        <f>ROUND(L2338*N2338,2)</f>
        <v/>
      </c>
      <c r="R2338" s="75" t="n"/>
      <c r="S2338" s="76" t="n"/>
      <c r="T2338" s="77">
        <f>K2338-L2338</f>
        <v/>
      </c>
      <c r="U2338" s="77">
        <f>P2338-Q2338</f>
        <v/>
      </c>
      <c r="V2338" s="77">
        <f>ABS(U2338)</f>
        <v/>
      </c>
      <c r="W2338" s="78">
        <f>T2338/L2338</f>
        <v/>
      </c>
      <c r="X2338" s="79">
        <f>ABS(W2338)</f>
        <v/>
      </c>
    </row>
    <row r="2339" ht="11.4" customHeight="1">
      <c r="A2339" s="67" t="inlineStr">
        <is>
          <t>大甜73</t>
        </is>
      </c>
      <c r="B2339" s="67" t="inlineStr">
        <is>
          <t>1071</t>
        </is>
      </c>
      <c r="C2339" s="67" t="inlineStr">
        <is>
          <t>1614</t>
        </is>
      </c>
      <c r="D2339" s="68" t="inlineStr">
        <is>
          <t>03</t>
        </is>
      </c>
      <c r="E2339" s="68" t="inlineStr">
        <is>
          <t>6 物业施工费</t>
        </is>
      </c>
      <c r="F2339" s="68" t="inlineStr">
        <is>
          <t>6.1 总承包工程</t>
        </is>
      </c>
      <c r="G2339" s="68" t="inlineStr">
        <is>
          <t>6.1.4 空调通风工程</t>
        </is>
      </c>
      <c r="H2339" s="68" t="inlineStr">
        <is>
          <t>空调冷媒管(含保温、吊杆）</t>
        </is>
      </c>
      <c r="I2339" s="69" t="inlineStr">
        <is>
          <t>1000022010</t>
        </is>
      </c>
      <c r="J2339" s="69" t="inlineStr">
        <is>
          <t>连接7匹空调内、外机的一对(两根)冷媒管</t>
        </is>
      </c>
      <c r="K2339" s="70" t="n"/>
      <c r="L2339" s="70" t="n"/>
      <c r="M2339" s="71" t="inlineStr">
        <is>
          <t>米</t>
        </is>
      </c>
      <c r="N2339" s="72" t="n">
        <v>175.55</v>
      </c>
      <c r="O2339" s="72">
        <f>ROUND(N2339*(1+$F$10),2)</f>
        <v/>
      </c>
      <c r="P2339" s="73">
        <f>ROUND(K2339*N2339,2)</f>
        <v/>
      </c>
      <c r="Q2339" s="74">
        <f>ROUND(L2339*N2339,2)</f>
        <v/>
      </c>
      <c r="R2339" s="75" t="n"/>
      <c r="S2339" s="76" t="n"/>
      <c r="T2339" s="77">
        <f>K2339-L2339</f>
        <v/>
      </c>
      <c r="U2339" s="77">
        <f>P2339-Q2339</f>
        <v/>
      </c>
      <c r="V2339" s="77">
        <f>ABS(U2339)</f>
        <v/>
      </c>
      <c r="W2339" s="78">
        <f>T2339/L2339</f>
        <v/>
      </c>
      <c r="X2339" s="79">
        <f>ABS(W2339)</f>
        <v/>
      </c>
    </row>
    <row r="2340" ht="11.4" customHeight="1">
      <c r="A2340" s="67" t="inlineStr">
        <is>
          <t>大甜73</t>
        </is>
      </c>
      <c r="B2340" s="67" t="inlineStr">
        <is>
          <t>1071</t>
        </is>
      </c>
      <c r="C2340" s="67" t="inlineStr">
        <is>
          <t>1614</t>
        </is>
      </c>
      <c r="D2340" s="68" t="inlineStr">
        <is>
          <t>03</t>
        </is>
      </c>
      <c r="E2340" s="68" t="inlineStr">
        <is>
          <t>6 物业施工费</t>
        </is>
      </c>
      <c r="F2340" s="68" t="inlineStr">
        <is>
          <t>6.1 总承包工程</t>
        </is>
      </c>
      <c r="G2340" s="68" t="inlineStr">
        <is>
          <t>6.1.4 空调通风工程</t>
        </is>
      </c>
      <c r="H2340" s="68" t="inlineStr">
        <is>
          <t>空调冷媒管(含保温、吊杆）</t>
        </is>
      </c>
      <c r="I2340" s="69" t="inlineStr">
        <is>
          <t>1000022011</t>
        </is>
      </c>
      <c r="J2340" s="69" t="inlineStr">
        <is>
          <t>连接5 - 6匹空调内、外机的一对(两根)冷媒管</t>
        </is>
      </c>
      <c r="K2340" s="70" t="n"/>
      <c r="L2340" s="70" t="n"/>
      <c r="M2340" s="71" t="inlineStr">
        <is>
          <t>米</t>
        </is>
      </c>
      <c r="N2340" s="72" t="n">
        <v>156.85</v>
      </c>
      <c r="O2340" s="72">
        <f>ROUND(N2340*(1+$F$10),2)</f>
        <v/>
      </c>
      <c r="P2340" s="73">
        <f>ROUND(K2340*N2340,2)</f>
        <v/>
      </c>
      <c r="Q2340" s="74">
        <f>ROUND(L2340*N2340,2)</f>
        <v/>
      </c>
      <c r="R2340" s="75" t="n"/>
      <c r="S2340" s="76" t="n"/>
      <c r="T2340" s="77">
        <f>K2340-L2340</f>
        <v/>
      </c>
      <c r="U2340" s="77">
        <f>P2340-Q2340</f>
        <v/>
      </c>
      <c r="V2340" s="77">
        <f>ABS(U2340)</f>
        <v/>
      </c>
      <c r="W2340" s="78">
        <f>T2340/L2340</f>
        <v/>
      </c>
      <c r="X2340" s="79">
        <f>ABS(W2340)</f>
        <v/>
      </c>
    </row>
    <row r="2341" ht="11.4" customHeight="1">
      <c r="A2341" s="67" t="inlineStr">
        <is>
          <t>大甜73</t>
        </is>
      </c>
      <c r="B2341" s="67" t="inlineStr">
        <is>
          <t>1071</t>
        </is>
      </c>
      <c r="C2341" s="67" t="inlineStr">
        <is>
          <t>1614</t>
        </is>
      </c>
      <c r="D2341" s="68" t="inlineStr">
        <is>
          <t>03</t>
        </is>
      </c>
      <c r="E2341" s="68" t="inlineStr">
        <is>
          <t>6 物业施工费</t>
        </is>
      </c>
      <c r="F2341" s="68" t="inlineStr">
        <is>
          <t>6.1 总承包工程</t>
        </is>
      </c>
      <c r="G2341" s="68" t="inlineStr">
        <is>
          <t>6.1.4 空调通风工程</t>
        </is>
      </c>
      <c r="H2341" s="68" t="inlineStr">
        <is>
          <t>空调冷媒管(含保温、吊杆）</t>
        </is>
      </c>
      <c r="I2341" s="69" t="inlineStr">
        <is>
          <t>1000022012</t>
        </is>
      </c>
      <c r="J2341" s="69" t="inlineStr">
        <is>
          <t>连接3匹空调内、外机的一对(两根)冷媒管</t>
        </is>
      </c>
      <c r="K2341" s="70" t="n"/>
      <c r="L2341" s="70" t="n"/>
      <c r="M2341" s="71" t="inlineStr">
        <is>
          <t>米</t>
        </is>
      </c>
      <c r="N2341" s="72" t="n">
        <v>122.2</v>
      </c>
      <c r="O2341" s="72">
        <f>ROUND(N2341*(1+$F$10),2)</f>
        <v/>
      </c>
      <c r="P2341" s="73">
        <f>ROUND(K2341*N2341,2)</f>
        <v/>
      </c>
      <c r="Q2341" s="74">
        <f>ROUND(L2341*N2341,2)</f>
        <v/>
      </c>
      <c r="R2341" s="75" t="n"/>
      <c r="S2341" s="76" t="n"/>
      <c r="T2341" s="77">
        <f>K2341-L2341</f>
        <v/>
      </c>
      <c r="U2341" s="77">
        <f>P2341-Q2341</f>
        <v/>
      </c>
      <c r="V2341" s="77">
        <f>ABS(U2341)</f>
        <v/>
      </c>
      <c r="W2341" s="78">
        <f>T2341/L2341</f>
        <v/>
      </c>
      <c r="X2341" s="79">
        <f>ABS(W2341)</f>
        <v/>
      </c>
    </row>
    <row r="2342" ht="11.4" customHeight="1">
      <c r="A2342" s="67" t="inlineStr">
        <is>
          <t>大甜73</t>
        </is>
      </c>
      <c r="B2342" s="67" t="inlineStr">
        <is>
          <t>1071</t>
        </is>
      </c>
      <c r="C2342" s="67" t="inlineStr">
        <is>
          <t>1614</t>
        </is>
      </c>
      <c r="D2342" s="68" t="inlineStr">
        <is>
          <t>03</t>
        </is>
      </c>
      <c r="E2342" s="68" t="inlineStr">
        <is>
          <t>6 物业施工费</t>
        </is>
      </c>
      <c r="F2342" s="68" t="inlineStr">
        <is>
          <t>6.1 总承包工程</t>
        </is>
      </c>
      <c r="G2342" s="68" t="inlineStr">
        <is>
          <t>6.1.4 空调通风工程</t>
        </is>
      </c>
      <c r="H2342" s="68" t="inlineStr">
        <is>
          <t>空调冷媒管(含保温、吊杆）</t>
        </is>
      </c>
      <c r="I2342" s="69" t="inlineStr">
        <is>
          <t>1000022013</t>
        </is>
      </c>
      <c r="J2342" s="69" t="inlineStr">
        <is>
          <t>屋面冷媒铜管保护槽</t>
        </is>
      </c>
      <c r="K2342" s="70" t="n"/>
      <c r="L2342" s="70" t="n"/>
      <c r="M2342" s="71" t="inlineStr">
        <is>
          <t>项</t>
        </is>
      </c>
      <c r="N2342" s="72" t="n">
        <v>4616.45</v>
      </c>
      <c r="O2342" s="72">
        <f>ROUND(N2342*(1+$F$10),2)</f>
        <v/>
      </c>
      <c r="P2342" s="73">
        <f>ROUND(K2342*N2342,2)</f>
        <v/>
      </c>
      <c r="Q2342" s="74">
        <f>ROUND(L2342*N2342,2)</f>
        <v/>
      </c>
      <c r="R2342" s="75" t="n"/>
      <c r="S2342" s="76" t="n"/>
      <c r="T2342" s="77">
        <f>K2342-L2342</f>
        <v/>
      </c>
      <c r="U2342" s="77">
        <f>P2342-Q2342</f>
        <v/>
      </c>
      <c r="V2342" s="77">
        <f>ABS(U2342)</f>
        <v/>
      </c>
      <c r="W2342" s="78">
        <f>T2342/L2342</f>
        <v/>
      </c>
      <c r="X2342" s="79">
        <f>ABS(W2342)</f>
        <v/>
      </c>
    </row>
    <row r="2343" ht="11.4" customHeight="1">
      <c r="A2343" s="67" t="inlineStr">
        <is>
          <t>大甜73</t>
        </is>
      </c>
      <c r="B2343" s="67" t="inlineStr">
        <is>
          <t>1071</t>
        </is>
      </c>
      <c r="C2343" s="67" t="inlineStr">
        <is>
          <t>1614</t>
        </is>
      </c>
      <c r="D2343" s="68" t="inlineStr">
        <is>
          <t>03</t>
        </is>
      </c>
      <c r="E2343" s="68" t="inlineStr">
        <is>
          <t>6 物业施工费</t>
        </is>
      </c>
      <c r="F2343" s="68" t="inlineStr">
        <is>
          <t>6.1 总承包工程</t>
        </is>
      </c>
      <c r="G2343" s="68" t="inlineStr">
        <is>
          <t>6.1.4 空调通风工程</t>
        </is>
      </c>
      <c r="H2343" s="68" t="inlineStr">
        <is>
          <t>空调冷媒管(含保温、吊杆）</t>
        </is>
      </c>
      <c r="I2343" s="69" t="inlineStr">
        <is>
          <t>1000022014</t>
        </is>
      </c>
      <c r="J2343" s="69" t="inlineStr">
        <is>
          <t>水冷空调镀锌管含保温DN100</t>
        </is>
      </c>
      <c r="K2343" s="70" t="n"/>
      <c r="L2343" s="70" t="n"/>
      <c r="M2343" s="71" t="inlineStr">
        <is>
          <t>米</t>
        </is>
      </c>
      <c r="N2343" s="72" t="n">
        <v>180.37</v>
      </c>
      <c r="O2343" s="72">
        <f>ROUND(N2343*(1+$F$10),2)</f>
        <v/>
      </c>
      <c r="P2343" s="73">
        <f>ROUND(K2343*N2343,2)</f>
        <v/>
      </c>
      <c r="Q2343" s="74">
        <f>ROUND(L2343*N2343,2)</f>
        <v/>
      </c>
      <c r="R2343" s="75" t="n"/>
      <c r="S2343" s="76" t="n"/>
      <c r="T2343" s="77">
        <f>K2343-L2343</f>
        <v/>
      </c>
      <c r="U2343" s="77">
        <f>P2343-Q2343</f>
        <v/>
      </c>
      <c r="V2343" s="77">
        <f>ABS(U2343)</f>
        <v/>
      </c>
      <c r="W2343" s="78">
        <f>T2343/L2343</f>
        <v/>
      </c>
      <c r="X2343" s="79">
        <f>ABS(W2343)</f>
        <v/>
      </c>
    </row>
    <row r="2344" ht="11.4" customHeight="1">
      <c r="A2344" s="67" t="inlineStr">
        <is>
          <t>大甜73</t>
        </is>
      </c>
      <c r="B2344" s="67" t="inlineStr">
        <is>
          <t>1071</t>
        </is>
      </c>
      <c r="C2344" s="67" t="inlineStr">
        <is>
          <t>1614</t>
        </is>
      </c>
      <c r="D2344" s="68" t="inlineStr">
        <is>
          <t>03</t>
        </is>
      </c>
      <c r="E2344" s="68" t="inlineStr">
        <is>
          <t>6 物业施工费</t>
        </is>
      </c>
      <c r="F2344" s="68" t="inlineStr">
        <is>
          <t>6.1 总承包工程</t>
        </is>
      </c>
      <c r="G2344" s="68" t="inlineStr">
        <is>
          <t>6.1.4 空调通风工程</t>
        </is>
      </c>
      <c r="H2344" s="68" t="inlineStr">
        <is>
          <t>空调冷媒管(含保温、吊杆）</t>
        </is>
      </c>
      <c r="I2344" s="69" t="inlineStr">
        <is>
          <t>1000022015</t>
        </is>
      </c>
      <c r="J2344" s="69" t="inlineStr">
        <is>
          <t>水冷空调镀锌管含保温DN80</t>
        </is>
      </c>
      <c r="K2344" s="70" t="n"/>
      <c r="L2344" s="70" t="n"/>
      <c r="M2344" s="71" t="inlineStr">
        <is>
          <t>米</t>
        </is>
      </c>
      <c r="N2344" s="72" t="n">
        <v>146.92</v>
      </c>
      <c r="O2344" s="72">
        <f>ROUND(N2344*(1+$F$10),2)</f>
        <v/>
      </c>
      <c r="P2344" s="73">
        <f>ROUND(K2344*N2344,2)</f>
        <v/>
      </c>
      <c r="Q2344" s="74">
        <f>ROUND(L2344*N2344,2)</f>
        <v/>
      </c>
      <c r="R2344" s="75" t="n"/>
      <c r="S2344" s="76" t="n"/>
      <c r="T2344" s="77">
        <f>K2344-L2344</f>
        <v/>
      </c>
      <c r="U2344" s="77">
        <f>P2344-Q2344</f>
        <v/>
      </c>
      <c r="V2344" s="77">
        <f>ABS(U2344)</f>
        <v/>
      </c>
      <c r="W2344" s="78">
        <f>T2344/L2344</f>
        <v/>
      </c>
      <c r="X2344" s="79">
        <f>ABS(W2344)</f>
        <v/>
      </c>
    </row>
    <row r="2345" ht="11.4" customHeight="1">
      <c r="A2345" s="67" t="inlineStr">
        <is>
          <t>大甜73</t>
        </is>
      </c>
      <c r="B2345" s="67" t="inlineStr">
        <is>
          <t>1071</t>
        </is>
      </c>
      <c r="C2345" s="67" t="inlineStr">
        <is>
          <t>1614</t>
        </is>
      </c>
      <c r="D2345" s="68" t="inlineStr">
        <is>
          <t>03</t>
        </is>
      </c>
      <c r="E2345" s="68" t="inlineStr">
        <is>
          <t>6 物业施工费</t>
        </is>
      </c>
      <c r="F2345" s="68" t="inlineStr">
        <is>
          <t>6.1 总承包工程</t>
        </is>
      </c>
      <c r="G2345" s="68" t="inlineStr">
        <is>
          <t>6.1.4 空调通风工程</t>
        </is>
      </c>
      <c r="H2345" s="68" t="inlineStr">
        <is>
          <t>空调冷媒管(含保温、吊杆）</t>
        </is>
      </c>
      <c r="I2345" s="69" t="inlineStr">
        <is>
          <t>1000022016</t>
        </is>
      </c>
      <c r="J2345" s="69" t="inlineStr">
        <is>
          <t>水冷空调镀锌管含保温DN70</t>
        </is>
      </c>
      <c r="K2345" s="70" t="n"/>
      <c r="L2345" s="70" t="n"/>
      <c r="M2345" s="71" t="inlineStr">
        <is>
          <t>米</t>
        </is>
      </c>
      <c r="N2345" s="72" t="n">
        <v>126.78</v>
      </c>
      <c r="O2345" s="72">
        <f>ROUND(N2345*(1+$F$10),2)</f>
        <v/>
      </c>
      <c r="P2345" s="73">
        <f>ROUND(K2345*N2345,2)</f>
        <v/>
      </c>
      <c r="Q2345" s="74">
        <f>ROUND(L2345*N2345,2)</f>
        <v/>
      </c>
      <c r="R2345" s="75" t="n"/>
      <c r="S2345" s="76" t="n"/>
      <c r="T2345" s="77">
        <f>K2345-L2345</f>
        <v/>
      </c>
      <c r="U2345" s="77">
        <f>P2345-Q2345</f>
        <v/>
      </c>
      <c r="V2345" s="77">
        <f>ABS(U2345)</f>
        <v/>
      </c>
      <c r="W2345" s="78">
        <f>T2345/L2345</f>
        <v/>
      </c>
      <c r="X2345" s="79">
        <f>ABS(W2345)</f>
        <v/>
      </c>
    </row>
    <row r="2346" ht="11.4" customHeight="1">
      <c r="A2346" s="67" t="inlineStr">
        <is>
          <t>大甜73</t>
        </is>
      </c>
      <c r="B2346" s="67" t="inlineStr">
        <is>
          <t>1071</t>
        </is>
      </c>
      <c r="C2346" s="67" t="inlineStr">
        <is>
          <t>1614</t>
        </is>
      </c>
      <c r="D2346" s="68" t="inlineStr">
        <is>
          <t>03</t>
        </is>
      </c>
      <c r="E2346" s="68" t="inlineStr">
        <is>
          <t>6 物业施工费</t>
        </is>
      </c>
      <c r="F2346" s="68" t="inlineStr">
        <is>
          <t>6.1 总承包工程</t>
        </is>
      </c>
      <c r="G2346" s="68" t="inlineStr">
        <is>
          <t>6.1.4 空调通风工程</t>
        </is>
      </c>
      <c r="H2346" s="68" t="inlineStr">
        <is>
          <t>空调冷媒管(含保温、吊杆）</t>
        </is>
      </c>
      <c r="I2346" s="69" t="inlineStr">
        <is>
          <t>1000022017</t>
        </is>
      </c>
      <c r="J2346" s="69" t="inlineStr">
        <is>
          <t>水冷空调镀锌管含保温DN50</t>
        </is>
      </c>
      <c r="K2346" s="70" t="n"/>
      <c r="L2346" s="70" t="n"/>
      <c r="M2346" s="71" t="inlineStr">
        <is>
          <t>米</t>
        </is>
      </c>
      <c r="N2346" s="72" t="n">
        <v>109.45</v>
      </c>
      <c r="O2346" s="72">
        <f>ROUND(N2346*(1+$F$10),2)</f>
        <v/>
      </c>
      <c r="P2346" s="73">
        <f>ROUND(K2346*N2346,2)</f>
        <v/>
      </c>
      <c r="Q2346" s="74">
        <f>ROUND(L2346*N2346,2)</f>
        <v/>
      </c>
      <c r="R2346" s="75" t="n"/>
      <c r="S2346" s="76" t="n"/>
      <c r="T2346" s="77">
        <f>K2346-L2346</f>
        <v/>
      </c>
      <c r="U2346" s="77">
        <f>P2346-Q2346</f>
        <v/>
      </c>
      <c r="V2346" s="77">
        <f>ABS(U2346)</f>
        <v/>
      </c>
      <c r="W2346" s="78">
        <f>T2346/L2346</f>
        <v/>
      </c>
      <c r="X2346" s="79">
        <f>ABS(W2346)</f>
        <v/>
      </c>
    </row>
    <row r="2347" ht="11.4" customHeight="1">
      <c r="A2347" s="67" t="inlineStr">
        <is>
          <t>大甜73</t>
        </is>
      </c>
      <c r="B2347" s="67" t="inlineStr">
        <is>
          <t>1071</t>
        </is>
      </c>
      <c r="C2347" s="67" t="inlineStr">
        <is>
          <t>1614</t>
        </is>
      </c>
      <c r="D2347" s="68" t="inlineStr">
        <is>
          <t>03</t>
        </is>
      </c>
      <c r="E2347" s="68" t="inlineStr">
        <is>
          <t>6 物业施工费</t>
        </is>
      </c>
      <c r="F2347" s="68" t="inlineStr">
        <is>
          <t>6.1 总承包工程</t>
        </is>
      </c>
      <c r="G2347" s="68" t="inlineStr">
        <is>
          <t>6.1.4 空调通风工程</t>
        </is>
      </c>
      <c r="H2347" s="68" t="inlineStr">
        <is>
          <t>空调冷媒管(含保温、吊杆）</t>
        </is>
      </c>
      <c r="I2347" s="69" t="inlineStr">
        <is>
          <t>1000022018</t>
        </is>
      </c>
      <c r="J2347" s="69" t="inlineStr">
        <is>
          <t>水冷空调镀锌管含保温DN40</t>
        </is>
      </c>
      <c r="K2347" s="70" t="n"/>
      <c r="L2347" s="70" t="n"/>
      <c r="M2347" s="71" t="inlineStr">
        <is>
          <t>米</t>
        </is>
      </c>
      <c r="N2347" s="72" t="n">
        <v>95.83</v>
      </c>
      <c r="O2347" s="72">
        <f>ROUND(N2347*(1+$F$10),2)</f>
        <v/>
      </c>
      <c r="P2347" s="73">
        <f>ROUND(K2347*N2347,2)</f>
        <v/>
      </c>
      <c r="Q2347" s="74">
        <f>ROUND(L2347*N2347,2)</f>
        <v/>
      </c>
      <c r="R2347" s="75" t="n"/>
      <c r="S2347" s="76" t="n"/>
      <c r="T2347" s="77">
        <f>K2347-L2347</f>
        <v/>
      </c>
      <c r="U2347" s="77">
        <f>P2347-Q2347</f>
        <v/>
      </c>
      <c r="V2347" s="77">
        <f>ABS(U2347)</f>
        <v/>
      </c>
      <c r="W2347" s="78">
        <f>T2347/L2347</f>
        <v/>
      </c>
      <c r="X2347" s="79">
        <f>ABS(W2347)</f>
        <v/>
      </c>
    </row>
    <row r="2348" ht="11.4" customHeight="1">
      <c r="A2348" s="67" t="inlineStr">
        <is>
          <t>大甜73</t>
        </is>
      </c>
      <c r="B2348" s="67" t="inlineStr">
        <is>
          <t>1071</t>
        </is>
      </c>
      <c r="C2348" s="67" t="inlineStr">
        <is>
          <t>1614</t>
        </is>
      </c>
      <c r="D2348" s="68" t="inlineStr">
        <is>
          <t>03</t>
        </is>
      </c>
      <c r="E2348" s="68" t="inlineStr">
        <is>
          <t>6 物业施工费</t>
        </is>
      </c>
      <c r="F2348" s="68" t="inlineStr">
        <is>
          <t>6.1 总承包工程</t>
        </is>
      </c>
      <c r="G2348" s="68" t="inlineStr">
        <is>
          <t>6.1.4 空调通风工程</t>
        </is>
      </c>
      <c r="H2348" s="68" t="inlineStr">
        <is>
          <t>空调冷媒管(含保温、吊杆）</t>
        </is>
      </c>
      <c r="I2348" s="69" t="inlineStr">
        <is>
          <t>1000022019</t>
        </is>
      </c>
      <c r="J2348" s="69" t="inlineStr">
        <is>
          <t>水冷空调镀锌管含保温DN32</t>
        </is>
      </c>
      <c r="K2348" s="70" t="n"/>
      <c r="L2348" s="70" t="n"/>
      <c r="M2348" s="71" t="inlineStr">
        <is>
          <t>米</t>
        </is>
      </c>
      <c r="N2348" s="72" t="n">
        <v>82.51000000000001</v>
      </c>
      <c r="O2348" s="72">
        <f>ROUND(N2348*(1+$F$10),2)</f>
        <v/>
      </c>
      <c r="P2348" s="73">
        <f>ROUND(K2348*N2348,2)</f>
        <v/>
      </c>
      <c r="Q2348" s="74">
        <f>ROUND(L2348*N2348,2)</f>
        <v/>
      </c>
      <c r="R2348" s="75" t="n"/>
      <c r="S2348" s="76" t="n"/>
      <c r="T2348" s="77">
        <f>K2348-L2348</f>
        <v/>
      </c>
      <c r="U2348" s="77">
        <f>P2348-Q2348</f>
        <v/>
      </c>
      <c r="V2348" s="77">
        <f>ABS(U2348)</f>
        <v/>
      </c>
      <c r="W2348" s="78">
        <f>T2348/L2348</f>
        <v/>
      </c>
      <c r="X2348" s="79">
        <f>ABS(W2348)</f>
        <v/>
      </c>
    </row>
    <row r="2349" ht="11.4" customHeight="1">
      <c r="A2349" s="67" t="inlineStr">
        <is>
          <t>大甜73</t>
        </is>
      </c>
      <c r="B2349" s="67" t="inlineStr">
        <is>
          <t>1071</t>
        </is>
      </c>
      <c r="C2349" s="67" t="inlineStr">
        <is>
          <t>1614</t>
        </is>
      </c>
      <c r="D2349" s="68" t="inlineStr">
        <is>
          <t>03</t>
        </is>
      </c>
      <c r="E2349" s="68" t="inlineStr">
        <is>
          <t>6 物业施工费</t>
        </is>
      </c>
      <c r="F2349" s="68" t="inlineStr">
        <is>
          <t>6.1 总承包工程</t>
        </is>
      </c>
      <c r="G2349" s="68" t="inlineStr">
        <is>
          <t>6.1.4 空调通风工程</t>
        </is>
      </c>
      <c r="H2349" s="68" t="inlineStr">
        <is>
          <t>空调冷媒管(含保温、吊杆）</t>
        </is>
      </c>
      <c r="I2349" s="69" t="inlineStr">
        <is>
          <t>1000022020</t>
        </is>
      </c>
      <c r="J2349" s="69" t="inlineStr">
        <is>
          <t>水冷空调镀锌管含保温DN25</t>
        </is>
      </c>
      <c r="K2349" s="70" t="n"/>
      <c r="L2349" s="70" t="n"/>
      <c r="M2349" s="71" t="inlineStr">
        <is>
          <t>米</t>
        </is>
      </c>
      <c r="N2349" s="72" t="n">
        <v>75.09</v>
      </c>
      <c r="O2349" s="72">
        <f>ROUND(N2349*(1+$F$10),2)</f>
        <v/>
      </c>
      <c r="P2349" s="73">
        <f>ROUND(K2349*N2349,2)</f>
        <v/>
      </c>
      <c r="Q2349" s="74">
        <f>ROUND(L2349*N2349,2)</f>
        <v/>
      </c>
      <c r="R2349" s="75" t="n"/>
      <c r="S2349" s="76" t="n"/>
      <c r="T2349" s="77">
        <f>K2349-L2349</f>
        <v/>
      </c>
      <c r="U2349" s="77">
        <f>P2349-Q2349</f>
        <v/>
      </c>
      <c r="V2349" s="77">
        <f>ABS(U2349)</f>
        <v/>
      </c>
      <c r="W2349" s="78">
        <f>T2349/L2349</f>
        <v/>
      </c>
      <c r="X2349" s="79">
        <f>ABS(W2349)</f>
        <v/>
      </c>
    </row>
    <row r="2350" ht="11.4" customHeight="1">
      <c r="A2350" s="67" t="inlineStr">
        <is>
          <t>大甜73</t>
        </is>
      </c>
      <c r="B2350" s="67" t="inlineStr">
        <is>
          <t>1071</t>
        </is>
      </c>
      <c r="C2350" s="67" t="inlineStr">
        <is>
          <t>1614</t>
        </is>
      </c>
      <c r="D2350" s="68" t="inlineStr">
        <is>
          <t>03</t>
        </is>
      </c>
      <c r="E2350" s="68" t="inlineStr">
        <is>
          <t>6 物业施工费</t>
        </is>
      </c>
      <c r="F2350" s="68" t="inlineStr">
        <is>
          <t>6.1 总承包工程</t>
        </is>
      </c>
      <c r="G2350" s="68" t="inlineStr">
        <is>
          <t>6.1.4 空调通风工程</t>
        </is>
      </c>
      <c r="H2350" s="68" t="inlineStr">
        <is>
          <t>空调冷媒管(含保温、吊杆）</t>
        </is>
      </c>
      <c r="I2350" s="69" t="inlineStr">
        <is>
          <t>1000022021</t>
        </is>
      </c>
      <c r="J2350" s="69" t="inlineStr">
        <is>
          <t>水冷空调镀锌管含保温DN20</t>
        </is>
      </c>
      <c r="K2350" s="70" t="n"/>
      <c r="L2350" s="70" t="n"/>
      <c r="M2350" s="71" t="inlineStr">
        <is>
          <t>米</t>
        </is>
      </c>
      <c r="N2350" s="72" t="n">
        <v>64.90000000000001</v>
      </c>
      <c r="O2350" s="72">
        <f>ROUND(N2350*(1+$F$10),2)</f>
        <v/>
      </c>
      <c r="P2350" s="73">
        <f>ROUND(K2350*N2350,2)</f>
        <v/>
      </c>
      <c r="Q2350" s="74">
        <f>ROUND(L2350*N2350,2)</f>
        <v/>
      </c>
      <c r="R2350" s="75" t="n"/>
      <c r="S2350" s="76" t="n"/>
      <c r="T2350" s="77">
        <f>K2350-L2350</f>
        <v/>
      </c>
      <c r="U2350" s="77">
        <f>P2350-Q2350</f>
        <v/>
      </c>
      <c r="V2350" s="77">
        <f>ABS(U2350)</f>
        <v/>
      </c>
      <c r="W2350" s="78">
        <f>T2350/L2350</f>
        <v/>
      </c>
      <c r="X2350" s="79">
        <f>ABS(W2350)</f>
        <v/>
      </c>
    </row>
    <row r="2351" ht="11.4" customHeight="1">
      <c r="A2351" s="67" t="inlineStr">
        <is>
          <t>大甜73</t>
        </is>
      </c>
      <c r="B2351" s="67" t="inlineStr">
        <is>
          <t>1071</t>
        </is>
      </c>
      <c r="C2351" s="67" t="inlineStr">
        <is>
          <t>1614</t>
        </is>
      </c>
      <c r="D2351" s="68" t="inlineStr">
        <is>
          <t>03</t>
        </is>
      </c>
      <c r="E2351" s="68" t="inlineStr">
        <is>
          <t>6 物业施工费</t>
        </is>
      </c>
      <c r="F2351" s="68" t="inlineStr">
        <is>
          <t>6.1 总承包工程</t>
        </is>
      </c>
      <c r="G2351" s="68" t="inlineStr">
        <is>
          <t>6.1.4 空调通风工程</t>
        </is>
      </c>
      <c r="H2351" s="68" t="inlineStr">
        <is>
          <t>风口</t>
        </is>
      </c>
      <c r="I2351" s="69" t="inlineStr">
        <is>
          <t>1000022022</t>
        </is>
      </c>
      <c r="J2351" s="69" t="inlineStr">
        <is>
          <t>600x600散流器</t>
        </is>
      </c>
      <c r="K2351" s="70" t="n"/>
      <c r="L2351" s="70" t="n"/>
      <c r="M2351" s="71" t="inlineStr">
        <is>
          <t>只</t>
        </is>
      </c>
      <c r="N2351" s="72" t="n">
        <v>418.43</v>
      </c>
      <c r="O2351" s="72">
        <f>ROUND(N2351*(1+$F$10),2)</f>
        <v/>
      </c>
      <c r="P2351" s="73">
        <f>ROUND(K2351*N2351,2)</f>
        <v/>
      </c>
      <c r="Q2351" s="74">
        <f>ROUND(L2351*N2351,2)</f>
        <v/>
      </c>
      <c r="R2351" s="75" t="n"/>
      <c r="S2351" s="76" t="n"/>
      <c r="T2351" s="77">
        <f>K2351-L2351</f>
        <v/>
      </c>
      <c r="U2351" s="77">
        <f>P2351-Q2351</f>
        <v/>
      </c>
      <c r="V2351" s="77">
        <f>ABS(U2351)</f>
        <v/>
      </c>
      <c r="W2351" s="78">
        <f>T2351/L2351</f>
        <v/>
      </c>
      <c r="X2351" s="79">
        <f>ABS(W2351)</f>
        <v/>
      </c>
    </row>
    <row r="2352" ht="11.4" customHeight="1">
      <c r="A2352" s="67" t="inlineStr">
        <is>
          <t>大甜73</t>
        </is>
      </c>
      <c r="B2352" s="67" t="inlineStr">
        <is>
          <t>1071</t>
        </is>
      </c>
      <c r="C2352" s="67" t="inlineStr">
        <is>
          <t>1614</t>
        </is>
      </c>
      <c r="D2352" s="68" t="inlineStr">
        <is>
          <t>03</t>
        </is>
      </c>
      <c r="E2352" s="68" t="inlineStr">
        <is>
          <t>6 物业施工费</t>
        </is>
      </c>
      <c r="F2352" s="68" t="inlineStr">
        <is>
          <t>6.1 总承包工程</t>
        </is>
      </c>
      <c r="G2352" s="68" t="inlineStr">
        <is>
          <t>6.1.4 空调通风工程</t>
        </is>
      </c>
      <c r="H2352" s="68" t="inlineStr">
        <is>
          <t>风口</t>
        </is>
      </c>
      <c r="I2352" s="69" t="inlineStr">
        <is>
          <t>1000022023</t>
        </is>
      </c>
      <c r="J2352" s="69" t="inlineStr">
        <is>
          <t>400x400散流器</t>
        </is>
      </c>
      <c r="K2352" s="70" t="n"/>
      <c r="L2352" s="70" t="n"/>
      <c r="M2352" s="71" t="inlineStr">
        <is>
          <t>只</t>
        </is>
      </c>
      <c r="N2352" s="72" t="n">
        <v>360.13</v>
      </c>
      <c r="O2352" s="72">
        <f>ROUND(N2352*(1+$F$10),2)</f>
        <v/>
      </c>
      <c r="P2352" s="73">
        <f>ROUND(K2352*N2352,2)</f>
        <v/>
      </c>
      <c r="Q2352" s="74">
        <f>ROUND(L2352*N2352,2)</f>
        <v/>
      </c>
      <c r="R2352" s="75" t="n"/>
      <c r="S2352" s="76" t="n"/>
      <c r="T2352" s="77">
        <f>K2352-L2352</f>
        <v/>
      </c>
      <c r="U2352" s="77">
        <f>P2352-Q2352</f>
        <v/>
      </c>
      <c r="V2352" s="77">
        <f>ABS(U2352)</f>
        <v/>
      </c>
      <c r="W2352" s="78">
        <f>T2352/L2352</f>
        <v/>
      </c>
      <c r="X2352" s="79">
        <f>ABS(W2352)</f>
        <v/>
      </c>
    </row>
    <row r="2353" ht="11.4" customHeight="1">
      <c r="A2353" s="67" t="inlineStr">
        <is>
          <t>大甜73</t>
        </is>
      </c>
      <c r="B2353" s="67" t="inlineStr">
        <is>
          <t>1071</t>
        </is>
      </c>
      <c r="C2353" s="67" t="inlineStr">
        <is>
          <t>1614</t>
        </is>
      </c>
      <c r="D2353" s="68" t="inlineStr">
        <is>
          <t>03</t>
        </is>
      </c>
      <c r="E2353" s="68" t="inlineStr">
        <is>
          <t>6 物业施工费</t>
        </is>
      </c>
      <c r="F2353" s="68" t="inlineStr">
        <is>
          <t>6.1 总承包工程</t>
        </is>
      </c>
      <c r="G2353" s="68" t="inlineStr">
        <is>
          <t>6.1.4 空调通风工程</t>
        </is>
      </c>
      <c r="H2353" s="68" t="inlineStr">
        <is>
          <t>风口</t>
        </is>
      </c>
      <c r="I2353" s="69" t="inlineStr">
        <is>
          <t>1000022024</t>
        </is>
      </c>
      <c r="J2353" s="69" t="inlineStr">
        <is>
          <t>300x300散流器</t>
        </is>
      </c>
      <c r="K2353" s="70" t="n"/>
      <c r="L2353" s="70" t="n"/>
      <c r="M2353" s="71" t="inlineStr">
        <is>
          <t>只</t>
        </is>
      </c>
      <c r="N2353" s="72" t="n">
        <v>297.43</v>
      </c>
      <c r="O2353" s="72">
        <f>ROUND(N2353*(1+$F$10),2)</f>
        <v/>
      </c>
      <c r="P2353" s="73">
        <f>ROUND(K2353*N2353,2)</f>
        <v/>
      </c>
      <c r="Q2353" s="74">
        <f>ROUND(L2353*N2353,2)</f>
        <v/>
      </c>
      <c r="R2353" s="75" t="n"/>
      <c r="S2353" s="76" t="n"/>
      <c r="T2353" s="77">
        <f>K2353-L2353</f>
        <v/>
      </c>
      <c r="U2353" s="77">
        <f>P2353-Q2353</f>
        <v/>
      </c>
      <c r="V2353" s="77">
        <f>ABS(U2353)</f>
        <v/>
      </c>
      <c r="W2353" s="78">
        <f>T2353/L2353</f>
        <v/>
      </c>
      <c r="X2353" s="79">
        <f>ABS(W2353)</f>
        <v/>
      </c>
    </row>
    <row r="2354" ht="11.4" customHeight="1">
      <c r="A2354" s="67" t="inlineStr">
        <is>
          <t>大甜73</t>
        </is>
      </c>
      <c r="B2354" s="67" t="inlineStr">
        <is>
          <t>1071</t>
        </is>
      </c>
      <c r="C2354" s="67" t="inlineStr">
        <is>
          <t>1614</t>
        </is>
      </c>
      <c r="D2354" s="68" t="inlineStr">
        <is>
          <t>03</t>
        </is>
      </c>
      <c r="E2354" s="68" t="inlineStr">
        <is>
          <t>6 物业施工费</t>
        </is>
      </c>
      <c r="F2354" s="68" t="inlineStr">
        <is>
          <t>6.1 总承包工程</t>
        </is>
      </c>
      <c r="G2354" s="68" t="inlineStr">
        <is>
          <t>6.1.4 空调通风工程</t>
        </is>
      </c>
      <c r="H2354" s="68" t="inlineStr">
        <is>
          <t>风口</t>
        </is>
      </c>
      <c r="I2354" s="69" t="inlineStr">
        <is>
          <t>1000022025</t>
        </is>
      </c>
      <c r="J2354" s="69" t="inlineStr">
        <is>
          <t>Φ600圆形散流器</t>
        </is>
      </c>
      <c r="K2354" s="70" t="n"/>
      <c r="L2354" s="70" t="n"/>
      <c r="M2354" s="71" t="inlineStr">
        <is>
          <t>只</t>
        </is>
      </c>
      <c r="N2354" s="72" t="n">
        <v>412.93</v>
      </c>
      <c r="O2354" s="72">
        <f>ROUND(N2354*(1+$F$10),2)</f>
        <v/>
      </c>
      <c r="P2354" s="73">
        <f>ROUND(K2354*N2354,2)</f>
        <v/>
      </c>
      <c r="Q2354" s="74">
        <f>ROUND(L2354*N2354,2)</f>
        <v/>
      </c>
      <c r="R2354" s="75" t="n"/>
      <c r="S2354" s="76" t="n"/>
      <c r="T2354" s="77">
        <f>K2354-L2354</f>
        <v/>
      </c>
      <c r="U2354" s="77">
        <f>P2354-Q2354</f>
        <v/>
      </c>
      <c r="V2354" s="77">
        <f>ABS(U2354)</f>
        <v/>
      </c>
      <c r="W2354" s="78">
        <f>T2354/L2354</f>
        <v/>
      </c>
      <c r="X2354" s="79">
        <f>ABS(W2354)</f>
        <v/>
      </c>
    </row>
    <row r="2355" ht="11.4" customHeight="1">
      <c r="A2355" s="67" t="inlineStr">
        <is>
          <t>大甜73</t>
        </is>
      </c>
      <c r="B2355" s="67" t="inlineStr">
        <is>
          <t>1071</t>
        </is>
      </c>
      <c r="C2355" s="67" t="inlineStr">
        <is>
          <t>1614</t>
        </is>
      </c>
      <c r="D2355" s="68" t="inlineStr">
        <is>
          <t>03</t>
        </is>
      </c>
      <c r="E2355" s="68" t="inlineStr">
        <is>
          <t>6 物业施工费</t>
        </is>
      </c>
      <c r="F2355" s="68" t="inlineStr">
        <is>
          <t>6.1 总承包工程</t>
        </is>
      </c>
      <c r="G2355" s="68" t="inlineStr">
        <is>
          <t>6.1.4 空调通风工程</t>
        </is>
      </c>
      <c r="H2355" s="68" t="inlineStr">
        <is>
          <t>风口</t>
        </is>
      </c>
      <c r="I2355" s="69" t="inlineStr">
        <is>
          <t>1000022026</t>
        </is>
      </c>
      <c r="J2355" s="69" t="inlineStr">
        <is>
          <t>Φ400圆形散流器</t>
        </is>
      </c>
      <c r="K2355" s="70" t="n"/>
      <c r="L2355" s="70" t="n"/>
      <c r="M2355" s="71" t="inlineStr">
        <is>
          <t>只</t>
        </is>
      </c>
      <c r="N2355" s="72" t="n">
        <v>363.43</v>
      </c>
      <c r="O2355" s="72">
        <f>ROUND(N2355*(1+$F$10),2)</f>
        <v/>
      </c>
      <c r="P2355" s="73">
        <f>ROUND(K2355*N2355,2)</f>
        <v/>
      </c>
      <c r="Q2355" s="74">
        <f>ROUND(L2355*N2355,2)</f>
        <v/>
      </c>
      <c r="R2355" s="75" t="n"/>
      <c r="S2355" s="76" t="n"/>
      <c r="T2355" s="77">
        <f>K2355-L2355</f>
        <v/>
      </c>
      <c r="U2355" s="77">
        <f>P2355-Q2355</f>
        <v/>
      </c>
      <c r="V2355" s="77">
        <f>ABS(U2355)</f>
        <v/>
      </c>
      <c r="W2355" s="78">
        <f>T2355/L2355</f>
        <v/>
      </c>
      <c r="X2355" s="79">
        <f>ABS(W2355)</f>
        <v/>
      </c>
    </row>
    <row r="2356" ht="11.4" customHeight="1">
      <c r="A2356" s="67" t="inlineStr">
        <is>
          <t>大甜73</t>
        </is>
      </c>
      <c r="B2356" s="67" t="inlineStr">
        <is>
          <t>1071</t>
        </is>
      </c>
      <c r="C2356" s="67" t="inlineStr">
        <is>
          <t>1614</t>
        </is>
      </c>
      <c r="D2356" s="68" t="inlineStr">
        <is>
          <t>03</t>
        </is>
      </c>
      <c r="E2356" s="68" t="inlineStr">
        <is>
          <t>6 物业施工费</t>
        </is>
      </c>
      <c r="F2356" s="68" t="inlineStr">
        <is>
          <t>6.1 总承包工程</t>
        </is>
      </c>
      <c r="G2356" s="68" t="inlineStr">
        <is>
          <t>6.1.4 空调通风工程</t>
        </is>
      </c>
      <c r="H2356" s="68" t="inlineStr">
        <is>
          <t>风口</t>
        </is>
      </c>
      <c r="I2356" s="69" t="inlineStr">
        <is>
          <t>1000022027</t>
        </is>
      </c>
      <c r="J2356" s="69" t="inlineStr">
        <is>
          <t>Φ300圆形散流器</t>
        </is>
      </c>
      <c r="K2356" s="70" t="n"/>
      <c r="L2356" s="70" t="n"/>
      <c r="M2356" s="71" t="inlineStr">
        <is>
          <t>只</t>
        </is>
      </c>
      <c r="N2356" s="72" t="n">
        <v>348.03</v>
      </c>
      <c r="O2356" s="72">
        <f>ROUND(N2356*(1+$F$10),2)</f>
        <v/>
      </c>
      <c r="P2356" s="73">
        <f>ROUND(K2356*N2356,2)</f>
        <v/>
      </c>
      <c r="Q2356" s="74">
        <f>ROUND(L2356*N2356,2)</f>
        <v/>
      </c>
      <c r="R2356" s="75" t="n"/>
      <c r="S2356" s="76" t="n"/>
      <c r="T2356" s="77">
        <f>K2356-L2356</f>
        <v/>
      </c>
      <c r="U2356" s="77">
        <f>P2356-Q2356</f>
        <v/>
      </c>
      <c r="V2356" s="77">
        <f>ABS(U2356)</f>
        <v/>
      </c>
      <c r="W2356" s="78">
        <f>T2356/L2356</f>
        <v/>
      </c>
      <c r="X2356" s="79">
        <f>ABS(W2356)</f>
        <v/>
      </c>
    </row>
    <row r="2357" ht="11.4" customHeight="1">
      <c r="A2357" s="67" t="inlineStr">
        <is>
          <t>大甜73</t>
        </is>
      </c>
      <c r="B2357" s="67" t="inlineStr">
        <is>
          <t>1071</t>
        </is>
      </c>
      <c r="C2357" s="67" t="inlineStr">
        <is>
          <t>1614</t>
        </is>
      </c>
      <c r="D2357" s="68" t="inlineStr">
        <is>
          <t>03</t>
        </is>
      </c>
      <c r="E2357" s="68" t="inlineStr">
        <is>
          <t>6 物业施工费</t>
        </is>
      </c>
      <c r="F2357" s="68" t="inlineStr">
        <is>
          <t>6.1 总承包工程</t>
        </is>
      </c>
      <c r="G2357" s="68" t="inlineStr">
        <is>
          <t>6.1.4 空调通风工程</t>
        </is>
      </c>
      <c r="H2357" s="68" t="inlineStr">
        <is>
          <t>风口</t>
        </is>
      </c>
      <c r="I2357" s="69" t="inlineStr">
        <is>
          <t>1000022028</t>
        </is>
      </c>
      <c r="J2357" s="69" t="inlineStr">
        <is>
          <t>条形散流器</t>
        </is>
      </c>
      <c r="K2357" s="70" t="n"/>
      <c r="L2357" s="70" t="n"/>
      <c r="M2357" s="71" t="inlineStr">
        <is>
          <t>米</t>
        </is>
      </c>
      <c r="N2357" s="72" t="n">
        <v>212.29</v>
      </c>
      <c r="O2357" s="72">
        <f>ROUND(N2357*(1+$F$10),2)</f>
        <v/>
      </c>
      <c r="P2357" s="73">
        <f>ROUND(K2357*N2357,2)</f>
        <v/>
      </c>
      <c r="Q2357" s="74">
        <f>ROUND(L2357*N2357,2)</f>
        <v/>
      </c>
      <c r="R2357" s="75" t="n"/>
      <c r="S2357" s="76" t="n"/>
      <c r="T2357" s="77">
        <f>K2357-L2357</f>
        <v/>
      </c>
      <c r="U2357" s="77">
        <f>P2357-Q2357</f>
        <v/>
      </c>
      <c r="V2357" s="77">
        <f>ABS(U2357)</f>
        <v/>
      </c>
      <c r="W2357" s="78">
        <f>T2357/L2357</f>
        <v/>
      </c>
      <c r="X2357" s="79">
        <f>ABS(W2357)</f>
        <v/>
      </c>
    </row>
    <row r="2358" ht="11.4" customHeight="1">
      <c r="A2358" s="67" t="inlineStr">
        <is>
          <t>大甜73</t>
        </is>
      </c>
      <c r="B2358" s="67" t="inlineStr">
        <is>
          <t>1071</t>
        </is>
      </c>
      <c r="C2358" s="67" t="inlineStr">
        <is>
          <t>1614</t>
        </is>
      </c>
      <c r="D2358" s="68" t="inlineStr">
        <is>
          <t>03</t>
        </is>
      </c>
      <c r="E2358" s="68" t="inlineStr">
        <is>
          <t>6 物业施工费</t>
        </is>
      </c>
      <c r="F2358" s="68" t="inlineStr">
        <is>
          <t>6.1 总承包工程</t>
        </is>
      </c>
      <c r="G2358" s="68" t="inlineStr">
        <is>
          <t>6.1.4 空调通风工程</t>
        </is>
      </c>
      <c r="H2358" s="68" t="inlineStr">
        <is>
          <t>风口</t>
        </is>
      </c>
      <c r="I2358" s="69" t="inlineStr">
        <is>
          <t>1000022029</t>
        </is>
      </c>
      <c r="J2358" s="69" t="inlineStr">
        <is>
          <t>600x600孔板厨房送风口</t>
        </is>
      </c>
      <c r="K2358" s="70" t="n"/>
      <c r="L2358" s="70" t="n"/>
      <c r="M2358" s="71" t="inlineStr">
        <is>
          <t>只</t>
        </is>
      </c>
      <c r="N2358" s="72" t="n">
        <v>488.83</v>
      </c>
      <c r="O2358" s="72">
        <f>ROUND(N2358*(1+$F$10),2)</f>
        <v/>
      </c>
      <c r="P2358" s="73">
        <f>ROUND(K2358*N2358,2)</f>
        <v/>
      </c>
      <c r="Q2358" s="74">
        <f>ROUND(L2358*N2358,2)</f>
        <v/>
      </c>
      <c r="R2358" s="75" t="n"/>
      <c r="S2358" s="76" t="n"/>
      <c r="T2358" s="77">
        <f>K2358-L2358</f>
        <v/>
      </c>
      <c r="U2358" s="77">
        <f>P2358-Q2358</f>
        <v/>
      </c>
      <c r="V2358" s="77">
        <f>ABS(U2358)</f>
        <v/>
      </c>
      <c r="W2358" s="78">
        <f>T2358/L2358</f>
        <v/>
      </c>
      <c r="X2358" s="79">
        <f>ABS(W2358)</f>
        <v/>
      </c>
    </row>
    <row r="2359" ht="11.4" customHeight="1">
      <c r="A2359" s="67" t="inlineStr">
        <is>
          <t>大甜73</t>
        </is>
      </c>
      <c r="B2359" s="67" t="inlineStr">
        <is>
          <t>1071</t>
        </is>
      </c>
      <c r="C2359" s="67" t="inlineStr">
        <is>
          <t>1614</t>
        </is>
      </c>
      <c r="D2359" s="68" t="inlineStr">
        <is>
          <t>03</t>
        </is>
      </c>
      <c r="E2359" s="68" t="inlineStr">
        <is>
          <t>6 物业施工费</t>
        </is>
      </c>
      <c r="F2359" s="68" t="inlineStr">
        <is>
          <t>6.1 总承包工程</t>
        </is>
      </c>
      <c r="G2359" s="68" t="inlineStr">
        <is>
          <t>6.1.4 空调通风工程</t>
        </is>
      </c>
      <c r="H2359" s="68" t="inlineStr">
        <is>
          <t>风口</t>
        </is>
      </c>
      <c r="I2359" s="69" t="inlineStr">
        <is>
          <t>1000022030</t>
        </is>
      </c>
      <c r="J2359" s="69" t="inlineStr">
        <is>
          <t>其它送风口(截面 ≤ 0.13m2)</t>
        </is>
      </c>
      <c r="K2359" s="70" t="n"/>
      <c r="L2359" s="70" t="n"/>
      <c r="M2359" s="71" t="inlineStr">
        <is>
          <t>只</t>
        </is>
      </c>
      <c r="N2359" s="72" t="n">
        <v>277.63</v>
      </c>
      <c r="O2359" s="72">
        <f>ROUND(N2359*(1+$F$10),2)</f>
        <v/>
      </c>
      <c r="P2359" s="73">
        <f>ROUND(K2359*N2359,2)</f>
        <v/>
      </c>
      <c r="Q2359" s="74">
        <f>ROUND(L2359*N2359,2)</f>
        <v/>
      </c>
      <c r="R2359" s="75" t="n"/>
      <c r="S2359" s="76" t="n"/>
      <c r="T2359" s="77">
        <f>K2359-L2359</f>
        <v/>
      </c>
      <c r="U2359" s="77">
        <f>P2359-Q2359</f>
        <v/>
      </c>
      <c r="V2359" s="77">
        <f>ABS(U2359)</f>
        <v/>
      </c>
      <c r="W2359" s="78">
        <f>T2359/L2359</f>
        <v/>
      </c>
      <c r="X2359" s="79">
        <f>ABS(W2359)</f>
        <v/>
      </c>
    </row>
    <row r="2360" ht="11.4" customHeight="1">
      <c r="A2360" s="67" t="inlineStr">
        <is>
          <t>大甜73</t>
        </is>
      </c>
      <c r="B2360" s="67" t="inlineStr">
        <is>
          <t>1071</t>
        </is>
      </c>
      <c r="C2360" s="67" t="inlineStr">
        <is>
          <t>1614</t>
        </is>
      </c>
      <c r="D2360" s="68" t="inlineStr">
        <is>
          <t>03</t>
        </is>
      </c>
      <c r="E2360" s="68" t="inlineStr">
        <is>
          <t>6 物业施工费</t>
        </is>
      </c>
      <c r="F2360" s="68" t="inlineStr">
        <is>
          <t>6.1 总承包工程</t>
        </is>
      </c>
      <c r="G2360" s="68" t="inlineStr">
        <is>
          <t>6.1.4 空调通风工程</t>
        </is>
      </c>
      <c r="H2360" s="68" t="inlineStr">
        <is>
          <t>风口</t>
        </is>
      </c>
      <c r="I2360" s="69" t="inlineStr">
        <is>
          <t>1000022031</t>
        </is>
      </c>
      <c r="J2360" s="69" t="inlineStr">
        <is>
          <t>595x595带滤网回风百叶</t>
        </is>
      </c>
      <c r="K2360" s="70" t="n"/>
      <c r="L2360" s="70" t="n"/>
      <c r="M2360" s="71" t="inlineStr">
        <is>
          <t>只</t>
        </is>
      </c>
      <c r="N2360" s="72" t="n">
        <v>430.53</v>
      </c>
      <c r="O2360" s="72">
        <f>ROUND(N2360*(1+$F$10),2)</f>
        <v/>
      </c>
      <c r="P2360" s="73">
        <f>ROUND(K2360*N2360,2)</f>
        <v/>
      </c>
      <c r="Q2360" s="74">
        <f>ROUND(L2360*N2360,2)</f>
        <v/>
      </c>
      <c r="R2360" s="75" t="n"/>
      <c r="S2360" s="76" t="n"/>
      <c r="T2360" s="77">
        <f>K2360-L2360</f>
        <v/>
      </c>
      <c r="U2360" s="77">
        <f>P2360-Q2360</f>
        <v/>
      </c>
      <c r="V2360" s="77">
        <f>ABS(U2360)</f>
        <v/>
      </c>
      <c r="W2360" s="78">
        <f>T2360/L2360</f>
        <v/>
      </c>
      <c r="X2360" s="79">
        <f>ABS(W2360)</f>
        <v/>
      </c>
    </row>
    <row r="2361" ht="11.4" customHeight="1">
      <c r="A2361" s="67" t="inlineStr">
        <is>
          <t>大甜73</t>
        </is>
      </c>
      <c r="B2361" s="67" t="inlineStr">
        <is>
          <t>1071</t>
        </is>
      </c>
      <c r="C2361" s="67" t="inlineStr">
        <is>
          <t>1614</t>
        </is>
      </c>
      <c r="D2361" s="68" t="inlineStr">
        <is>
          <t>03</t>
        </is>
      </c>
      <c r="E2361" s="68" t="inlineStr">
        <is>
          <t>6 物业施工费</t>
        </is>
      </c>
      <c r="F2361" s="68" t="inlineStr">
        <is>
          <t>6.1 总承包工程</t>
        </is>
      </c>
      <c r="G2361" s="68" t="inlineStr">
        <is>
          <t>6.1.4 空调通风工程</t>
        </is>
      </c>
      <c r="H2361" s="68" t="inlineStr">
        <is>
          <t>风口</t>
        </is>
      </c>
      <c r="I2361" s="69" t="inlineStr">
        <is>
          <t>1000022032</t>
        </is>
      </c>
      <c r="J2361" s="69" t="inlineStr">
        <is>
          <t>1200x600带滤网门绞回风百叶</t>
        </is>
      </c>
      <c r="K2361" s="70" t="n"/>
      <c r="L2361" s="70" t="n"/>
      <c r="M2361" s="71" t="inlineStr">
        <is>
          <t>只</t>
        </is>
      </c>
      <c r="N2361" s="72" t="n">
        <v>720.0599999999999</v>
      </c>
      <c r="O2361" s="72">
        <f>ROUND(N2361*(1+$F$10),2)</f>
        <v/>
      </c>
      <c r="P2361" s="73">
        <f>ROUND(K2361*N2361,2)</f>
        <v/>
      </c>
      <c r="Q2361" s="74">
        <f>ROUND(L2361*N2361,2)</f>
        <v/>
      </c>
      <c r="R2361" s="75" t="n"/>
      <c r="S2361" s="76" t="n"/>
      <c r="T2361" s="77">
        <f>K2361-L2361</f>
        <v/>
      </c>
      <c r="U2361" s="77">
        <f>P2361-Q2361</f>
        <v/>
      </c>
      <c r="V2361" s="77">
        <f>ABS(U2361)</f>
        <v/>
      </c>
      <c r="W2361" s="78">
        <f>T2361/L2361</f>
        <v/>
      </c>
      <c r="X2361" s="79">
        <f>ABS(W2361)</f>
        <v/>
      </c>
    </row>
    <row r="2362" ht="11.4" customHeight="1">
      <c r="A2362" s="67" t="inlineStr">
        <is>
          <t>大甜73</t>
        </is>
      </c>
      <c r="B2362" s="67" t="inlineStr">
        <is>
          <t>1071</t>
        </is>
      </c>
      <c r="C2362" s="67" t="inlineStr">
        <is>
          <t>1614</t>
        </is>
      </c>
      <c r="D2362" s="68" t="inlineStr">
        <is>
          <t>03</t>
        </is>
      </c>
      <c r="E2362" s="68" t="inlineStr">
        <is>
          <t>6 物业施工费</t>
        </is>
      </c>
      <c r="F2362" s="68" t="inlineStr">
        <is>
          <t>6.1 总承包工程</t>
        </is>
      </c>
      <c r="G2362" s="68" t="inlineStr">
        <is>
          <t>6.1.4 空调通风工程</t>
        </is>
      </c>
      <c r="H2362" s="68" t="inlineStr">
        <is>
          <t>风口</t>
        </is>
      </c>
      <c r="I2362" s="69" t="inlineStr">
        <is>
          <t>1000022033</t>
        </is>
      </c>
      <c r="J2362" s="69" t="inlineStr">
        <is>
          <t>防雨排风百叶(截面 ≤  0.25m2)</t>
        </is>
      </c>
      <c r="K2362" s="70" t="n"/>
      <c r="L2362" s="70" t="n"/>
      <c r="M2362" s="71" t="inlineStr">
        <is>
          <t>只</t>
        </is>
      </c>
      <c r="N2362" s="72" t="n">
        <v>358.38</v>
      </c>
      <c r="O2362" s="72">
        <f>ROUND(N2362*(1+$F$10),2)</f>
        <v/>
      </c>
      <c r="P2362" s="73">
        <f>ROUND(K2362*N2362,2)</f>
        <v/>
      </c>
      <c r="Q2362" s="74">
        <f>ROUND(L2362*N2362,2)</f>
        <v/>
      </c>
      <c r="R2362" s="75" t="n"/>
      <c r="S2362" s="76" t="n"/>
      <c r="T2362" s="77">
        <f>K2362-L2362</f>
        <v/>
      </c>
      <c r="U2362" s="77">
        <f>P2362-Q2362</f>
        <v/>
      </c>
      <c r="V2362" s="77">
        <f>ABS(U2362)</f>
        <v/>
      </c>
      <c r="W2362" s="78">
        <f>T2362/L2362</f>
        <v/>
      </c>
      <c r="X2362" s="79">
        <f>ABS(W2362)</f>
        <v/>
      </c>
    </row>
    <row r="2363" ht="11.4" customHeight="1">
      <c r="A2363" s="67" t="inlineStr">
        <is>
          <t>大甜73</t>
        </is>
      </c>
      <c r="B2363" s="67" t="inlineStr">
        <is>
          <t>1071</t>
        </is>
      </c>
      <c r="C2363" s="67" t="inlineStr">
        <is>
          <t>1614</t>
        </is>
      </c>
      <c r="D2363" s="68" t="inlineStr">
        <is>
          <t>03</t>
        </is>
      </c>
      <c r="E2363" s="68" t="inlineStr">
        <is>
          <t>6 物业施工费</t>
        </is>
      </c>
      <c r="F2363" s="68" t="inlineStr">
        <is>
          <t>6.1 总承包工程</t>
        </is>
      </c>
      <c r="G2363" s="68" t="inlineStr">
        <is>
          <t>6.1.4 空调通风工程</t>
        </is>
      </c>
      <c r="H2363" s="68" t="inlineStr">
        <is>
          <t>风口</t>
        </is>
      </c>
      <c r="I2363" s="69" t="inlineStr">
        <is>
          <t>1000022034</t>
        </is>
      </c>
      <c r="J2363" s="69" t="inlineStr">
        <is>
          <t>防雨排风百叶( 0.25m2 &lt;截面 ≤  0.5m2)</t>
        </is>
      </c>
      <c r="K2363" s="70" t="n"/>
      <c r="L2363" s="70" t="n"/>
      <c r="M2363" s="71" t="inlineStr">
        <is>
          <t>只</t>
        </is>
      </c>
      <c r="N2363" s="72" t="n">
        <v>597.73</v>
      </c>
      <c r="O2363" s="72">
        <f>ROUND(N2363*(1+$F$10),2)</f>
        <v/>
      </c>
      <c r="P2363" s="73">
        <f>ROUND(K2363*N2363,2)</f>
        <v/>
      </c>
      <c r="Q2363" s="74">
        <f>ROUND(L2363*N2363,2)</f>
        <v/>
      </c>
      <c r="R2363" s="75" t="n"/>
      <c r="S2363" s="76" t="n"/>
      <c r="T2363" s="77">
        <f>K2363-L2363</f>
        <v/>
      </c>
      <c r="U2363" s="77">
        <f>P2363-Q2363</f>
        <v/>
      </c>
      <c r="V2363" s="77">
        <f>ABS(U2363)</f>
        <v/>
      </c>
      <c r="W2363" s="78">
        <f>T2363/L2363</f>
        <v/>
      </c>
      <c r="X2363" s="79">
        <f>ABS(W2363)</f>
        <v/>
      </c>
    </row>
    <row r="2364" ht="11.4" customHeight="1">
      <c r="A2364" s="67" t="inlineStr">
        <is>
          <t>大甜73</t>
        </is>
      </c>
      <c r="B2364" s="67" t="inlineStr">
        <is>
          <t>1071</t>
        </is>
      </c>
      <c r="C2364" s="67" t="inlineStr">
        <is>
          <t>1614</t>
        </is>
      </c>
      <c r="D2364" s="68" t="inlineStr">
        <is>
          <t>03</t>
        </is>
      </c>
      <c r="E2364" s="68" t="inlineStr">
        <is>
          <t>6 物业施工费</t>
        </is>
      </c>
      <c r="F2364" s="68" t="inlineStr">
        <is>
          <t>6.1 总承包工程</t>
        </is>
      </c>
      <c r="G2364" s="68" t="inlineStr">
        <is>
          <t>6.1.4 空调通风工程</t>
        </is>
      </c>
      <c r="H2364" s="68" t="inlineStr">
        <is>
          <t>风口</t>
        </is>
      </c>
      <c r="I2364" s="69" t="inlineStr">
        <is>
          <t>1000022035</t>
        </is>
      </c>
      <c r="J2364" s="69" t="inlineStr">
        <is>
          <t>防雨新风百叶(截面 ≤  0.25m2)</t>
        </is>
      </c>
      <c r="K2364" s="70" t="n"/>
      <c r="L2364" s="70" t="n"/>
      <c r="M2364" s="71" t="inlineStr">
        <is>
          <t>只</t>
        </is>
      </c>
      <c r="N2364" s="72" t="n">
        <v>368.83</v>
      </c>
      <c r="O2364" s="72">
        <f>ROUND(N2364*(1+$F$10),2)</f>
        <v/>
      </c>
      <c r="P2364" s="73">
        <f>ROUND(K2364*N2364,2)</f>
        <v/>
      </c>
      <c r="Q2364" s="74">
        <f>ROUND(L2364*N2364,2)</f>
        <v/>
      </c>
      <c r="R2364" s="75" t="n"/>
      <c r="S2364" s="76" t="n"/>
      <c r="T2364" s="77">
        <f>K2364-L2364</f>
        <v/>
      </c>
      <c r="U2364" s="77">
        <f>P2364-Q2364</f>
        <v/>
      </c>
      <c r="V2364" s="77">
        <f>ABS(U2364)</f>
        <v/>
      </c>
      <c r="W2364" s="78">
        <f>T2364/L2364</f>
        <v/>
      </c>
      <c r="X2364" s="79">
        <f>ABS(W2364)</f>
        <v/>
      </c>
    </row>
    <row r="2365" ht="11.4" customHeight="1">
      <c r="A2365" s="67" t="inlineStr">
        <is>
          <t>大甜73</t>
        </is>
      </c>
      <c r="B2365" s="67" t="inlineStr">
        <is>
          <t>1071</t>
        </is>
      </c>
      <c r="C2365" s="67" t="inlineStr">
        <is>
          <t>1614</t>
        </is>
      </c>
      <c r="D2365" s="68" t="inlineStr">
        <is>
          <t>03</t>
        </is>
      </c>
      <c r="E2365" s="68" t="inlineStr">
        <is>
          <t>6 物业施工费</t>
        </is>
      </c>
      <c r="F2365" s="68" t="inlineStr">
        <is>
          <t>6.1 总承包工程</t>
        </is>
      </c>
      <c r="G2365" s="68" t="inlineStr">
        <is>
          <t>6.1.4 空调通风工程</t>
        </is>
      </c>
      <c r="H2365" s="68" t="inlineStr">
        <is>
          <t>风口</t>
        </is>
      </c>
      <c r="I2365" s="69" t="inlineStr">
        <is>
          <t>1000022036</t>
        </is>
      </c>
      <c r="J2365" s="69" t="inlineStr">
        <is>
          <t>防雨新风百叶( 0.25m2 &lt;截面 ≤  0.5m2)</t>
        </is>
      </c>
      <c r="K2365" s="70" t="n"/>
      <c r="L2365" s="70" t="n"/>
      <c r="M2365" s="71" t="inlineStr">
        <is>
          <t>只</t>
        </is>
      </c>
      <c r="N2365" s="72" t="n">
        <v>623.03</v>
      </c>
      <c r="O2365" s="72">
        <f>ROUND(N2365*(1+$F$10),2)</f>
        <v/>
      </c>
      <c r="P2365" s="73">
        <f>ROUND(K2365*N2365,2)</f>
        <v/>
      </c>
      <c r="Q2365" s="74">
        <f>ROUND(L2365*N2365,2)</f>
        <v/>
      </c>
      <c r="R2365" s="75" t="n"/>
      <c r="S2365" s="76" t="n"/>
      <c r="T2365" s="77">
        <f>K2365-L2365</f>
        <v/>
      </c>
      <c r="U2365" s="77">
        <f>P2365-Q2365</f>
        <v/>
      </c>
      <c r="V2365" s="77">
        <f>ABS(U2365)</f>
        <v/>
      </c>
      <c r="W2365" s="78">
        <f>T2365/L2365</f>
        <v/>
      </c>
      <c r="X2365" s="79">
        <f>ABS(W2365)</f>
        <v/>
      </c>
    </row>
    <row r="2366" ht="11.4" customHeight="1">
      <c r="A2366" s="67" t="inlineStr">
        <is>
          <t>大甜73</t>
        </is>
      </c>
      <c r="B2366" s="67" t="inlineStr">
        <is>
          <t>1071</t>
        </is>
      </c>
      <c r="C2366" s="67" t="inlineStr">
        <is>
          <t>1614</t>
        </is>
      </c>
      <c r="D2366" s="68" t="inlineStr">
        <is>
          <t>03</t>
        </is>
      </c>
      <c r="E2366" s="68" t="inlineStr">
        <is>
          <t>6 物业施工费</t>
        </is>
      </c>
      <c r="F2366" s="68" t="inlineStr">
        <is>
          <t>6.1 总承包工程</t>
        </is>
      </c>
      <c r="G2366" s="68" t="inlineStr">
        <is>
          <t>6.1.4 空调通风工程</t>
        </is>
      </c>
      <c r="H2366" s="68" t="inlineStr">
        <is>
          <t>风口</t>
        </is>
      </c>
      <c r="I2366" s="69" t="inlineStr">
        <is>
          <t>1000022037</t>
        </is>
      </c>
      <c r="J2366" s="69" t="inlineStr">
        <is>
          <t>防雨新风百叶( 0.5m2 &lt;截面 ≤  0.75m2)</t>
        </is>
      </c>
      <c r="K2366" s="70" t="n"/>
      <c r="L2366" s="70" t="n"/>
      <c r="M2366" s="71" t="inlineStr">
        <is>
          <t>只</t>
        </is>
      </c>
      <c r="N2366" s="72" t="n">
        <v>894.62</v>
      </c>
      <c r="O2366" s="72">
        <f>ROUND(N2366*(1+$F$10),2)</f>
        <v/>
      </c>
      <c r="P2366" s="73">
        <f>ROUND(K2366*N2366,2)</f>
        <v/>
      </c>
      <c r="Q2366" s="74">
        <f>ROUND(L2366*N2366,2)</f>
        <v/>
      </c>
      <c r="R2366" s="75" t="n"/>
      <c r="S2366" s="76" t="n"/>
      <c r="T2366" s="77">
        <f>K2366-L2366</f>
        <v/>
      </c>
      <c r="U2366" s="77">
        <f>P2366-Q2366</f>
        <v/>
      </c>
      <c r="V2366" s="77">
        <f>ABS(U2366)</f>
        <v/>
      </c>
      <c r="W2366" s="78">
        <f>T2366/L2366</f>
        <v/>
      </c>
      <c r="X2366" s="79">
        <f>ABS(W2366)</f>
        <v/>
      </c>
    </row>
    <row r="2367" ht="11.4" customHeight="1">
      <c r="A2367" s="67" t="inlineStr">
        <is>
          <t>大甜73</t>
        </is>
      </c>
      <c r="B2367" s="67" t="inlineStr">
        <is>
          <t>1071</t>
        </is>
      </c>
      <c r="C2367" s="67" t="inlineStr">
        <is>
          <t>1614</t>
        </is>
      </c>
      <c r="D2367" s="68" t="inlineStr">
        <is>
          <t>03</t>
        </is>
      </c>
      <c r="E2367" s="68" t="inlineStr">
        <is>
          <t>6 物业施工费</t>
        </is>
      </c>
      <c r="F2367" s="68" t="inlineStr">
        <is>
          <t>6.1 总承包工程</t>
        </is>
      </c>
      <c r="G2367" s="68" t="inlineStr">
        <is>
          <t>6.1.4 空调通风工程</t>
        </is>
      </c>
      <c r="H2367" s="68" t="inlineStr">
        <is>
          <t>风口</t>
        </is>
      </c>
      <c r="I2367" s="69" t="inlineStr">
        <is>
          <t>1000022038</t>
        </is>
      </c>
      <c r="J2367" s="69" t="inlineStr">
        <is>
          <t>防雨新风百叶( 0.75m2 &lt;截面 ≤  1.0m2)</t>
        </is>
      </c>
      <c r="K2367" s="70" t="n"/>
      <c r="L2367" s="70" t="n"/>
      <c r="M2367" s="71" t="inlineStr">
        <is>
          <t>只</t>
        </is>
      </c>
      <c r="N2367" s="72" t="n">
        <v>1213.85</v>
      </c>
      <c r="O2367" s="72">
        <f>ROUND(N2367*(1+$F$10),2)</f>
        <v/>
      </c>
      <c r="P2367" s="73">
        <f>ROUND(K2367*N2367,2)</f>
        <v/>
      </c>
      <c r="Q2367" s="74">
        <f>ROUND(L2367*N2367,2)</f>
        <v/>
      </c>
      <c r="R2367" s="75" t="n"/>
      <c r="S2367" s="76" t="n"/>
      <c r="T2367" s="77">
        <f>K2367-L2367</f>
        <v/>
      </c>
      <c r="U2367" s="77">
        <f>P2367-Q2367</f>
        <v/>
      </c>
      <c r="V2367" s="77">
        <f>ABS(U2367)</f>
        <v/>
      </c>
      <c r="W2367" s="78">
        <f>T2367/L2367</f>
        <v/>
      </c>
      <c r="X2367" s="79">
        <f>ABS(W2367)</f>
        <v/>
      </c>
    </row>
    <row r="2368" ht="11.4" customHeight="1">
      <c r="A2368" s="67" t="inlineStr">
        <is>
          <t>大甜73</t>
        </is>
      </c>
      <c r="B2368" s="67" t="inlineStr">
        <is>
          <t>1071</t>
        </is>
      </c>
      <c r="C2368" s="67" t="inlineStr">
        <is>
          <t>1614</t>
        </is>
      </c>
      <c r="D2368" s="68" t="inlineStr">
        <is>
          <t>03</t>
        </is>
      </c>
      <c r="E2368" s="68" t="inlineStr">
        <is>
          <t>6 物业施工费</t>
        </is>
      </c>
      <c r="F2368" s="68" t="inlineStr">
        <is>
          <t>6.1 总承包工程</t>
        </is>
      </c>
      <c r="G2368" s="68" t="inlineStr">
        <is>
          <t>6.1.4 空调通风工程</t>
        </is>
      </c>
      <c r="H2368" s="68" t="inlineStr">
        <is>
          <t>风口</t>
        </is>
      </c>
      <c r="I2368" s="69" t="inlineStr">
        <is>
          <t>1000022039</t>
        </is>
      </c>
      <c r="J2368" s="69" t="inlineStr">
        <is>
          <t>300*300百叶排风</t>
        </is>
      </c>
      <c r="K2368" s="70" t="n"/>
      <c r="L2368" s="70" t="n"/>
      <c r="M2368" s="71" t="inlineStr">
        <is>
          <t>只</t>
        </is>
      </c>
      <c r="N2368" s="72" t="n">
        <v>232.43</v>
      </c>
      <c r="O2368" s="72">
        <f>ROUND(N2368*(1+$F$10),2)</f>
        <v/>
      </c>
      <c r="P2368" s="73">
        <f>ROUND(K2368*N2368,2)</f>
        <v/>
      </c>
      <c r="Q2368" s="74">
        <f>ROUND(L2368*N2368,2)</f>
        <v/>
      </c>
      <c r="R2368" s="75" t="n"/>
      <c r="S2368" s="76" t="n"/>
      <c r="T2368" s="77">
        <f>K2368-L2368</f>
        <v/>
      </c>
      <c r="U2368" s="77">
        <f>P2368-Q2368</f>
        <v/>
      </c>
      <c r="V2368" s="77">
        <f>ABS(U2368)</f>
        <v/>
      </c>
      <c r="W2368" s="78">
        <f>T2368/L2368</f>
        <v/>
      </c>
      <c r="X2368" s="79">
        <f>ABS(W2368)</f>
        <v/>
      </c>
    </row>
    <row r="2369" ht="11.4" customHeight="1">
      <c r="A2369" s="67" t="inlineStr">
        <is>
          <t>大甜73</t>
        </is>
      </c>
      <c r="B2369" s="67" t="inlineStr">
        <is>
          <t>1071</t>
        </is>
      </c>
      <c r="C2369" s="67" t="inlineStr">
        <is>
          <t>1614</t>
        </is>
      </c>
      <c r="D2369" s="68" t="inlineStr">
        <is>
          <t>03</t>
        </is>
      </c>
      <c r="E2369" s="68" t="inlineStr">
        <is>
          <t>6 物业施工费</t>
        </is>
      </c>
      <c r="F2369" s="68" t="inlineStr">
        <is>
          <t>6.1 总承包工程</t>
        </is>
      </c>
      <c r="G2369" s="68" t="inlineStr">
        <is>
          <t>6.1.4 空调通风工程</t>
        </is>
      </c>
      <c r="H2369" s="68" t="inlineStr">
        <is>
          <t>风口</t>
        </is>
      </c>
      <c r="I2369" s="69" t="inlineStr">
        <is>
          <t>1000040114</t>
        </is>
      </c>
      <c r="J2369" s="69" t="inlineStr">
        <is>
          <t>风口翻新</t>
        </is>
      </c>
      <c r="K2369" s="70" t="n"/>
      <c r="L2369" s="70" t="n"/>
      <c r="M2369" s="71" t="inlineStr">
        <is>
          <t>项</t>
        </is>
      </c>
      <c r="N2369" s="72" t="n"/>
      <c r="O2369" s="72">
        <f>ROUND(N2369*(1+$F$10),2)</f>
        <v/>
      </c>
      <c r="P2369" s="73">
        <f>ROUND(K2369*N2369,2)</f>
        <v/>
      </c>
      <c r="Q2369" s="74">
        <f>ROUND(L2369*N2369,2)</f>
        <v/>
      </c>
      <c r="R2369" s="75" t="n"/>
      <c r="S2369" s="76" t="n"/>
      <c r="T2369" s="77">
        <f>K2369-L2369</f>
        <v/>
      </c>
      <c r="U2369" s="77">
        <f>P2369-Q2369</f>
        <v/>
      </c>
      <c r="V2369" s="77">
        <f>ABS(U2369)</f>
        <v/>
      </c>
      <c r="W2369" s="78">
        <f>T2369/L2369</f>
        <v/>
      </c>
      <c r="X2369" s="79">
        <f>ABS(W2369)</f>
        <v/>
      </c>
    </row>
    <row r="2370" ht="11.4" customHeight="1">
      <c r="A2370" s="67" t="inlineStr">
        <is>
          <t>大甜73</t>
        </is>
      </c>
      <c r="B2370" s="67" t="inlineStr">
        <is>
          <t>1071</t>
        </is>
      </c>
      <c r="C2370" s="67" t="inlineStr">
        <is>
          <t>1614</t>
        </is>
      </c>
      <c r="D2370" s="68" t="inlineStr">
        <is>
          <t>03</t>
        </is>
      </c>
      <c r="E2370" s="68" t="inlineStr">
        <is>
          <t>6 物业施工费</t>
        </is>
      </c>
      <c r="F2370" s="68" t="inlineStr">
        <is>
          <t>6.1 总承包工程</t>
        </is>
      </c>
      <c r="G2370" s="68" t="inlineStr">
        <is>
          <t>6.1.4 空调通风工程</t>
        </is>
      </c>
      <c r="H2370" s="68" t="inlineStr">
        <is>
          <t>风口</t>
        </is>
      </c>
      <c r="I2370" s="69" t="inlineStr">
        <is>
          <t>1000040115</t>
        </is>
      </c>
      <c r="J2370" s="69" t="inlineStr">
        <is>
          <t>风管保温修补（含风口移位的风管接驳费）</t>
        </is>
      </c>
      <c r="K2370" s="70" t="n"/>
      <c r="L2370" s="70" t="n"/>
      <c r="M2370" s="71" t="inlineStr">
        <is>
          <t>项</t>
        </is>
      </c>
      <c r="N2370" s="72" t="n"/>
      <c r="O2370" s="72">
        <f>ROUND(N2370*(1+$F$10),2)</f>
        <v/>
      </c>
      <c r="P2370" s="73">
        <f>ROUND(K2370*N2370,2)</f>
        <v/>
      </c>
      <c r="Q2370" s="74">
        <f>ROUND(L2370*N2370,2)</f>
        <v/>
      </c>
      <c r="R2370" s="75" t="n"/>
      <c r="S2370" s="76" t="n"/>
      <c r="T2370" s="77">
        <f>K2370-L2370</f>
        <v/>
      </c>
      <c r="U2370" s="77">
        <f>P2370-Q2370</f>
        <v/>
      </c>
      <c r="V2370" s="77">
        <f>ABS(U2370)</f>
        <v/>
      </c>
      <c r="W2370" s="78">
        <f>T2370/L2370</f>
        <v/>
      </c>
      <c r="X2370" s="79">
        <f>ABS(W2370)</f>
        <v/>
      </c>
    </row>
    <row r="2371" ht="11.4" customHeight="1">
      <c r="A2371" s="67" t="inlineStr">
        <is>
          <t>大甜73</t>
        </is>
      </c>
      <c r="B2371" s="67" t="inlineStr">
        <is>
          <t>1071</t>
        </is>
      </c>
      <c r="C2371" s="67" t="inlineStr">
        <is>
          <t>1614</t>
        </is>
      </c>
      <c r="D2371" s="68" t="inlineStr">
        <is>
          <t>03</t>
        </is>
      </c>
      <c r="E2371" s="68" t="inlineStr">
        <is>
          <t>6 物业施工费</t>
        </is>
      </c>
      <c r="F2371" s="68" t="inlineStr">
        <is>
          <t>6.1 总承包工程</t>
        </is>
      </c>
      <c r="G2371" s="68" t="inlineStr">
        <is>
          <t>6.1.4 空调通风工程</t>
        </is>
      </c>
      <c r="H2371" s="68" t="inlineStr">
        <is>
          <t>设备安装</t>
        </is>
      </c>
      <c r="I2371" s="69" t="inlineStr">
        <is>
          <t>1000021925</t>
        </is>
      </c>
      <c r="J2371" s="69" t="inlineStr">
        <is>
          <t>智能变频通风系统安装</t>
        </is>
      </c>
      <c r="K2371" s="70" t="n"/>
      <c r="L2371" s="70" t="n"/>
      <c r="M2371" s="71" t="inlineStr">
        <is>
          <t>项</t>
        </is>
      </c>
      <c r="N2371" s="72" t="n">
        <v>2345</v>
      </c>
      <c r="O2371" s="72">
        <f>ROUND(N2371*(1+$F$10),2)</f>
        <v/>
      </c>
      <c r="P2371" s="73">
        <f>ROUND(K2371*N2371,2)</f>
        <v/>
      </c>
      <c r="Q2371" s="74">
        <f>ROUND(L2371*N2371,2)</f>
        <v/>
      </c>
      <c r="R2371" s="75" t="n"/>
      <c r="S2371" s="76" t="n"/>
      <c r="T2371" s="77">
        <f>K2371-L2371</f>
        <v/>
      </c>
      <c r="U2371" s="77">
        <f>P2371-Q2371</f>
        <v/>
      </c>
      <c r="V2371" s="77">
        <f>ABS(U2371)</f>
        <v/>
      </c>
      <c r="W2371" s="78">
        <f>T2371/L2371</f>
        <v/>
      </c>
      <c r="X2371" s="79">
        <f>ABS(W2371)</f>
        <v/>
      </c>
    </row>
    <row r="2372" ht="11.4" customHeight="1">
      <c r="A2372" s="67" t="inlineStr">
        <is>
          <t>大甜73</t>
        </is>
      </c>
      <c r="B2372" s="67" t="inlineStr">
        <is>
          <t>1071</t>
        </is>
      </c>
      <c r="C2372" s="67" t="inlineStr">
        <is>
          <t>1614</t>
        </is>
      </c>
      <c r="D2372" s="68" t="inlineStr">
        <is>
          <t>03</t>
        </is>
      </c>
      <c r="E2372" s="68" t="inlineStr">
        <is>
          <t>6 物业施工费</t>
        </is>
      </c>
      <c r="F2372" s="68" t="inlineStr">
        <is>
          <t>6.1 总承包工程</t>
        </is>
      </c>
      <c r="G2372" s="68" t="inlineStr">
        <is>
          <t>6.1.4 空调通风工程</t>
        </is>
      </c>
      <c r="H2372" s="68" t="inlineStr">
        <is>
          <t>设备安装</t>
        </is>
      </c>
      <c r="I2372" s="69" t="inlineStr">
        <is>
          <t>1000022040</t>
        </is>
      </c>
      <c r="J2372" s="69" t="inlineStr">
        <is>
          <t>F6+G4空气过滤系统安装（PM2.5&gt;35城市配备）</t>
        </is>
      </c>
      <c r="K2372" s="70" t="n"/>
      <c r="L2372" s="70" t="n"/>
      <c r="M2372" s="71" t="inlineStr">
        <is>
          <t>套</t>
        </is>
      </c>
      <c r="N2372" s="72" t="n">
        <v>649.73</v>
      </c>
      <c r="O2372" s="72">
        <f>ROUND(N2372*(1+$F$10),2)</f>
        <v/>
      </c>
      <c r="P2372" s="73">
        <f>ROUND(K2372*N2372,2)</f>
        <v/>
      </c>
      <c r="Q2372" s="74">
        <f>ROUND(L2372*N2372,2)</f>
        <v/>
      </c>
      <c r="R2372" s="75" t="n"/>
      <c r="S2372" s="76" t="n"/>
      <c r="T2372" s="77">
        <f>K2372-L2372</f>
        <v/>
      </c>
      <c r="U2372" s="77">
        <f>P2372-Q2372</f>
        <v/>
      </c>
      <c r="V2372" s="77">
        <f>ABS(U2372)</f>
        <v/>
      </c>
      <c r="W2372" s="78">
        <f>T2372/L2372</f>
        <v/>
      </c>
      <c r="X2372" s="79">
        <f>ABS(W2372)</f>
        <v/>
      </c>
    </row>
    <row r="2373" ht="11.4" customHeight="1">
      <c r="A2373" s="67" t="inlineStr">
        <is>
          <t>大甜76</t>
        </is>
      </c>
      <c r="B2373" s="67" t="inlineStr">
        <is>
          <t>1074</t>
        </is>
      </c>
      <c r="C2373" s="67" t="inlineStr">
        <is>
          <t>1622</t>
        </is>
      </c>
      <c r="D2373" s="68" t="inlineStr">
        <is>
          <t>03</t>
        </is>
      </c>
      <c r="E2373" s="68" t="inlineStr">
        <is>
          <t>6 物业施工费</t>
        </is>
      </c>
      <c r="F2373" s="68" t="inlineStr">
        <is>
          <t>6.2 消防系统</t>
        </is>
      </c>
      <c r="G2373" s="68" t="inlineStr">
        <is>
          <t>消防工程</t>
        </is>
      </c>
      <c r="H2373" s="68" t="inlineStr">
        <is>
          <t>消防工程(火灾自动报警系统)</t>
        </is>
      </c>
      <c r="I2373" s="69" t="inlineStr">
        <is>
          <t>1000040049</t>
        </is>
      </c>
      <c r="J2373" s="69" t="inlineStr">
        <is>
          <t>编码感烟探测器（含线管）</t>
        </is>
      </c>
      <c r="K2373" s="70" t="n"/>
      <c r="L2373" s="70" t="n"/>
      <c r="M2373" s="71" t="inlineStr">
        <is>
          <t>只</t>
        </is>
      </c>
      <c r="N2373" s="72" t="n">
        <v>510.81</v>
      </c>
      <c r="O2373" s="72">
        <f>ROUND(N2373*(1+$F$10),2)</f>
        <v/>
      </c>
      <c r="P2373" s="73">
        <f>ROUND(K2373*N2373,2)</f>
        <v/>
      </c>
      <c r="Q2373" s="74">
        <f>ROUND(L2373*N2373,2)</f>
        <v/>
      </c>
      <c r="R2373" s="75" t="n"/>
      <c r="S2373" s="76" t="n"/>
      <c r="T2373" s="77">
        <f>K2373-L2373</f>
        <v/>
      </c>
      <c r="U2373" s="77">
        <f>P2373-Q2373</f>
        <v/>
      </c>
      <c r="V2373" s="77">
        <f>ABS(U2373)</f>
        <v/>
      </c>
      <c r="W2373" s="78">
        <f>T2373/L2373</f>
        <v/>
      </c>
      <c r="X2373" s="79">
        <f>ABS(W2373)</f>
        <v/>
      </c>
    </row>
    <row r="2374" ht="11.4" customHeight="1">
      <c r="A2374" s="67" t="inlineStr">
        <is>
          <t>大甜76</t>
        </is>
      </c>
      <c r="B2374" s="67" t="inlineStr">
        <is>
          <t>1074</t>
        </is>
      </c>
      <c r="C2374" s="67" t="inlineStr">
        <is>
          <t>1622</t>
        </is>
      </c>
      <c r="D2374" s="68" t="inlineStr">
        <is>
          <t>03</t>
        </is>
      </c>
      <c r="E2374" s="68" t="inlineStr">
        <is>
          <t>6 物业施工费</t>
        </is>
      </c>
      <c r="F2374" s="68" t="inlineStr">
        <is>
          <t>6.2 消防系统</t>
        </is>
      </c>
      <c r="G2374" s="68" t="inlineStr">
        <is>
          <t>消防工程</t>
        </is>
      </c>
      <c r="H2374" s="68" t="inlineStr">
        <is>
          <t>消防工程(火灾自动报警系统)</t>
        </is>
      </c>
      <c r="I2374" s="69" t="inlineStr">
        <is>
          <t>1000040050</t>
        </is>
      </c>
      <c r="J2374" s="69" t="inlineStr">
        <is>
          <t>编码感温探测器（含线管）</t>
        </is>
      </c>
      <c r="K2374" s="70" t="n"/>
      <c r="L2374" s="70" t="n"/>
      <c r="M2374" s="71" t="inlineStr">
        <is>
          <t>只</t>
        </is>
      </c>
      <c r="N2374" s="72" t="n">
        <v>509.91</v>
      </c>
      <c r="O2374" s="72">
        <f>ROUND(N2374*(1+$F$10),2)</f>
        <v/>
      </c>
      <c r="P2374" s="73">
        <f>ROUND(K2374*N2374,2)</f>
        <v/>
      </c>
      <c r="Q2374" s="74">
        <f>ROUND(L2374*N2374,2)</f>
        <v/>
      </c>
      <c r="R2374" s="75" t="n"/>
      <c r="S2374" s="76" t="n"/>
      <c r="T2374" s="77">
        <f>K2374-L2374</f>
        <v/>
      </c>
      <c r="U2374" s="77">
        <f>P2374-Q2374</f>
        <v/>
      </c>
      <c r="V2374" s="77">
        <f>ABS(U2374)</f>
        <v/>
      </c>
      <c r="W2374" s="78">
        <f>T2374/L2374</f>
        <v/>
      </c>
      <c r="X2374" s="79">
        <f>ABS(W2374)</f>
        <v/>
      </c>
    </row>
    <row r="2375" ht="11.4" customHeight="1">
      <c r="A2375" s="67" t="inlineStr">
        <is>
          <t>大甜76</t>
        </is>
      </c>
      <c r="B2375" s="67" t="inlineStr">
        <is>
          <t>1074</t>
        </is>
      </c>
      <c r="C2375" s="67" t="inlineStr">
        <is>
          <t>1622</t>
        </is>
      </c>
      <c r="D2375" s="68" t="inlineStr">
        <is>
          <t>03</t>
        </is>
      </c>
      <c r="E2375" s="68" t="inlineStr">
        <is>
          <t>6 物业施工费</t>
        </is>
      </c>
      <c r="F2375" s="68" t="inlineStr">
        <is>
          <t>6.2 消防系统</t>
        </is>
      </c>
      <c r="G2375" s="68" t="inlineStr">
        <is>
          <t>消防工程</t>
        </is>
      </c>
      <c r="H2375" s="68" t="inlineStr">
        <is>
          <t>消防工程(火灾自动报警系统)</t>
        </is>
      </c>
      <c r="I2375" s="69" t="inlineStr">
        <is>
          <t>1000040051</t>
        </is>
      </c>
      <c r="J2375" s="69" t="inlineStr">
        <is>
          <t>消火栓按钮</t>
        </is>
      </c>
      <c r="K2375" s="70" t="n"/>
      <c r="L2375" s="70" t="n"/>
      <c r="M2375" s="71" t="inlineStr">
        <is>
          <t>只</t>
        </is>
      </c>
      <c r="N2375" s="72" t="n">
        <v>339.64</v>
      </c>
      <c r="O2375" s="72">
        <f>ROUND(N2375*(1+$F$10),2)</f>
        <v/>
      </c>
      <c r="P2375" s="73">
        <f>ROUND(K2375*N2375,2)</f>
        <v/>
      </c>
      <c r="Q2375" s="74">
        <f>ROUND(L2375*N2375,2)</f>
        <v/>
      </c>
      <c r="R2375" s="75" t="n"/>
      <c r="S2375" s="76" t="n"/>
      <c r="T2375" s="77">
        <f>K2375-L2375</f>
        <v/>
      </c>
      <c r="U2375" s="77">
        <f>P2375-Q2375</f>
        <v/>
      </c>
      <c r="V2375" s="77">
        <f>ABS(U2375)</f>
        <v/>
      </c>
      <c r="W2375" s="78">
        <f>T2375/L2375</f>
        <v/>
      </c>
      <c r="X2375" s="79">
        <f>ABS(W2375)</f>
        <v/>
      </c>
    </row>
    <row r="2376" ht="11.4" customHeight="1">
      <c r="A2376" s="67" t="inlineStr">
        <is>
          <t>大甜76</t>
        </is>
      </c>
      <c r="B2376" s="67" t="inlineStr">
        <is>
          <t>1074</t>
        </is>
      </c>
      <c r="C2376" s="67" t="inlineStr">
        <is>
          <t>1622</t>
        </is>
      </c>
      <c r="D2376" s="68" t="inlineStr">
        <is>
          <t>03</t>
        </is>
      </c>
      <c r="E2376" s="68" t="inlineStr">
        <is>
          <t>6 物业施工费</t>
        </is>
      </c>
      <c r="F2376" s="68" t="inlineStr">
        <is>
          <t>6.2 消防系统</t>
        </is>
      </c>
      <c r="G2376" s="68" t="inlineStr">
        <is>
          <t>消防工程</t>
        </is>
      </c>
      <c r="H2376" s="68" t="inlineStr">
        <is>
          <t>消防工程(火灾自动报警系统)</t>
        </is>
      </c>
      <c r="I2376" s="69" t="inlineStr">
        <is>
          <t>1000040052</t>
        </is>
      </c>
      <c r="J2376" s="69" t="inlineStr">
        <is>
          <t>手动报警按钮</t>
        </is>
      </c>
      <c r="K2376" s="70" t="n"/>
      <c r="L2376" s="70" t="n"/>
      <c r="M2376" s="71" t="inlineStr">
        <is>
          <t>只</t>
        </is>
      </c>
      <c r="N2376" s="72" t="n">
        <v>339.64</v>
      </c>
      <c r="O2376" s="72">
        <f>ROUND(N2376*(1+$F$10),2)</f>
        <v/>
      </c>
      <c r="P2376" s="73">
        <f>ROUND(K2376*N2376,2)</f>
        <v/>
      </c>
      <c r="Q2376" s="74">
        <f>ROUND(L2376*N2376,2)</f>
        <v/>
      </c>
      <c r="R2376" s="75" t="n"/>
      <c r="S2376" s="76" t="n"/>
      <c r="T2376" s="77">
        <f>K2376-L2376</f>
        <v/>
      </c>
      <c r="U2376" s="77">
        <f>P2376-Q2376</f>
        <v/>
      </c>
      <c r="V2376" s="77">
        <f>ABS(U2376)</f>
        <v/>
      </c>
      <c r="W2376" s="78">
        <f>T2376/L2376</f>
        <v/>
      </c>
      <c r="X2376" s="79">
        <f>ABS(W2376)</f>
        <v/>
      </c>
    </row>
    <row r="2377" ht="11.4" customHeight="1">
      <c r="A2377" s="67" t="inlineStr">
        <is>
          <t>大甜76</t>
        </is>
      </c>
      <c r="B2377" s="67" t="inlineStr">
        <is>
          <t>1074</t>
        </is>
      </c>
      <c r="C2377" s="67" t="inlineStr">
        <is>
          <t>1622</t>
        </is>
      </c>
      <c r="D2377" s="68" t="inlineStr">
        <is>
          <t>03</t>
        </is>
      </c>
      <c r="E2377" s="68" t="inlineStr">
        <is>
          <t>6 物业施工费</t>
        </is>
      </c>
      <c r="F2377" s="68" t="inlineStr">
        <is>
          <t>6.2 消防系统</t>
        </is>
      </c>
      <c r="G2377" s="68" t="inlineStr">
        <is>
          <t>消防工程</t>
        </is>
      </c>
      <c r="H2377" s="68" t="inlineStr">
        <is>
          <t>消防工程(火灾自动报警系统)</t>
        </is>
      </c>
      <c r="I2377" s="69" t="inlineStr">
        <is>
          <t>1000040053</t>
        </is>
      </c>
      <c r="J2377" s="69" t="inlineStr">
        <is>
          <t>警铃</t>
        </is>
      </c>
      <c r="K2377" s="70" t="n"/>
      <c r="L2377" s="70" t="n"/>
      <c r="M2377" s="71" t="inlineStr">
        <is>
          <t>台</t>
        </is>
      </c>
      <c r="N2377" s="72" t="n">
        <v>311.71</v>
      </c>
      <c r="O2377" s="72">
        <f>ROUND(N2377*(1+$F$10),2)</f>
        <v/>
      </c>
      <c r="P2377" s="73">
        <f>ROUND(K2377*N2377,2)</f>
        <v/>
      </c>
      <c r="Q2377" s="74">
        <f>ROUND(L2377*N2377,2)</f>
        <v/>
      </c>
      <c r="R2377" s="75" t="n"/>
      <c r="S2377" s="76" t="n"/>
      <c r="T2377" s="77">
        <f>K2377-L2377</f>
        <v/>
      </c>
      <c r="U2377" s="77">
        <f>P2377-Q2377</f>
        <v/>
      </c>
      <c r="V2377" s="77">
        <f>ABS(U2377)</f>
        <v/>
      </c>
      <c r="W2377" s="78">
        <f>T2377/L2377</f>
        <v/>
      </c>
      <c r="X2377" s="79">
        <f>ABS(W2377)</f>
        <v/>
      </c>
    </row>
    <row r="2378" ht="11.4" customHeight="1">
      <c r="A2378" s="67" t="inlineStr">
        <is>
          <t>大甜76</t>
        </is>
      </c>
      <c r="B2378" s="67" t="inlineStr">
        <is>
          <t>1074</t>
        </is>
      </c>
      <c r="C2378" s="67" t="inlineStr">
        <is>
          <t>1622</t>
        </is>
      </c>
      <c r="D2378" s="68" t="inlineStr">
        <is>
          <t>03</t>
        </is>
      </c>
      <c r="E2378" s="68" t="inlineStr">
        <is>
          <t>6 物业施工费</t>
        </is>
      </c>
      <c r="F2378" s="68" t="inlineStr">
        <is>
          <t>6.2 消防系统</t>
        </is>
      </c>
      <c r="G2378" s="68" t="inlineStr">
        <is>
          <t>消防工程</t>
        </is>
      </c>
      <c r="H2378" s="68" t="inlineStr">
        <is>
          <t>消防工程(火灾自动报警系统)</t>
        </is>
      </c>
      <c r="I2378" s="69" t="inlineStr">
        <is>
          <t>1000040054</t>
        </is>
      </c>
      <c r="J2378" s="69" t="inlineStr">
        <is>
          <t>总线控制模块</t>
        </is>
      </c>
      <c r="K2378" s="70" t="n"/>
      <c r="L2378" s="70" t="n"/>
      <c r="M2378" s="71" t="inlineStr">
        <is>
          <t>只</t>
        </is>
      </c>
      <c r="N2378" s="72" t="n">
        <v>625.23</v>
      </c>
      <c r="O2378" s="72">
        <f>ROUND(N2378*(1+$F$10),2)</f>
        <v/>
      </c>
      <c r="P2378" s="73">
        <f>ROUND(K2378*N2378,2)</f>
        <v/>
      </c>
      <c r="Q2378" s="74">
        <f>ROUND(L2378*N2378,2)</f>
        <v/>
      </c>
      <c r="R2378" s="75" t="n"/>
      <c r="S2378" s="76" t="n"/>
      <c r="T2378" s="77">
        <f>K2378-L2378</f>
        <v/>
      </c>
      <c r="U2378" s="77">
        <f>P2378-Q2378</f>
        <v/>
      </c>
      <c r="V2378" s="77">
        <f>ABS(U2378)</f>
        <v/>
      </c>
      <c r="W2378" s="78">
        <f>T2378/L2378</f>
        <v/>
      </c>
      <c r="X2378" s="79">
        <f>ABS(W2378)</f>
        <v/>
      </c>
    </row>
    <row r="2379" ht="11.4" customHeight="1">
      <c r="A2379" s="67" t="inlineStr">
        <is>
          <t>大甜76</t>
        </is>
      </c>
      <c r="B2379" s="67" t="inlineStr">
        <is>
          <t>1074</t>
        </is>
      </c>
      <c r="C2379" s="67" t="inlineStr">
        <is>
          <t>1622</t>
        </is>
      </c>
      <c r="D2379" s="68" t="inlineStr">
        <is>
          <t>03</t>
        </is>
      </c>
      <c r="E2379" s="68" t="inlineStr">
        <is>
          <t>6 物业施工费</t>
        </is>
      </c>
      <c r="F2379" s="68" t="inlineStr">
        <is>
          <t>6.2 消防系统</t>
        </is>
      </c>
      <c r="G2379" s="68" t="inlineStr">
        <is>
          <t>消防工程</t>
        </is>
      </c>
      <c r="H2379" s="68" t="inlineStr">
        <is>
          <t>消防工程(火灾自动报警系统)</t>
        </is>
      </c>
      <c r="I2379" s="69" t="inlineStr">
        <is>
          <t>1000040055</t>
        </is>
      </c>
      <c r="J2379" s="69" t="inlineStr">
        <is>
          <t>消防箱（端子箱）</t>
        </is>
      </c>
      <c r="K2379" s="70" t="n"/>
      <c r="L2379" s="70" t="n"/>
      <c r="M2379" s="71" t="inlineStr">
        <is>
          <t>套</t>
        </is>
      </c>
      <c r="N2379" s="72" t="n">
        <v>556.76</v>
      </c>
      <c r="O2379" s="72">
        <f>ROUND(N2379*(1+$F$10),2)</f>
        <v/>
      </c>
      <c r="P2379" s="73">
        <f>ROUND(K2379*N2379,2)</f>
        <v/>
      </c>
      <c r="Q2379" s="74">
        <f>ROUND(L2379*N2379,2)</f>
        <v/>
      </c>
      <c r="R2379" s="75" t="n"/>
      <c r="S2379" s="76" t="n"/>
      <c r="T2379" s="77">
        <f>K2379-L2379</f>
        <v/>
      </c>
      <c r="U2379" s="77">
        <f>P2379-Q2379</f>
        <v/>
      </c>
      <c r="V2379" s="77">
        <f>ABS(U2379)</f>
        <v/>
      </c>
      <c r="W2379" s="78">
        <f>T2379/L2379</f>
        <v/>
      </c>
      <c r="X2379" s="79">
        <f>ABS(W2379)</f>
        <v/>
      </c>
    </row>
    <row r="2380" ht="11.4" customHeight="1">
      <c r="A2380" s="67" t="inlineStr">
        <is>
          <t>大甜76</t>
        </is>
      </c>
      <c r="B2380" s="67" t="inlineStr">
        <is>
          <t>1074</t>
        </is>
      </c>
      <c r="C2380" s="67" t="inlineStr">
        <is>
          <t>1622</t>
        </is>
      </c>
      <c r="D2380" s="68" t="inlineStr">
        <is>
          <t>03</t>
        </is>
      </c>
      <c r="E2380" s="68" t="inlineStr">
        <is>
          <t>6 物业施工费</t>
        </is>
      </c>
      <c r="F2380" s="68" t="inlineStr">
        <is>
          <t>6.2 消防系统</t>
        </is>
      </c>
      <c r="G2380" s="68" t="inlineStr">
        <is>
          <t>消防工程</t>
        </is>
      </c>
      <c r="H2380" s="68" t="inlineStr">
        <is>
          <t>消防工程(火灾自动报警系统)</t>
        </is>
      </c>
      <c r="I2380" s="69" t="inlineStr">
        <is>
          <t>1000040056</t>
        </is>
      </c>
      <c r="J2380" s="69" t="inlineStr">
        <is>
          <t>自动报警系统装置调试</t>
        </is>
      </c>
      <c r="K2380" s="70" t="n"/>
      <c r="L2380" s="70" t="n"/>
      <c r="M2380" s="71" t="inlineStr">
        <is>
          <t>系统</t>
        </is>
      </c>
      <c r="N2380" s="72" t="n">
        <v>3112.61</v>
      </c>
      <c r="O2380" s="72">
        <f>ROUND(N2380*(1+$F$10),2)</f>
        <v/>
      </c>
      <c r="P2380" s="73">
        <f>ROUND(K2380*N2380,2)</f>
        <v/>
      </c>
      <c r="Q2380" s="74">
        <f>ROUND(L2380*N2380,2)</f>
        <v/>
      </c>
      <c r="R2380" s="75" t="n"/>
      <c r="S2380" s="76" t="n"/>
      <c r="T2380" s="77">
        <f>K2380-L2380</f>
        <v/>
      </c>
      <c r="U2380" s="77">
        <f>P2380-Q2380</f>
        <v/>
      </c>
      <c r="V2380" s="77">
        <f>ABS(U2380)</f>
        <v/>
      </c>
      <c r="W2380" s="78">
        <f>T2380/L2380</f>
        <v/>
      </c>
      <c r="X2380" s="79">
        <f>ABS(W2380)</f>
        <v/>
      </c>
    </row>
    <row r="2381" ht="11.4" customHeight="1">
      <c r="A2381" s="67" t="inlineStr">
        <is>
          <t>大甜76</t>
        </is>
      </c>
      <c r="B2381" s="67" t="inlineStr">
        <is>
          <t>1074</t>
        </is>
      </c>
      <c r="C2381" s="67" t="inlineStr">
        <is>
          <t>1622</t>
        </is>
      </c>
      <c r="D2381" s="68" t="inlineStr">
        <is>
          <t>03</t>
        </is>
      </c>
      <c r="E2381" s="68" t="inlineStr">
        <is>
          <t>6 物业施工费</t>
        </is>
      </c>
      <c r="F2381" s="68" t="inlineStr">
        <is>
          <t>6.2 消防系统</t>
        </is>
      </c>
      <c r="G2381" s="68" t="inlineStr">
        <is>
          <t>消防工程</t>
        </is>
      </c>
      <c r="H2381" s="68" t="inlineStr">
        <is>
          <t>消防工程(火灾自动报警系统)</t>
        </is>
      </c>
      <c r="I2381" s="69" t="inlineStr">
        <is>
          <t>1000040057</t>
        </is>
      </c>
      <c r="J2381" s="69" t="inlineStr">
        <is>
          <t>防火阀</t>
        </is>
      </c>
      <c r="K2381" s="70" t="n"/>
      <c r="L2381" s="70" t="n"/>
      <c r="M2381" s="71" t="inlineStr">
        <is>
          <t>只</t>
        </is>
      </c>
      <c r="N2381" s="72" t="n">
        <v>290.09</v>
      </c>
      <c r="O2381" s="72">
        <f>ROUND(N2381*(1+$F$10),2)</f>
        <v/>
      </c>
      <c r="P2381" s="73">
        <f>ROUND(K2381*N2381,2)</f>
        <v/>
      </c>
      <c r="Q2381" s="74">
        <f>ROUND(L2381*N2381,2)</f>
        <v/>
      </c>
      <c r="R2381" s="75" t="n"/>
      <c r="S2381" s="76" t="n"/>
      <c r="T2381" s="77">
        <f>K2381-L2381</f>
        <v/>
      </c>
      <c r="U2381" s="77">
        <f>P2381-Q2381</f>
        <v/>
      </c>
      <c r="V2381" s="77">
        <f>ABS(U2381)</f>
        <v/>
      </c>
      <c r="W2381" s="78">
        <f>T2381/L2381</f>
        <v/>
      </c>
      <c r="X2381" s="79">
        <f>ABS(W2381)</f>
        <v/>
      </c>
    </row>
    <row r="2382" ht="11.4" customHeight="1">
      <c r="A2382" s="67" t="inlineStr">
        <is>
          <t>大甜76</t>
        </is>
      </c>
      <c r="B2382" s="67" t="inlineStr">
        <is>
          <t>1074</t>
        </is>
      </c>
      <c r="C2382" s="67" t="inlineStr">
        <is>
          <t>1622</t>
        </is>
      </c>
      <c r="D2382" s="68" t="inlineStr">
        <is>
          <t>03</t>
        </is>
      </c>
      <c r="E2382" s="68" t="inlineStr">
        <is>
          <t>6 物业施工费</t>
        </is>
      </c>
      <c r="F2382" s="68" t="inlineStr">
        <is>
          <t>6.2 消防系统</t>
        </is>
      </c>
      <c r="G2382" s="68" t="inlineStr">
        <is>
          <t>消防工程</t>
        </is>
      </c>
      <c r="H2382" s="68" t="inlineStr">
        <is>
          <t>消防工程(消防广播系统系统)</t>
        </is>
      </c>
      <c r="I2382" s="69" t="inlineStr">
        <is>
          <t>1000040058</t>
        </is>
      </c>
      <c r="J2382" s="69" t="inlineStr">
        <is>
          <t>消防切换模块</t>
        </is>
      </c>
      <c r="K2382" s="70" t="n"/>
      <c r="L2382" s="70" t="n"/>
      <c r="M2382" s="71" t="inlineStr">
        <is>
          <t>只</t>
        </is>
      </c>
      <c r="N2382" s="72" t="n">
        <v>271.17</v>
      </c>
      <c r="O2382" s="72">
        <f>ROUND(N2382*(1+$F$10),2)</f>
        <v/>
      </c>
      <c r="P2382" s="73">
        <f>ROUND(K2382*N2382,2)</f>
        <v/>
      </c>
      <c r="Q2382" s="74">
        <f>ROUND(L2382*N2382,2)</f>
        <v/>
      </c>
      <c r="R2382" s="75" t="n"/>
      <c r="S2382" s="76" t="n"/>
      <c r="T2382" s="77">
        <f>K2382-L2382</f>
        <v/>
      </c>
      <c r="U2382" s="77">
        <f>P2382-Q2382</f>
        <v/>
      </c>
      <c r="V2382" s="77">
        <f>ABS(U2382)</f>
        <v/>
      </c>
      <c r="W2382" s="78">
        <f>T2382/L2382</f>
        <v/>
      </c>
      <c r="X2382" s="79">
        <f>ABS(W2382)</f>
        <v/>
      </c>
    </row>
    <row r="2383" ht="11.4" customHeight="1">
      <c r="A2383" s="67" t="inlineStr">
        <is>
          <t>大甜76</t>
        </is>
      </c>
      <c r="B2383" s="67" t="inlineStr">
        <is>
          <t>1074</t>
        </is>
      </c>
      <c r="C2383" s="67" t="inlineStr">
        <is>
          <t>1622</t>
        </is>
      </c>
      <c r="D2383" s="68" t="inlineStr">
        <is>
          <t>03</t>
        </is>
      </c>
      <c r="E2383" s="68" t="inlineStr">
        <is>
          <t>6 物业施工费</t>
        </is>
      </c>
      <c r="F2383" s="68" t="inlineStr">
        <is>
          <t>6.2 消防系统</t>
        </is>
      </c>
      <c r="G2383" s="68" t="inlineStr">
        <is>
          <t>消防工程</t>
        </is>
      </c>
      <c r="H2383" s="68" t="inlineStr">
        <is>
          <t>消防工程(消防广播系统系统)</t>
        </is>
      </c>
      <c r="I2383" s="69" t="inlineStr">
        <is>
          <t>1000040059</t>
        </is>
      </c>
      <c r="J2383" s="69" t="inlineStr">
        <is>
          <t>广播驱动模块(音响主机)</t>
        </is>
      </c>
      <c r="K2383" s="70" t="n"/>
      <c r="L2383" s="70" t="n"/>
      <c r="M2383" s="71" t="inlineStr">
        <is>
          <t>套</t>
        </is>
      </c>
      <c r="N2383" s="72" t="n">
        <v>1794.59</v>
      </c>
      <c r="O2383" s="72">
        <f>ROUND(N2383*(1+$F$10),2)</f>
        <v/>
      </c>
      <c r="P2383" s="73">
        <f>ROUND(K2383*N2383,2)</f>
        <v/>
      </c>
      <c r="Q2383" s="74">
        <f>ROUND(L2383*N2383,2)</f>
        <v/>
      </c>
      <c r="R2383" s="75" t="n"/>
      <c r="S2383" s="76" t="n"/>
      <c r="T2383" s="77">
        <f>K2383-L2383</f>
        <v/>
      </c>
      <c r="U2383" s="77">
        <f>P2383-Q2383</f>
        <v/>
      </c>
      <c r="V2383" s="77">
        <f>ABS(U2383)</f>
        <v/>
      </c>
      <c r="W2383" s="78">
        <f>T2383/L2383</f>
        <v/>
      </c>
      <c r="X2383" s="79">
        <f>ABS(W2383)</f>
        <v/>
      </c>
    </row>
    <row r="2384" ht="11.4" customHeight="1">
      <c r="A2384" s="67" t="inlineStr">
        <is>
          <t>大甜76</t>
        </is>
      </c>
      <c r="B2384" s="67" t="inlineStr">
        <is>
          <t>1074</t>
        </is>
      </c>
      <c r="C2384" s="67" t="inlineStr">
        <is>
          <t>1622</t>
        </is>
      </c>
      <c r="D2384" s="68" t="inlineStr">
        <is>
          <t>03</t>
        </is>
      </c>
      <c r="E2384" s="68" t="inlineStr">
        <is>
          <t>6 物业施工费</t>
        </is>
      </c>
      <c r="F2384" s="68" t="inlineStr">
        <is>
          <t>6.2 消防系统</t>
        </is>
      </c>
      <c r="G2384" s="68" t="inlineStr">
        <is>
          <t>消防工程</t>
        </is>
      </c>
      <c r="H2384" s="68" t="inlineStr">
        <is>
          <t>消防工程(消防广播系统系统)</t>
        </is>
      </c>
      <c r="I2384" s="69" t="inlineStr">
        <is>
          <t>1000040060</t>
        </is>
      </c>
      <c r="J2384" s="69" t="inlineStr">
        <is>
          <t>消防广播系统调试</t>
        </is>
      </c>
      <c r="K2384" s="70" t="n"/>
      <c r="L2384" s="70" t="n"/>
      <c r="M2384" s="71" t="inlineStr">
        <is>
          <t>项</t>
        </is>
      </c>
      <c r="N2384" s="72" t="n">
        <v>2774.77</v>
      </c>
      <c r="O2384" s="72">
        <f>ROUND(N2384*(1+$F$10),2)</f>
        <v/>
      </c>
      <c r="P2384" s="73">
        <f>ROUND(K2384*N2384,2)</f>
        <v/>
      </c>
      <c r="Q2384" s="74">
        <f>ROUND(L2384*N2384,2)</f>
        <v/>
      </c>
      <c r="R2384" s="75" t="n"/>
      <c r="S2384" s="76" t="n"/>
      <c r="T2384" s="77">
        <f>K2384-L2384</f>
        <v/>
      </c>
      <c r="U2384" s="77">
        <f>P2384-Q2384</f>
        <v/>
      </c>
      <c r="V2384" s="77">
        <f>ABS(U2384)</f>
        <v/>
      </c>
      <c r="W2384" s="78">
        <f>T2384/L2384</f>
        <v/>
      </c>
      <c r="X2384" s="79">
        <f>ABS(W2384)</f>
        <v/>
      </c>
    </row>
    <row r="2385" ht="11.4" customHeight="1">
      <c r="A2385" s="67" t="inlineStr">
        <is>
          <t>大甜76</t>
        </is>
      </c>
      <c r="B2385" s="67" t="inlineStr">
        <is>
          <t>1074</t>
        </is>
      </c>
      <c r="C2385" s="67" t="inlineStr">
        <is>
          <t>1622</t>
        </is>
      </c>
      <c r="D2385" s="68" t="inlineStr">
        <is>
          <t>03</t>
        </is>
      </c>
      <c r="E2385" s="68" t="inlineStr">
        <is>
          <t>6 物业施工费</t>
        </is>
      </c>
      <c r="F2385" s="68" t="inlineStr">
        <is>
          <t>6.2 消防系统</t>
        </is>
      </c>
      <c r="G2385" s="68" t="inlineStr">
        <is>
          <t>消防工程</t>
        </is>
      </c>
      <c r="H2385" s="68" t="inlineStr">
        <is>
          <t>消防工程(水灭火系统)</t>
        </is>
      </c>
      <c r="I2385" s="69" t="inlineStr">
        <is>
          <t>1000040061</t>
        </is>
      </c>
      <c r="J2385" s="69" t="inlineStr">
        <is>
          <t>水喷头(普通型)</t>
        </is>
      </c>
      <c r="K2385" s="70" t="n"/>
      <c r="L2385" s="70" t="n"/>
      <c r="M2385" s="71" t="inlineStr">
        <is>
          <t>个</t>
        </is>
      </c>
      <c r="N2385" s="72" t="n">
        <v>63.96</v>
      </c>
      <c r="O2385" s="72">
        <f>ROUND(N2385*(1+$F$10),2)</f>
        <v/>
      </c>
      <c r="P2385" s="73">
        <f>ROUND(K2385*N2385,2)</f>
        <v/>
      </c>
      <c r="Q2385" s="74">
        <f>ROUND(L2385*N2385,2)</f>
        <v/>
      </c>
      <c r="R2385" s="75" t="n"/>
      <c r="S2385" s="76" t="n"/>
      <c r="T2385" s="77">
        <f>K2385-L2385</f>
        <v/>
      </c>
      <c r="U2385" s="77">
        <f>P2385-Q2385</f>
        <v/>
      </c>
      <c r="V2385" s="77">
        <f>ABS(U2385)</f>
        <v/>
      </c>
      <c r="W2385" s="78">
        <f>T2385/L2385</f>
        <v/>
      </c>
      <c r="X2385" s="79">
        <f>ABS(W2385)</f>
        <v/>
      </c>
    </row>
    <row r="2386" ht="11.4" customHeight="1">
      <c r="A2386" s="67" t="inlineStr">
        <is>
          <t>大甜76</t>
        </is>
      </c>
      <c r="B2386" s="67" t="inlineStr">
        <is>
          <t>1074</t>
        </is>
      </c>
      <c r="C2386" s="67" t="inlineStr">
        <is>
          <t>1622</t>
        </is>
      </c>
      <c r="D2386" s="68" t="inlineStr">
        <is>
          <t>03</t>
        </is>
      </c>
      <c r="E2386" s="68" t="inlineStr">
        <is>
          <t>6 物业施工费</t>
        </is>
      </c>
      <c r="F2386" s="68" t="inlineStr">
        <is>
          <t>6.2 消防系统</t>
        </is>
      </c>
      <c r="G2386" s="68" t="inlineStr">
        <is>
          <t>消防工程</t>
        </is>
      </c>
      <c r="H2386" s="68" t="inlineStr">
        <is>
          <t>消防工程(水灭火系统)</t>
        </is>
      </c>
      <c r="I2386" s="69" t="inlineStr">
        <is>
          <t>1000040062</t>
        </is>
      </c>
      <c r="J2386" s="69" t="inlineStr">
        <is>
          <t>水喷头防护罩</t>
        </is>
      </c>
      <c r="K2386" s="70" t="n"/>
      <c r="L2386" s="70" t="n"/>
      <c r="M2386" s="71" t="inlineStr">
        <is>
          <t>个</t>
        </is>
      </c>
      <c r="N2386" s="72" t="n">
        <v>17.35</v>
      </c>
      <c r="O2386" s="72">
        <f>ROUND(N2386*(1+$F$10),2)</f>
        <v/>
      </c>
      <c r="P2386" s="73">
        <f>ROUND(K2386*N2386,2)</f>
        <v/>
      </c>
      <c r="Q2386" s="74">
        <f>ROUND(L2386*N2386,2)</f>
        <v/>
      </c>
      <c r="R2386" s="75" t="n"/>
      <c r="S2386" s="76" t="n"/>
      <c r="T2386" s="77">
        <f>K2386-L2386</f>
        <v/>
      </c>
      <c r="U2386" s="77">
        <f>P2386-Q2386</f>
        <v/>
      </c>
      <c r="V2386" s="77">
        <f>ABS(U2386)</f>
        <v/>
      </c>
      <c r="W2386" s="78">
        <f>T2386/L2386</f>
        <v/>
      </c>
      <c r="X2386" s="79">
        <f>ABS(W2386)</f>
        <v/>
      </c>
    </row>
    <row r="2387" ht="11.4" customHeight="1">
      <c r="A2387" s="67" t="inlineStr">
        <is>
          <t>大甜76</t>
        </is>
      </c>
      <c r="B2387" s="67" t="inlineStr">
        <is>
          <t>1074</t>
        </is>
      </c>
      <c r="C2387" s="67" t="inlineStr">
        <is>
          <t>1622</t>
        </is>
      </c>
      <c r="D2387" s="68" t="inlineStr">
        <is>
          <t>03</t>
        </is>
      </c>
      <c r="E2387" s="68" t="inlineStr">
        <is>
          <t>6 物业施工费</t>
        </is>
      </c>
      <c r="F2387" s="68" t="inlineStr">
        <is>
          <t>6.2 消防系统</t>
        </is>
      </c>
      <c r="G2387" s="68" t="inlineStr">
        <is>
          <t>消防工程</t>
        </is>
      </c>
      <c r="H2387" s="68" t="inlineStr">
        <is>
          <t>消防工程(水灭火系统)</t>
        </is>
      </c>
      <c r="I2387" s="69" t="inlineStr">
        <is>
          <t>1000040063</t>
        </is>
      </c>
      <c r="J2387" s="69" t="inlineStr">
        <is>
          <t>水喷淋镀锌钢管DN25</t>
        </is>
      </c>
      <c r="K2387" s="70" t="n"/>
      <c r="L2387" s="70" t="n"/>
      <c r="M2387" s="71" t="inlineStr">
        <is>
          <t>米</t>
        </is>
      </c>
      <c r="N2387" s="72" t="n">
        <v>44</v>
      </c>
      <c r="O2387" s="72">
        <f>ROUND(N2387*(1+$F$10),2)</f>
        <v/>
      </c>
      <c r="P2387" s="73">
        <f>ROUND(K2387*N2387,2)</f>
        <v/>
      </c>
      <c r="Q2387" s="74">
        <f>ROUND(L2387*N2387,2)</f>
        <v/>
      </c>
      <c r="R2387" s="75" t="n"/>
      <c r="S2387" s="76" t="n"/>
      <c r="T2387" s="77">
        <f>K2387-L2387</f>
        <v/>
      </c>
      <c r="U2387" s="77">
        <f>P2387-Q2387</f>
        <v/>
      </c>
      <c r="V2387" s="77">
        <f>ABS(U2387)</f>
        <v/>
      </c>
      <c r="W2387" s="78">
        <f>T2387/L2387</f>
        <v/>
      </c>
      <c r="X2387" s="79">
        <f>ABS(W2387)</f>
        <v/>
      </c>
    </row>
    <row r="2388" ht="11.4" customHeight="1">
      <c r="A2388" s="67" t="inlineStr">
        <is>
          <t>大甜76</t>
        </is>
      </c>
      <c r="B2388" s="67" t="inlineStr">
        <is>
          <t>1074</t>
        </is>
      </c>
      <c r="C2388" s="67" t="inlineStr">
        <is>
          <t>1622</t>
        </is>
      </c>
      <c r="D2388" s="68" t="inlineStr">
        <is>
          <t>03</t>
        </is>
      </c>
      <c r="E2388" s="68" t="inlineStr">
        <is>
          <t>6 物业施工费</t>
        </is>
      </c>
      <c r="F2388" s="68" t="inlineStr">
        <is>
          <t>6.2 消防系统</t>
        </is>
      </c>
      <c r="G2388" s="68" t="inlineStr">
        <is>
          <t>消防工程</t>
        </is>
      </c>
      <c r="H2388" s="68" t="inlineStr">
        <is>
          <t>消防工程(水灭火系统)</t>
        </is>
      </c>
      <c r="I2388" s="69" t="inlineStr">
        <is>
          <t>1000040064</t>
        </is>
      </c>
      <c r="J2388" s="69" t="inlineStr">
        <is>
          <t>水喷淋镀锌钢管DN32</t>
        </is>
      </c>
      <c r="K2388" s="70" t="n"/>
      <c r="L2388" s="70" t="n"/>
      <c r="M2388" s="71" t="inlineStr">
        <is>
          <t>米</t>
        </is>
      </c>
      <c r="N2388" s="72" t="n">
        <v>55.86</v>
      </c>
      <c r="O2388" s="72">
        <f>ROUND(N2388*(1+$F$10),2)</f>
        <v/>
      </c>
      <c r="P2388" s="73">
        <f>ROUND(K2388*N2388,2)</f>
        <v/>
      </c>
      <c r="Q2388" s="74">
        <f>ROUND(L2388*N2388,2)</f>
        <v/>
      </c>
      <c r="R2388" s="75" t="n"/>
      <c r="S2388" s="76" t="n"/>
      <c r="T2388" s="77">
        <f>K2388-L2388</f>
        <v/>
      </c>
      <c r="U2388" s="77">
        <f>P2388-Q2388</f>
        <v/>
      </c>
      <c r="V2388" s="77">
        <f>ABS(U2388)</f>
        <v/>
      </c>
      <c r="W2388" s="78">
        <f>T2388/L2388</f>
        <v/>
      </c>
      <c r="X2388" s="79">
        <f>ABS(W2388)</f>
        <v/>
      </c>
    </row>
    <row r="2389" ht="11.4" customHeight="1">
      <c r="A2389" s="67" t="inlineStr">
        <is>
          <t>大甜76</t>
        </is>
      </c>
      <c r="B2389" s="67" t="inlineStr">
        <is>
          <t>1074</t>
        </is>
      </c>
      <c r="C2389" s="67" t="inlineStr">
        <is>
          <t>1622</t>
        </is>
      </c>
      <c r="D2389" s="68" t="inlineStr">
        <is>
          <t>03</t>
        </is>
      </c>
      <c r="E2389" s="68" t="inlineStr">
        <is>
          <t>6 物业施工费</t>
        </is>
      </c>
      <c r="F2389" s="68" t="inlineStr">
        <is>
          <t>6.2 消防系统</t>
        </is>
      </c>
      <c r="G2389" s="68" t="inlineStr">
        <is>
          <t>消防工程</t>
        </is>
      </c>
      <c r="H2389" s="68" t="inlineStr">
        <is>
          <t>消防工程(水灭火系统)</t>
        </is>
      </c>
      <c r="I2389" s="69" t="inlineStr">
        <is>
          <t>1000040065</t>
        </is>
      </c>
      <c r="J2389" s="69" t="inlineStr">
        <is>
          <t>水喷淋镀锌钢管DN40</t>
        </is>
      </c>
      <c r="K2389" s="70" t="n"/>
      <c r="L2389" s="70" t="n"/>
      <c r="M2389" s="71" t="inlineStr">
        <is>
          <t>米</t>
        </is>
      </c>
      <c r="N2389" s="72" t="n">
        <v>70.27</v>
      </c>
      <c r="O2389" s="72">
        <f>ROUND(N2389*(1+$F$10),2)</f>
        <v/>
      </c>
      <c r="P2389" s="73">
        <f>ROUND(K2389*N2389,2)</f>
        <v/>
      </c>
      <c r="Q2389" s="74">
        <f>ROUND(L2389*N2389,2)</f>
        <v/>
      </c>
      <c r="R2389" s="75" t="n"/>
      <c r="S2389" s="76" t="n"/>
      <c r="T2389" s="77">
        <f>K2389-L2389</f>
        <v/>
      </c>
      <c r="U2389" s="77">
        <f>P2389-Q2389</f>
        <v/>
      </c>
      <c r="V2389" s="77">
        <f>ABS(U2389)</f>
        <v/>
      </c>
      <c r="W2389" s="78">
        <f>T2389/L2389</f>
        <v/>
      </c>
      <c r="X2389" s="79">
        <f>ABS(W2389)</f>
        <v/>
      </c>
    </row>
    <row r="2390" ht="11.4" customHeight="1">
      <c r="A2390" s="67" t="inlineStr">
        <is>
          <t>大甜76</t>
        </is>
      </c>
      <c r="B2390" s="67" t="inlineStr">
        <is>
          <t>1074</t>
        </is>
      </c>
      <c r="C2390" s="67" t="inlineStr">
        <is>
          <t>1622</t>
        </is>
      </c>
      <c r="D2390" s="68" t="inlineStr">
        <is>
          <t>03</t>
        </is>
      </c>
      <c r="E2390" s="68" t="inlineStr">
        <is>
          <t>6 物业施工费</t>
        </is>
      </c>
      <c r="F2390" s="68" t="inlineStr">
        <is>
          <t>6.2 消防系统</t>
        </is>
      </c>
      <c r="G2390" s="68" t="inlineStr">
        <is>
          <t>消防工程</t>
        </is>
      </c>
      <c r="H2390" s="68" t="inlineStr">
        <is>
          <t>消防工程(水灭火系统)</t>
        </is>
      </c>
      <c r="I2390" s="69" t="inlineStr">
        <is>
          <t>1000040066</t>
        </is>
      </c>
      <c r="J2390" s="69" t="inlineStr">
        <is>
          <t>水喷淋镀锌钢管DN50</t>
        </is>
      </c>
      <c r="K2390" s="70" t="n"/>
      <c r="L2390" s="70" t="n"/>
      <c r="M2390" s="71" t="inlineStr">
        <is>
          <t>米</t>
        </is>
      </c>
      <c r="N2390" s="72" t="n">
        <v>101.8</v>
      </c>
      <c r="O2390" s="72">
        <f>ROUND(N2390*(1+$F$10),2)</f>
        <v/>
      </c>
      <c r="P2390" s="73">
        <f>ROUND(K2390*N2390,2)</f>
        <v/>
      </c>
      <c r="Q2390" s="74">
        <f>ROUND(L2390*N2390,2)</f>
        <v/>
      </c>
      <c r="R2390" s="75" t="n"/>
      <c r="S2390" s="76" t="n"/>
      <c r="T2390" s="77">
        <f>K2390-L2390</f>
        <v/>
      </c>
      <c r="U2390" s="77">
        <f>P2390-Q2390</f>
        <v/>
      </c>
      <c r="V2390" s="77">
        <f>ABS(U2390)</f>
        <v/>
      </c>
      <c r="W2390" s="78">
        <f>T2390/L2390</f>
        <v/>
      </c>
      <c r="X2390" s="79">
        <f>ABS(W2390)</f>
        <v/>
      </c>
    </row>
    <row r="2391" ht="11.4" customHeight="1">
      <c r="A2391" s="67" t="inlineStr">
        <is>
          <t>大甜76</t>
        </is>
      </c>
      <c r="B2391" s="67" t="inlineStr">
        <is>
          <t>1074</t>
        </is>
      </c>
      <c r="C2391" s="67" t="inlineStr">
        <is>
          <t>1622</t>
        </is>
      </c>
      <c r="D2391" s="68" t="inlineStr">
        <is>
          <t>03</t>
        </is>
      </c>
      <c r="E2391" s="68" t="inlineStr">
        <is>
          <t>6 物业施工费</t>
        </is>
      </c>
      <c r="F2391" s="68" t="inlineStr">
        <is>
          <t>6.2 消防系统</t>
        </is>
      </c>
      <c r="G2391" s="68" t="inlineStr">
        <is>
          <t>消防工程</t>
        </is>
      </c>
      <c r="H2391" s="68" t="inlineStr">
        <is>
          <t>消防工程(水灭火系统)</t>
        </is>
      </c>
      <c r="I2391" s="69" t="inlineStr">
        <is>
          <t>1000040067</t>
        </is>
      </c>
      <c r="J2391" s="69" t="inlineStr">
        <is>
          <t>水喷淋镀锌钢管DN70</t>
        </is>
      </c>
      <c r="K2391" s="70" t="n"/>
      <c r="L2391" s="70" t="n"/>
      <c r="M2391" s="71" t="inlineStr">
        <is>
          <t>米</t>
        </is>
      </c>
      <c r="N2391" s="72" t="n">
        <v>118.02</v>
      </c>
      <c r="O2391" s="72">
        <f>ROUND(N2391*(1+$F$10),2)</f>
        <v/>
      </c>
      <c r="P2391" s="73">
        <f>ROUND(K2391*N2391,2)</f>
        <v/>
      </c>
      <c r="Q2391" s="74">
        <f>ROUND(L2391*N2391,2)</f>
        <v/>
      </c>
      <c r="R2391" s="75" t="n"/>
      <c r="S2391" s="76" t="n"/>
      <c r="T2391" s="77">
        <f>K2391-L2391</f>
        <v/>
      </c>
      <c r="U2391" s="77">
        <f>P2391-Q2391</f>
        <v/>
      </c>
      <c r="V2391" s="77">
        <f>ABS(U2391)</f>
        <v/>
      </c>
      <c r="W2391" s="78">
        <f>T2391/L2391</f>
        <v/>
      </c>
      <c r="X2391" s="79">
        <f>ABS(W2391)</f>
        <v/>
      </c>
    </row>
    <row r="2392" ht="11.4" customHeight="1">
      <c r="A2392" s="67" t="inlineStr">
        <is>
          <t>大甜76</t>
        </is>
      </c>
      <c r="B2392" s="67" t="inlineStr">
        <is>
          <t>1074</t>
        </is>
      </c>
      <c r="C2392" s="67" t="inlineStr">
        <is>
          <t>1622</t>
        </is>
      </c>
      <c r="D2392" s="68" t="inlineStr">
        <is>
          <t>03</t>
        </is>
      </c>
      <c r="E2392" s="68" t="inlineStr">
        <is>
          <t>6 物业施工费</t>
        </is>
      </c>
      <c r="F2392" s="68" t="inlineStr">
        <is>
          <t>6.2 消防系统</t>
        </is>
      </c>
      <c r="G2392" s="68" t="inlineStr">
        <is>
          <t>消防工程</t>
        </is>
      </c>
      <c r="H2392" s="68" t="inlineStr">
        <is>
          <t>消防工程(水灭火系统)</t>
        </is>
      </c>
      <c r="I2392" s="69" t="inlineStr">
        <is>
          <t>1000040068</t>
        </is>
      </c>
      <c r="J2392" s="69" t="inlineStr">
        <is>
          <t>水喷淋镀锌钢管DN80</t>
        </is>
      </c>
      <c r="K2392" s="70" t="n"/>
      <c r="L2392" s="70" t="n"/>
      <c r="M2392" s="71" t="inlineStr">
        <is>
          <t>米</t>
        </is>
      </c>
      <c r="N2392" s="72" t="n">
        <v>136.04</v>
      </c>
      <c r="O2392" s="72">
        <f>ROUND(N2392*(1+$F$10),2)</f>
        <v/>
      </c>
      <c r="P2392" s="73">
        <f>ROUND(K2392*N2392,2)</f>
        <v/>
      </c>
      <c r="Q2392" s="74">
        <f>ROUND(L2392*N2392,2)</f>
        <v/>
      </c>
      <c r="R2392" s="75" t="n"/>
      <c r="S2392" s="76" t="n"/>
      <c r="T2392" s="77">
        <f>K2392-L2392</f>
        <v/>
      </c>
      <c r="U2392" s="77">
        <f>P2392-Q2392</f>
        <v/>
      </c>
      <c r="V2392" s="77">
        <f>ABS(U2392)</f>
        <v/>
      </c>
      <c r="W2392" s="78">
        <f>T2392/L2392</f>
        <v/>
      </c>
      <c r="X2392" s="79">
        <f>ABS(W2392)</f>
        <v/>
      </c>
    </row>
    <row r="2393" ht="11.4" customHeight="1">
      <c r="A2393" s="67" t="inlineStr">
        <is>
          <t>大甜76</t>
        </is>
      </c>
      <c r="B2393" s="67" t="inlineStr">
        <is>
          <t>1074</t>
        </is>
      </c>
      <c r="C2393" s="67" t="inlineStr">
        <is>
          <t>1622</t>
        </is>
      </c>
      <c r="D2393" s="68" t="inlineStr">
        <is>
          <t>03</t>
        </is>
      </c>
      <c r="E2393" s="68" t="inlineStr">
        <is>
          <t>6 物业施工费</t>
        </is>
      </c>
      <c r="F2393" s="68" t="inlineStr">
        <is>
          <t>6.2 消防系统</t>
        </is>
      </c>
      <c r="G2393" s="68" t="inlineStr">
        <is>
          <t>消防工程</t>
        </is>
      </c>
      <c r="H2393" s="68" t="inlineStr">
        <is>
          <t>消防工程(水灭火系统)</t>
        </is>
      </c>
      <c r="I2393" s="69" t="inlineStr">
        <is>
          <t>1000040080</t>
        </is>
      </c>
      <c r="J2393" s="69" t="inlineStr">
        <is>
          <t>水喷淋镀锌钢管DN100</t>
        </is>
      </c>
      <c r="K2393" s="70" t="n"/>
      <c r="L2393" s="70" t="n"/>
      <c r="M2393" s="71" t="inlineStr">
        <is>
          <t>米</t>
        </is>
      </c>
      <c r="N2393" s="72" t="n">
        <v>182.88</v>
      </c>
      <c r="O2393" s="72">
        <f>ROUND(N2393*(1+$F$10),2)</f>
        <v/>
      </c>
      <c r="P2393" s="73">
        <f>ROUND(K2393*N2393,2)</f>
        <v/>
      </c>
      <c r="Q2393" s="74">
        <f>ROUND(L2393*N2393,2)</f>
        <v/>
      </c>
      <c r="R2393" s="75" t="n"/>
      <c r="S2393" s="76" t="n"/>
      <c r="T2393" s="77">
        <f>K2393-L2393</f>
        <v/>
      </c>
      <c r="U2393" s="77">
        <f>P2393-Q2393</f>
        <v/>
      </c>
      <c r="V2393" s="77">
        <f>ABS(U2393)</f>
        <v/>
      </c>
      <c r="W2393" s="78">
        <f>T2393/L2393</f>
        <v/>
      </c>
      <c r="X2393" s="79">
        <f>ABS(W2393)</f>
        <v/>
      </c>
    </row>
    <row r="2394" ht="11.4" customHeight="1">
      <c r="A2394" s="67" t="inlineStr">
        <is>
          <t>大甜76</t>
        </is>
      </c>
      <c r="B2394" s="67" t="inlineStr">
        <is>
          <t>1074</t>
        </is>
      </c>
      <c r="C2394" s="67" t="inlineStr">
        <is>
          <t>1622</t>
        </is>
      </c>
      <c r="D2394" s="68" t="inlineStr">
        <is>
          <t>03</t>
        </is>
      </c>
      <c r="E2394" s="68" t="inlineStr">
        <is>
          <t>6 物业施工费</t>
        </is>
      </c>
      <c r="F2394" s="68" t="inlineStr">
        <is>
          <t>6.2 消防系统</t>
        </is>
      </c>
      <c r="G2394" s="68" t="inlineStr">
        <is>
          <t>消防工程</t>
        </is>
      </c>
      <c r="H2394" s="68" t="inlineStr">
        <is>
          <t>消防工程(水灭火系统)</t>
        </is>
      </c>
      <c r="I2394" s="69" t="inlineStr">
        <is>
          <t>1000040069</t>
        </is>
      </c>
      <c r="J2394" s="69" t="inlineStr">
        <is>
          <t>信号蝶阀DN80</t>
        </is>
      </c>
      <c r="K2394" s="70" t="n"/>
      <c r="L2394" s="70" t="n"/>
      <c r="M2394" s="71" t="inlineStr">
        <is>
          <t>个</t>
        </is>
      </c>
      <c r="N2394" s="72" t="n">
        <v>489.12</v>
      </c>
      <c r="O2394" s="72">
        <f>ROUND(N2394*(1+$F$10),2)</f>
        <v/>
      </c>
      <c r="P2394" s="73">
        <f>ROUND(K2394*N2394,2)</f>
        <v/>
      </c>
      <c r="Q2394" s="74">
        <f>ROUND(L2394*N2394,2)</f>
        <v/>
      </c>
      <c r="R2394" s="75" t="n"/>
      <c r="S2394" s="76" t="n"/>
      <c r="T2394" s="77">
        <f>K2394-L2394</f>
        <v/>
      </c>
      <c r="U2394" s="77">
        <f>P2394-Q2394</f>
        <v/>
      </c>
      <c r="V2394" s="77">
        <f>ABS(U2394)</f>
        <v/>
      </c>
      <c r="W2394" s="78">
        <f>T2394/L2394</f>
        <v/>
      </c>
      <c r="X2394" s="79">
        <f>ABS(W2394)</f>
        <v/>
      </c>
    </row>
    <row r="2395" ht="11.4" customHeight="1">
      <c r="A2395" s="67" t="inlineStr">
        <is>
          <t>大甜76</t>
        </is>
      </c>
      <c r="B2395" s="67" t="inlineStr">
        <is>
          <t>1074</t>
        </is>
      </c>
      <c r="C2395" s="67" t="inlineStr">
        <is>
          <t>1622</t>
        </is>
      </c>
      <c r="D2395" s="68" t="inlineStr">
        <is>
          <t>03</t>
        </is>
      </c>
      <c r="E2395" s="68" t="inlineStr">
        <is>
          <t>6 物业施工费</t>
        </is>
      </c>
      <c r="F2395" s="68" t="inlineStr">
        <is>
          <t>6.2 消防系统</t>
        </is>
      </c>
      <c r="G2395" s="68" t="inlineStr">
        <is>
          <t>消防工程</t>
        </is>
      </c>
      <c r="H2395" s="68" t="inlineStr">
        <is>
          <t>消防工程(水灭火系统)</t>
        </is>
      </c>
      <c r="I2395" s="69" t="inlineStr">
        <is>
          <t>1000040081</t>
        </is>
      </c>
      <c r="J2395" s="69" t="inlineStr">
        <is>
          <t>信号蝶阀DN100</t>
        </is>
      </c>
      <c r="K2395" s="70" t="n"/>
      <c r="L2395" s="70" t="n"/>
      <c r="M2395" s="71" t="inlineStr">
        <is>
          <t>个</t>
        </is>
      </c>
      <c r="N2395" s="72" t="n">
        <v>909.48</v>
      </c>
      <c r="O2395" s="72">
        <f>ROUND(N2395*(1+$F$10),2)</f>
        <v/>
      </c>
      <c r="P2395" s="73">
        <f>ROUND(K2395*N2395,2)</f>
        <v/>
      </c>
      <c r="Q2395" s="74">
        <f>ROUND(L2395*N2395,2)</f>
        <v/>
      </c>
      <c r="R2395" s="75" t="n"/>
      <c r="S2395" s="76" t="n"/>
      <c r="T2395" s="77">
        <f>K2395-L2395</f>
        <v/>
      </c>
      <c r="U2395" s="77">
        <f>P2395-Q2395</f>
        <v/>
      </c>
      <c r="V2395" s="77">
        <f>ABS(U2395)</f>
        <v/>
      </c>
      <c r="W2395" s="78">
        <f>T2395/L2395</f>
        <v/>
      </c>
      <c r="X2395" s="79">
        <f>ABS(W2395)</f>
        <v/>
      </c>
    </row>
    <row r="2396" ht="11.4" customHeight="1">
      <c r="A2396" s="67" t="inlineStr">
        <is>
          <t>大甜76</t>
        </is>
      </c>
      <c r="B2396" s="67" t="inlineStr">
        <is>
          <t>1074</t>
        </is>
      </c>
      <c r="C2396" s="67" t="inlineStr">
        <is>
          <t>1622</t>
        </is>
      </c>
      <c r="D2396" s="68" t="inlineStr">
        <is>
          <t>03</t>
        </is>
      </c>
      <c r="E2396" s="68" t="inlineStr">
        <is>
          <t>6 物业施工费</t>
        </is>
      </c>
      <c r="F2396" s="68" t="inlineStr">
        <is>
          <t>6.2 消防系统</t>
        </is>
      </c>
      <c r="G2396" s="68" t="inlineStr">
        <is>
          <t>消防工程</t>
        </is>
      </c>
      <c r="H2396" s="68" t="inlineStr">
        <is>
          <t>消防工程(水灭火系统)</t>
        </is>
      </c>
      <c r="I2396" s="69" t="inlineStr">
        <is>
          <t>1000040070</t>
        </is>
      </c>
      <c r="J2396" s="69" t="inlineStr">
        <is>
          <t>压力表</t>
        </is>
      </c>
      <c r="K2396" s="70" t="n"/>
      <c r="L2396" s="70" t="n"/>
      <c r="M2396" s="71" t="inlineStr">
        <is>
          <t>个</t>
        </is>
      </c>
      <c r="N2396" s="72" t="n">
        <v>240.54</v>
      </c>
      <c r="O2396" s="72">
        <f>ROUND(N2396*(1+$F$10),2)</f>
        <v/>
      </c>
      <c r="P2396" s="73">
        <f>ROUND(K2396*N2396,2)</f>
        <v/>
      </c>
      <c r="Q2396" s="74">
        <f>ROUND(L2396*N2396,2)</f>
        <v/>
      </c>
      <c r="R2396" s="75" t="n"/>
      <c r="S2396" s="76" t="n"/>
      <c r="T2396" s="77">
        <f>K2396-L2396</f>
        <v/>
      </c>
      <c r="U2396" s="77">
        <f>P2396-Q2396</f>
        <v/>
      </c>
      <c r="V2396" s="77">
        <f>ABS(U2396)</f>
        <v/>
      </c>
      <c r="W2396" s="78">
        <f>T2396/L2396</f>
        <v/>
      </c>
      <c r="X2396" s="79">
        <f>ABS(W2396)</f>
        <v/>
      </c>
    </row>
    <row r="2397" ht="11.4" customHeight="1">
      <c r="A2397" s="67" t="inlineStr">
        <is>
          <t>大甜76</t>
        </is>
      </c>
      <c r="B2397" s="67" t="inlineStr">
        <is>
          <t>1074</t>
        </is>
      </c>
      <c r="C2397" s="67" t="inlineStr">
        <is>
          <t>1622</t>
        </is>
      </c>
      <c r="D2397" s="68" t="inlineStr">
        <is>
          <t>03</t>
        </is>
      </c>
      <c r="E2397" s="68" t="inlineStr">
        <is>
          <t>6 物业施工费</t>
        </is>
      </c>
      <c r="F2397" s="68" t="inlineStr">
        <is>
          <t>6.2 消防系统</t>
        </is>
      </c>
      <c r="G2397" s="68" t="inlineStr">
        <is>
          <t>消防工程</t>
        </is>
      </c>
      <c r="H2397" s="68" t="inlineStr">
        <is>
          <t>消防工程(水灭火系统)</t>
        </is>
      </c>
      <c r="I2397" s="69" t="inlineStr">
        <is>
          <t>1000040071</t>
        </is>
      </c>
      <c r="J2397" s="69" t="inlineStr">
        <is>
          <t>自动排气阀DN25</t>
        </is>
      </c>
      <c r="K2397" s="70" t="n"/>
      <c r="L2397" s="70" t="n"/>
      <c r="M2397" s="71" t="inlineStr">
        <is>
          <t>个</t>
        </is>
      </c>
      <c r="N2397" s="72" t="n">
        <v>232.43</v>
      </c>
      <c r="O2397" s="72">
        <f>ROUND(N2397*(1+$F$10),2)</f>
        <v/>
      </c>
      <c r="P2397" s="73">
        <f>ROUND(K2397*N2397,2)</f>
        <v/>
      </c>
      <c r="Q2397" s="74">
        <f>ROUND(L2397*N2397,2)</f>
        <v/>
      </c>
      <c r="R2397" s="75" t="n"/>
      <c r="S2397" s="76" t="n"/>
      <c r="T2397" s="77">
        <f>K2397-L2397</f>
        <v/>
      </c>
      <c r="U2397" s="77">
        <f>P2397-Q2397</f>
        <v/>
      </c>
      <c r="V2397" s="77">
        <f>ABS(U2397)</f>
        <v/>
      </c>
      <c r="W2397" s="78">
        <f>T2397/L2397</f>
        <v/>
      </c>
      <c r="X2397" s="79">
        <f>ABS(W2397)</f>
        <v/>
      </c>
    </row>
    <row r="2398" ht="11.4" customHeight="1">
      <c r="A2398" s="67" t="inlineStr">
        <is>
          <t>大甜76</t>
        </is>
      </c>
      <c r="B2398" s="67" t="inlineStr">
        <is>
          <t>1074</t>
        </is>
      </c>
      <c r="C2398" s="67" t="inlineStr">
        <is>
          <t>1622</t>
        </is>
      </c>
      <c r="D2398" s="68" t="inlineStr">
        <is>
          <t>03</t>
        </is>
      </c>
      <c r="E2398" s="68" t="inlineStr">
        <is>
          <t>6 物业施工费</t>
        </is>
      </c>
      <c r="F2398" s="68" t="inlineStr">
        <is>
          <t>6.2 消防系统</t>
        </is>
      </c>
      <c r="G2398" s="68" t="inlineStr">
        <is>
          <t>消防工程</t>
        </is>
      </c>
      <c r="H2398" s="68" t="inlineStr">
        <is>
          <t>消防工程(水灭火系统)</t>
        </is>
      </c>
      <c r="I2398" s="69" t="inlineStr">
        <is>
          <t>1000040072</t>
        </is>
      </c>
      <c r="J2398" s="69" t="inlineStr">
        <is>
          <t>湿式报警阀DN80</t>
        </is>
      </c>
      <c r="K2398" s="70" t="n"/>
      <c r="L2398" s="70" t="n"/>
      <c r="M2398" s="71" t="inlineStr">
        <is>
          <t>个</t>
        </is>
      </c>
      <c r="N2398" s="72" t="n">
        <v>2829.18</v>
      </c>
      <c r="O2398" s="72">
        <f>ROUND(N2398*(1+$F$10),2)</f>
        <v/>
      </c>
      <c r="P2398" s="73">
        <f>ROUND(K2398*N2398,2)</f>
        <v/>
      </c>
      <c r="Q2398" s="74">
        <f>ROUND(L2398*N2398,2)</f>
        <v/>
      </c>
      <c r="R2398" s="75" t="n"/>
      <c r="S2398" s="76" t="n"/>
      <c r="T2398" s="77">
        <f>K2398-L2398</f>
        <v/>
      </c>
      <c r="U2398" s="77">
        <f>P2398-Q2398</f>
        <v/>
      </c>
      <c r="V2398" s="77">
        <f>ABS(U2398)</f>
        <v/>
      </c>
      <c r="W2398" s="78">
        <f>T2398/L2398</f>
        <v/>
      </c>
      <c r="X2398" s="79">
        <f>ABS(W2398)</f>
        <v/>
      </c>
    </row>
    <row r="2399" ht="11.4" customHeight="1">
      <c r="A2399" s="67" t="inlineStr">
        <is>
          <t>大甜76</t>
        </is>
      </c>
      <c r="B2399" s="67" t="inlineStr">
        <is>
          <t>1074</t>
        </is>
      </c>
      <c r="C2399" s="67" t="inlineStr">
        <is>
          <t>1622</t>
        </is>
      </c>
      <c r="D2399" s="68" t="inlineStr">
        <is>
          <t>03</t>
        </is>
      </c>
      <c r="E2399" s="68" t="inlineStr">
        <is>
          <t>6 物业施工费</t>
        </is>
      </c>
      <c r="F2399" s="68" t="inlineStr">
        <is>
          <t>6.2 消防系统</t>
        </is>
      </c>
      <c r="G2399" s="68" t="inlineStr">
        <is>
          <t>消防工程</t>
        </is>
      </c>
      <c r="H2399" s="68" t="inlineStr">
        <is>
          <t>消防工程(水灭火系统)</t>
        </is>
      </c>
      <c r="I2399" s="69" t="inlineStr">
        <is>
          <t>1000040073</t>
        </is>
      </c>
      <c r="J2399" s="69" t="inlineStr">
        <is>
          <t>水流指示器DN80</t>
        </is>
      </c>
      <c r="K2399" s="70" t="n"/>
      <c r="L2399" s="70" t="n"/>
      <c r="M2399" s="71" t="inlineStr">
        <is>
          <t>个</t>
        </is>
      </c>
      <c r="N2399" s="72" t="n">
        <v>750.1900000000001</v>
      </c>
      <c r="O2399" s="72">
        <f>ROUND(N2399*(1+$F$10),2)</f>
        <v/>
      </c>
      <c r="P2399" s="73">
        <f>ROUND(K2399*N2399,2)</f>
        <v/>
      </c>
      <c r="Q2399" s="74">
        <f>ROUND(L2399*N2399,2)</f>
        <v/>
      </c>
      <c r="R2399" s="75" t="n"/>
      <c r="S2399" s="76" t="n"/>
      <c r="T2399" s="77">
        <f>K2399-L2399</f>
        <v/>
      </c>
      <c r="U2399" s="77">
        <f>P2399-Q2399</f>
        <v/>
      </c>
      <c r="V2399" s="77">
        <f>ABS(U2399)</f>
        <v/>
      </c>
      <c r="W2399" s="78">
        <f>T2399/L2399</f>
        <v/>
      </c>
      <c r="X2399" s="79">
        <f>ABS(W2399)</f>
        <v/>
      </c>
    </row>
    <row r="2400" ht="11.4" customHeight="1">
      <c r="A2400" s="67" t="inlineStr">
        <is>
          <t>大甜76</t>
        </is>
      </c>
      <c r="B2400" s="67" t="inlineStr">
        <is>
          <t>1074</t>
        </is>
      </c>
      <c r="C2400" s="67" t="inlineStr">
        <is>
          <t>1622</t>
        </is>
      </c>
      <c r="D2400" s="68" t="inlineStr">
        <is>
          <t>03</t>
        </is>
      </c>
      <c r="E2400" s="68" t="inlineStr">
        <is>
          <t>6 物业施工费</t>
        </is>
      </c>
      <c r="F2400" s="68" t="inlineStr">
        <is>
          <t>6.2 消防系统</t>
        </is>
      </c>
      <c r="G2400" s="68" t="inlineStr">
        <is>
          <t>消防工程</t>
        </is>
      </c>
      <c r="H2400" s="68" t="inlineStr">
        <is>
          <t>消防工程(水灭火系统)</t>
        </is>
      </c>
      <c r="I2400" s="69" t="inlineStr">
        <is>
          <t>1000040074</t>
        </is>
      </c>
      <c r="J2400" s="69" t="inlineStr">
        <is>
          <t>末端试水装置DN25</t>
        </is>
      </c>
      <c r="K2400" s="70" t="n"/>
      <c r="L2400" s="70" t="n"/>
      <c r="M2400" s="71" t="inlineStr">
        <is>
          <t>个</t>
        </is>
      </c>
      <c r="N2400" s="72" t="n">
        <v>579.08</v>
      </c>
      <c r="O2400" s="72">
        <f>ROUND(N2400*(1+$F$10),2)</f>
        <v/>
      </c>
      <c r="P2400" s="73">
        <f>ROUND(K2400*N2400,2)</f>
        <v/>
      </c>
      <c r="Q2400" s="74">
        <f>ROUND(L2400*N2400,2)</f>
        <v/>
      </c>
      <c r="R2400" s="75" t="n"/>
      <c r="S2400" s="76" t="n"/>
      <c r="T2400" s="77">
        <f>K2400-L2400</f>
        <v/>
      </c>
      <c r="U2400" s="77">
        <f>P2400-Q2400</f>
        <v/>
      </c>
      <c r="V2400" s="77">
        <f>ABS(U2400)</f>
        <v/>
      </c>
      <c r="W2400" s="78">
        <f>T2400/L2400</f>
        <v/>
      </c>
      <c r="X2400" s="79">
        <f>ABS(W2400)</f>
        <v/>
      </c>
    </row>
    <row r="2401" ht="11.4" customHeight="1">
      <c r="A2401" s="67" t="inlineStr">
        <is>
          <t>大甜76</t>
        </is>
      </c>
      <c r="B2401" s="67" t="inlineStr">
        <is>
          <t>1074</t>
        </is>
      </c>
      <c r="C2401" s="67" t="inlineStr">
        <is>
          <t>1622</t>
        </is>
      </c>
      <c r="D2401" s="68" t="inlineStr">
        <is>
          <t>03</t>
        </is>
      </c>
      <c r="E2401" s="68" t="inlineStr">
        <is>
          <t>6 物业施工费</t>
        </is>
      </c>
      <c r="F2401" s="68" t="inlineStr">
        <is>
          <t>6.2 消防系统</t>
        </is>
      </c>
      <c r="G2401" s="68" t="inlineStr">
        <is>
          <t>消防工程</t>
        </is>
      </c>
      <c r="H2401" s="68" t="inlineStr">
        <is>
          <t>消防工程(消防栓系统)</t>
        </is>
      </c>
      <c r="I2401" s="69" t="inlineStr">
        <is>
          <t>1000040075</t>
        </is>
      </c>
      <c r="J2401" s="69" t="inlineStr">
        <is>
          <t>水灭火系统控制装置调试</t>
        </is>
      </c>
      <c r="K2401" s="70" t="n"/>
      <c r="L2401" s="70" t="n"/>
      <c r="M2401" s="71" t="inlineStr">
        <is>
          <t>系统</t>
        </is>
      </c>
      <c r="N2401" s="72" t="n">
        <v>2654.05</v>
      </c>
      <c r="O2401" s="72">
        <f>ROUND(N2401*(1+$F$10),2)</f>
        <v/>
      </c>
      <c r="P2401" s="73">
        <f>ROUND(K2401*N2401,2)</f>
        <v/>
      </c>
      <c r="Q2401" s="74">
        <f>ROUND(L2401*N2401,2)</f>
        <v/>
      </c>
      <c r="R2401" s="75" t="n"/>
      <c r="S2401" s="76" t="n"/>
      <c r="T2401" s="77">
        <f>K2401-L2401</f>
        <v/>
      </c>
      <c r="U2401" s="77">
        <f>P2401-Q2401</f>
        <v/>
      </c>
      <c r="V2401" s="77">
        <f>ABS(U2401)</f>
        <v/>
      </c>
      <c r="W2401" s="78">
        <f>T2401/L2401</f>
        <v/>
      </c>
      <c r="X2401" s="79">
        <f>ABS(W2401)</f>
        <v/>
      </c>
    </row>
    <row r="2402" ht="11.4" customHeight="1">
      <c r="A2402" s="67" t="inlineStr">
        <is>
          <t>大甜76</t>
        </is>
      </c>
      <c r="B2402" s="67" t="inlineStr">
        <is>
          <t>1074</t>
        </is>
      </c>
      <c r="C2402" s="67" t="inlineStr">
        <is>
          <t>1622</t>
        </is>
      </c>
      <c r="D2402" s="68" t="inlineStr">
        <is>
          <t>03</t>
        </is>
      </c>
      <c r="E2402" s="68" t="inlineStr">
        <is>
          <t>6 物业施工费</t>
        </is>
      </c>
      <c r="F2402" s="68" t="inlineStr">
        <is>
          <t>6.2 消防系统</t>
        </is>
      </c>
      <c r="G2402" s="68" t="inlineStr">
        <is>
          <t>消防工程</t>
        </is>
      </c>
      <c r="H2402" s="68" t="inlineStr">
        <is>
          <t>消防工程(消防栓系统)</t>
        </is>
      </c>
      <c r="I2402" s="69" t="inlineStr">
        <is>
          <t>1000040076</t>
        </is>
      </c>
      <c r="J2402" s="69" t="inlineStr">
        <is>
          <t>管网水冲洗</t>
        </is>
      </c>
      <c r="K2402" s="70" t="n"/>
      <c r="L2402" s="70" t="n"/>
      <c r="M2402" s="71" t="inlineStr">
        <is>
          <t>项</t>
        </is>
      </c>
      <c r="N2402" s="72" t="n">
        <v>689.3</v>
      </c>
      <c r="O2402" s="72">
        <f>ROUND(N2402*(1+$F$10),2)</f>
        <v/>
      </c>
      <c r="P2402" s="73">
        <f>ROUND(K2402*N2402,2)</f>
        <v/>
      </c>
      <c r="Q2402" s="74">
        <f>ROUND(L2402*N2402,2)</f>
        <v/>
      </c>
      <c r="R2402" s="75" t="n"/>
      <c r="S2402" s="76" t="n"/>
      <c r="T2402" s="77">
        <f>K2402-L2402</f>
        <v/>
      </c>
      <c r="U2402" s="77">
        <f>P2402-Q2402</f>
        <v/>
      </c>
      <c r="V2402" s="77">
        <f>ABS(U2402)</f>
        <v/>
      </c>
      <c r="W2402" s="78">
        <f>T2402/L2402</f>
        <v/>
      </c>
      <c r="X2402" s="79">
        <f>ABS(W2402)</f>
        <v/>
      </c>
    </row>
    <row r="2403" ht="11.4" customHeight="1">
      <c r="A2403" s="67" t="inlineStr">
        <is>
          <t>大甜76</t>
        </is>
      </c>
      <c r="B2403" s="67" t="inlineStr">
        <is>
          <t>1074</t>
        </is>
      </c>
      <c r="C2403" s="67" t="inlineStr">
        <is>
          <t>1622</t>
        </is>
      </c>
      <c r="D2403" s="68" t="inlineStr">
        <is>
          <t>03</t>
        </is>
      </c>
      <c r="E2403" s="68" t="inlineStr">
        <is>
          <t>6 物业施工费</t>
        </is>
      </c>
      <c r="F2403" s="68" t="inlineStr">
        <is>
          <t>6.2 消防系统</t>
        </is>
      </c>
      <c r="G2403" s="68" t="inlineStr">
        <is>
          <t>消防工程</t>
        </is>
      </c>
      <c r="H2403" s="68" t="inlineStr">
        <is>
          <t>消防工程(消防栓系统)</t>
        </is>
      </c>
      <c r="I2403" s="69" t="inlineStr">
        <is>
          <t>1000040077</t>
        </is>
      </c>
      <c r="J2403" s="69" t="inlineStr">
        <is>
          <t>3KG2具装ABC干粉灭火器</t>
        </is>
      </c>
      <c r="K2403" s="70" t="n"/>
      <c r="L2403" s="70" t="n"/>
      <c r="M2403" s="71" t="inlineStr">
        <is>
          <t>套</t>
        </is>
      </c>
      <c r="N2403" s="72" t="n">
        <v>99.97</v>
      </c>
      <c r="O2403" s="72">
        <f>ROUND(N2403*(1+$F$10),2)</f>
        <v/>
      </c>
      <c r="P2403" s="73">
        <f>ROUND(K2403*N2403,2)</f>
        <v/>
      </c>
      <c r="Q2403" s="74">
        <f>ROUND(L2403*N2403,2)</f>
        <v/>
      </c>
      <c r="R2403" s="75" t="n"/>
      <c r="S2403" s="76" t="n"/>
      <c r="T2403" s="77">
        <f>K2403-L2403</f>
        <v/>
      </c>
      <c r="U2403" s="77">
        <f>P2403-Q2403</f>
        <v/>
      </c>
      <c r="V2403" s="77">
        <f>ABS(U2403)</f>
        <v/>
      </c>
      <c r="W2403" s="78">
        <f>T2403/L2403</f>
        <v/>
      </c>
      <c r="X2403" s="79">
        <f>ABS(W2403)</f>
        <v/>
      </c>
    </row>
    <row r="2404" ht="11.4" customHeight="1">
      <c r="A2404" s="67" t="inlineStr">
        <is>
          <t>大甜76</t>
        </is>
      </c>
      <c r="B2404" s="67" t="inlineStr">
        <is>
          <t>1074</t>
        </is>
      </c>
      <c r="C2404" s="67" t="inlineStr">
        <is>
          <t>1622</t>
        </is>
      </c>
      <c r="D2404" s="68" t="inlineStr">
        <is>
          <t>03</t>
        </is>
      </c>
      <c r="E2404" s="68" t="inlineStr">
        <is>
          <t>6 物业施工费</t>
        </is>
      </c>
      <c r="F2404" s="68" t="inlineStr">
        <is>
          <t>6.2 消防系统</t>
        </is>
      </c>
      <c r="G2404" s="68" t="inlineStr">
        <is>
          <t>消防工程</t>
        </is>
      </c>
      <c r="H2404" s="68" t="inlineStr">
        <is>
          <t>消防工程(消防栓系统)</t>
        </is>
      </c>
      <c r="I2404" s="69" t="inlineStr">
        <is>
          <t>1000040078</t>
        </is>
      </c>
      <c r="J2404" s="69" t="inlineStr">
        <is>
          <t>消火栓</t>
        </is>
      </c>
      <c r="K2404" s="70" t="n"/>
      <c r="L2404" s="70" t="n"/>
      <c r="M2404" s="71" t="inlineStr">
        <is>
          <t>套</t>
        </is>
      </c>
      <c r="N2404" s="72" t="n">
        <v>144.14</v>
      </c>
      <c r="O2404" s="72">
        <f>ROUND(N2404*(1+$F$10),2)</f>
        <v/>
      </c>
      <c r="P2404" s="73">
        <f>ROUND(K2404*N2404,2)</f>
        <v/>
      </c>
      <c r="Q2404" s="74">
        <f>ROUND(L2404*N2404,2)</f>
        <v/>
      </c>
      <c r="R2404" s="75" t="n"/>
      <c r="S2404" s="76" t="n"/>
      <c r="T2404" s="77">
        <f>K2404-L2404</f>
        <v/>
      </c>
      <c r="U2404" s="77">
        <f>P2404-Q2404</f>
        <v/>
      </c>
      <c r="V2404" s="77">
        <f>ABS(U2404)</f>
        <v/>
      </c>
      <c r="W2404" s="78">
        <f>T2404/L2404</f>
        <v/>
      </c>
      <c r="X2404" s="79">
        <f>ABS(W2404)</f>
        <v/>
      </c>
    </row>
    <row r="2405" ht="11.4" customHeight="1">
      <c r="A2405" s="67" t="inlineStr">
        <is>
          <t>大甜76</t>
        </is>
      </c>
      <c r="B2405" s="67" t="inlineStr">
        <is>
          <t>1074</t>
        </is>
      </c>
      <c r="C2405" s="67" t="inlineStr">
        <is>
          <t>1622</t>
        </is>
      </c>
      <c r="D2405" s="68" t="inlineStr">
        <is>
          <t>03</t>
        </is>
      </c>
      <c r="E2405" s="68" t="inlineStr">
        <is>
          <t>6 物业施工费</t>
        </is>
      </c>
      <c r="F2405" s="68" t="inlineStr">
        <is>
          <t>6.2 消防系统</t>
        </is>
      </c>
      <c r="G2405" s="68" t="inlineStr">
        <is>
          <t>消防工程</t>
        </is>
      </c>
      <c r="H2405" s="68" t="inlineStr">
        <is>
          <t>消防工程(消防栓系统)</t>
        </is>
      </c>
      <c r="I2405" s="69" t="inlineStr">
        <is>
          <t>1000040079</t>
        </is>
      </c>
      <c r="J2405" s="69" t="inlineStr">
        <is>
          <t>消火栓箱</t>
        </is>
      </c>
      <c r="K2405" s="70" t="n"/>
      <c r="L2405" s="70" t="n"/>
      <c r="M2405" s="71" t="inlineStr">
        <is>
          <t>套</t>
        </is>
      </c>
      <c r="N2405" s="72" t="n">
        <v>1375.89</v>
      </c>
      <c r="O2405" s="72">
        <f>ROUND(N2405*(1+$F$10),2)</f>
        <v/>
      </c>
      <c r="P2405" s="73">
        <f>ROUND(K2405*N2405,2)</f>
        <v/>
      </c>
      <c r="Q2405" s="74">
        <f>ROUND(L2405*N2405,2)</f>
        <v/>
      </c>
      <c r="R2405" s="75" t="n"/>
      <c r="S2405" s="76" t="n"/>
      <c r="T2405" s="77">
        <f>K2405-L2405</f>
        <v/>
      </c>
      <c r="U2405" s="77">
        <f>P2405-Q2405</f>
        <v/>
      </c>
      <c r="V2405" s="77">
        <f>ABS(U2405)</f>
        <v/>
      </c>
      <c r="W2405" s="78">
        <f>T2405/L2405</f>
        <v/>
      </c>
      <c r="X2405" s="79">
        <f>ABS(W2405)</f>
        <v/>
      </c>
    </row>
    <row r="2406" ht="11.4" customHeight="1">
      <c r="A2406" s="67" t="inlineStr">
        <is>
          <t>大甜76</t>
        </is>
      </c>
      <c r="B2406" s="67" t="inlineStr">
        <is>
          <t>1074</t>
        </is>
      </c>
      <c r="C2406" s="67" t="inlineStr">
        <is>
          <t>1622</t>
        </is>
      </c>
      <c r="D2406" s="68" t="inlineStr">
        <is>
          <t>03</t>
        </is>
      </c>
      <c r="E2406" s="68" t="inlineStr">
        <is>
          <t>6 物业施工费</t>
        </is>
      </c>
      <c r="F2406" s="68" t="inlineStr">
        <is>
          <t>6.2 消防系统</t>
        </is>
      </c>
      <c r="G2406" s="68" t="inlineStr">
        <is>
          <t>消防工程</t>
        </is>
      </c>
      <c r="H2406" s="68" t="inlineStr">
        <is>
          <t>消防工程(消防栓系统)</t>
        </is>
      </c>
      <c r="I2406" s="69" t="inlineStr">
        <is>
          <t>1000040082</t>
        </is>
      </c>
      <c r="J2406" s="69" t="inlineStr">
        <is>
          <t>消防水泵接合器</t>
        </is>
      </c>
      <c r="K2406" s="70" t="n"/>
      <c r="L2406" s="70" t="n"/>
      <c r="M2406" s="71" t="inlineStr">
        <is>
          <t>个</t>
        </is>
      </c>
      <c r="N2406" s="72" t="n">
        <v>1294.59</v>
      </c>
      <c r="O2406" s="72">
        <f>ROUND(N2406*(1+$F$10),2)</f>
        <v/>
      </c>
      <c r="P2406" s="73">
        <f>ROUND(K2406*N2406,2)</f>
        <v/>
      </c>
      <c r="Q2406" s="74">
        <f>ROUND(L2406*N2406,2)</f>
        <v/>
      </c>
      <c r="R2406" s="75" t="n"/>
      <c r="S2406" s="76" t="n"/>
      <c r="T2406" s="77">
        <f>K2406-L2406</f>
        <v/>
      </c>
      <c r="U2406" s="77">
        <f>P2406-Q2406</f>
        <v/>
      </c>
      <c r="V2406" s="77">
        <f>ABS(U2406)</f>
        <v/>
      </c>
      <c r="W2406" s="78">
        <f>T2406/L2406</f>
        <v/>
      </c>
      <c r="X2406" s="79">
        <f>ABS(W2406)</f>
        <v/>
      </c>
    </row>
    <row r="2407" ht="11.4" customHeight="1">
      <c r="A2407" s="67" t="inlineStr">
        <is>
          <t>大甜77</t>
        </is>
      </c>
      <c r="B2407" s="67" t="inlineStr">
        <is>
          <t>1075</t>
        </is>
      </c>
      <c r="C2407" s="67" t="inlineStr">
        <is>
          <t>1623</t>
        </is>
      </c>
      <c r="D2407" s="68" t="inlineStr">
        <is>
          <t>03</t>
        </is>
      </c>
      <c r="E2407" s="68" t="inlineStr">
        <is>
          <t>6 物业施工费</t>
        </is>
      </c>
      <c r="F2407" s="68" t="inlineStr">
        <is>
          <t>6.2 消防系统</t>
        </is>
      </c>
      <c r="G2407" s="68" t="inlineStr">
        <is>
          <t>消防工程</t>
        </is>
      </c>
      <c r="H2407" s="68" t="inlineStr">
        <is>
          <t>消防排烟系统</t>
        </is>
      </c>
      <c r="I2407" s="69" t="inlineStr">
        <is>
          <t>1000022041</t>
        </is>
      </c>
      <c r="J2407" s="69" t="inlineStr">
        <is>
          <t>消防强排烟风口</t>
        </is>
      </c>
      <c r="K2407" s="70" t="n"/>
      <c r="L2407" s="70" t="n"/>
      <c r="M2407" s="71" t="inlineStr">
        <is>
          <t>只</t>
        </is>
      </c>
      <c r="N2407" s="72" t="n">
        <v>517.6</v>
      </c>
      <c r="O2407" s="72">
        <f>ROUND(N2407*(1+$F$10),2)</f>
        <v/>
      </c>
      <c r="P2407" s="73">
        <f>ROUND(K2407*N2407,2)</f>
        <v/>
      </c>
      <c r="Q2407" s="74">
        <f>ROUND(L2407*N2407,2)</f>
        <v/>
      </c>
      <c r="R2407" s="75" t="n"/>
      <c r="S2407" s="76" t="n"/>
      <c r="T2407" s="77">
        <f>K2407-L2407</f>
        <v/>
      </c>
      <c r="U2407" s="77">
        <f>P2407-Q2407</f>
        <v/>
      </c>
      <c r="V2407" s="77">
        <f>ABS(U2407)</f>
        <v/>
      </c>
      <c r="W2407" s="78">
        <f>T2407/L2407</f>
        <v/>
      </c>
      <c r="X2407" s="79">
        <f>ABS(W2407)</f>
        <v/>
      </c>
    </row>
    <row r="2408" ht="11.4" customHeight="1">
      <c r="A2408" s="67" t="inlineStr">
        <is>
          <t>大甜77</t>
        </is>
      </c>
      <c r="B2408" s="67" t="inlineStr">
        <is>
          <t>1075</t>
        </is>
      </c>
      <c r="C2408" s="67" t="inlineStr">
        <is>
          <t>1623</t>
        </is>
      </c>
      <c r="D2408" s="68" t="inlineStr">
        <is>
          <t>03</t>
        </is>
      </c>
      <c r="E2408" s="68" t="inlineStr">
        <is>
          <t>6 物业施工费</t>
        </is>
      </c>
      <c r="F2408" s="68" t="inlineStr">
        <is>
          <t>6.2 消防系统</t>
        </is>
      </c>
      <c r="G2408" s="68" t="inlineStr">
        <is>
          <t>消防工程</t>
        </is>
      </c>
      <c r="H2408" s="68" t="inlineStr">
        <is>
          <t>消防排烟系统</t>
        </is>
      </c>
      <c r="I2408" s="69" t="inlineStr">
        <is>
          <t>1000022042</t>
        </is>
      </c>
      <c r="J2408" s="69" t="inlineStr">
        <is>
          <t>消防强排烟防火阀</t>
        </is>
      </c>
      <c r="K2408" s="70" t="n"/>
      <c r="L2408" s="70" t="n"/>
      <c r="M2408" s="71" t="inlineStr">
        <is>
          <t>只</t>
        </is>
      </c>
      <c r="N2408" s="72" t="n">
        <v>624.3</v>
      </c>
      <c r="O2408" s="72">
        <f>ROUND(N2408*(1+$F$10),2)</f>
        <v/>
      </c>
      <c r="P2408" s="73">
        <f>ROUND(K2408*N2408,2)</f>
        <v/>
      </c>
      <c r="Q2408" s="74">
        <f>ROUND(L2408*N2408,2)</f>
        <v/>
      </c>
      <c r="R2408" s="75" t="n"/>
      <c r="S2408" s="76" t="n"/>
      <c r="T2408" s="77">
        <f>K2408-L2408</f>
        <v/>
      </c>
      <c r="U2408" s="77">
        <f>P2408-Q2408</f>
        <v/>
      </c>
      <c r="V2408" s="77">
        <f>ABS(U2408)</f>
        <v/>
      </c>
      <c r="W2408" s="78">
        <f>T2408/L2408</f>
        <v/>
      </c>
      <c r="X2408" s="79">
        <f>ABS(W2408)</f>
        <v/>
      </c>
    </row>
    <row r="2409" ht="11.4" customHeight="1">
      <c r="A2409" s="67" t="inlineStr">
        <is>
          <t>大甜77</t>
        </is>
      </c>
      <c r="B2409" s="67" t="inlineStr">
        <is>
          <t>1075</t>
        </is>
      </c>
      <c r="C2409" s="67" t="inlineStr">
        <is>
          <t>1623</t>
        </is>
      </c>
      <c r="D2409" s="68" t="inlineStr">
        <is>
          <t>03</t>
        </is>
      </c>
      <c r="E2409" s="68" t="inlineStr">
        <is>
          <t>6 物业施工费</t>
        </is>
      </c>
      <c r="F2409" s="68" t="inlineStr">
        <is>
          <t>6.2 消防系统</t>
        </is>
      </c>
      <c r="G2409" s="68" t="inlineStr">
        <is>
          <t>消防工程</t>
        </is>
      </c>
      <c r="H2409" s="68" t="inlineStr">
        <is>
          <t>消防排烟系统</t>
        </is>
      </c>
      <c r="I2409" s="69" t="inlineStr">
        <is>
          <t>1000022043</t>
        </is>
      </c>
      <c r="J2409" s="69" t="inlineStr">
        <is>
          <t>强排烟管道</t>
        </is>
      </c>
      <c r="K2409" s="70" t="n"/>
      <c r="L2409" s="70" t="n"/>
      <c r="M2409" s="71" t="inlineStr">
        <is>
          <t>m2</t>
        </is>
      </c>
      <c r="N2409" s="72" t="n">
        <v>219.99</v>
      </c>
      <c r="O2409" s="72">
        <f>ROUND(N2409*(1+$F$10),2)</f>
        <v/>
      </c>
      <c r="P2409" s="73">
        <f>ROUND(K2409*N2409,2)</f>
        <v/>
      </c>
      <c r="Q2409" s="74">
        <f>ROUND(L2409*N2409,2)</f>
        <v/>
      </c>
      <c r="R2409" s="75" t="n"/>
      <c r="S2409" s="76" t="n"/>
      <c r="T2409" s="77">
        <f>K2409-L2409</f>
        <v/>
      </c>
      <c r="U2409" s="77">
        <f>P2409-Q2409</f>
        <v/>
      </c>
      <c r="V2409" s="77">
        <f>ABS(U2409)</f>
        <v/>
      </c>
      <c r="W2409" s="78">
        <f>T2409/L2409</f>
        <v/>
      </c>
      <c r="X2409" s="79">
        <f>ABS(W2409)</f>
        <v/>
      </c>
    </row>
    <row r="2410" ht="11.4" customHeight="1">
      <c r="A2410" s="67" t="inlineStr">
        <is>
          <t>大甜77</t>
        </is>
      </c>
      <c r="B2410" s="67" t="inlineStr">
        <is>
          <t>1075</t>
        </is>
      </c>
      <c r="C2410" s="67" t="inlineStr">
        <is>
          <t>1623</t>
        </is>
      </c>
      <c r="D2410" s="68" t="inlineStr">
        <is>
          <t>03</t>
        </is>
      </c>
      <c r="E2410" s="68" t="inlineStr">
        <is>
          <t>6 物业施工费</t>
        </is>
      </c>
      <c r="F2410" s="68" t="inlineStr">
        <is>
          <t>6.2 消防系统</t>
        </is>
      </c>
      <c r="G2410" s="68" t="inlineStr">
        <is>
          <t>消防工程</t>
        </is>
      </c>
      <c r="H2410" s="68" t="inlineStr">
        <is>
          <t>消防排烟系统</t>
        </is>
      </c>
      <c r="I2410" s="69" t="inlineStr">
        <is>
          <t>1000040116</t>
        </is>
      </c>
      <c r="J2410" s="69" t="inlineStr">
        <is>
          <t>强排烟风机系统</t>
        </is>
      </c>
      <c r="K2410" s="70" t="n"/>
      <c r="L2410" s="70" t="n"/>
      <c r="M2410" s="71" t="inlineStr">
        <is>
          <t>台</t>
        </is>
      </c>
      <c r="N2410" s="72" t="n"/>
      <c r="O2410" s="72">
        <f>ROUND(N2410*(1+$F$10),2)</f>
        <v/>
      </c>
      <c r="P2410" s="73">
        <f>ROUND(K2410*N2410,2)</f>
        <v/>
      </c>
      <c r="Q2410" s="74">
        <f>ROUND(L2410*N2410,2)</f>
        <v/>
      </c>
      <c r="R2410" s="75" t="n"/>
      <c r="S2410" s="76" t="n"/>
      <c r="T2410" s="77">
        <f>K2410-L2410</f>
        <v/>
      </c>
      <c r="U2410" s="77">
        <f>P2410-Q2410</f>
        <v/>
      </c>
      <c r="V2410" s="77">
        <f>ABS(U2410)</f>
        <v/>
      </c>
      <c r="W2410" s="78">
        <f>T2410/L2410</f>
        <v/>
      </c>
      <c r="X2410" s="79">
        <f>ABS(W2410)</f>
        <v/>
      </c>
    </row>
    <row r="2411" ht="11.4" customHeight="1">
      <c r="A2411" s="67" t="inlineStr">
        <is>
          <t>大甜77</t>
        </is>
      </c>
      <c r="B2411" s="67" t="inlineStr">
        <is>
          <t>1075</t>
        </is>
      </c>
      <c r="C2411" s="67" t="inlineStr">
        <is>
          <t>1623</t>
        </is>
      </c>
      <c r="D2411" s="68" t="inlineStr">
        <is>
          <t>03</t>
        </is>
      </c>
      <c r="E2411" s="68" t="inlineStr">
        <is>
          <t>6 物业施工费</t>
        </is>
      </c>
      <c r="F2411" s="68" t="inlineStr">
        <is>
          <t>6.2 消防系统</t>
        </is>
      </c>
      <c r="G2411" s="68" t="inlineStr">
        <is>
          <t>消防工程</t>
        </is>
      </c>
      <c r="H2411" s="68" t="inlineStr">
        <is>
          <t>消防排烟系统</t>
        </is>
      </c>
      <c r="I2411" s="69" t="inlineStr">
        <is>
          <t>1000022044</t>
        </is>
      </c>
      <c r="J2411" s="69" t="inlineStr">
        <is>
          <t>防火卷帘门连门框及全部配件</t>
        </is>
      </c>
      <c r="K2411" s="70" t="n"/>
      <c r="L2411" s="70" t="n"/>
      <c r="M2411" s="71" t="inlineStr">
        <is>
          <t>m2</t>
        </is>
      </c>
      <c r="N2411" s="72" t="n">
        <v>560</v>
      </c>
      <c r="O2411" s="72">
        <f>ROUND(N2411*(1+$F$10),2)</f>
        <v/>
      </c>
      <c r="P2411" s="73">
        <f>ROUND(K2411*N2411,2)</f>
        <v/>
      </c>
      <c r="Q2411" s="74">
        <f>ROUND(L2411*N2411,2)</f>
        <v/>
      </c>
      <c r="R2411" s="75" t="n"/>
      <c r="S2411" s="76" t="n"/>
      <c r="T2411" s="77">
        <f>K2411-L2411</f>
        <v/>
      </c>
      <c r="U2411" s="77">
        <f>P2411-Q2411</f>
        <v/>
      </c>
      <c r="V2411" s="77">
        <f>ABS(U2411)</f>
        <v/>
      </c>
      <c r="W2411" s="78">
        <f>T2411/L2411</f>
        <v/>
      </c>
      <c r="X2411" s="79">
        <f>ABS(W2411)</f>
        <v/>
      </c>
    </row>
    <row r="2412" ht="11.4" customHeight="1">
      <c r="A2412" s="67" t="inlineStr">
        <is>
          <t>大甜77</t>
        </is>
      </c>
      <c r="B2412" s="67" t="inlineStr">
        <is>
          <t>1075</t>
        </is>
      </c>
      <c r="C2412" s="67" t="inlineStr">
        <is>
          <t>1623</t>
        </is>
      </c>
      <c r="D2412" s="68" t="inlineStr">
        <is>
          <t>03</t>
        </is>
      </c>
      <c r="E2412" s="68" t="inlineStr">
        <is>
          <t>6 物业施工费</t>
        </is>
      </c>
      <c r="F2412" s="68" t="inlineStr">
        <is>
          <t>6.2 消防系统</t>
        </is>
      </c>
      <c r="G2412" s="68" t="inlineStr">
        <is>
          <t>消防工程</t>
        </is>
      </c>
      <c r="H2412" s="68" t="inlineStr">
        <is>
          <t>消防排烟系统</t>
        </is>
      </c>
      <c r="I2412" s="69" t="inlineStr">
        <is>
          <t>1000022045</t>
        </is>
      </c>
      <c r="J2412" s="69" t="inlineStr">
        <is>
          <t>防火卷帘门电机系统、消防联动及全部配件</t>
        </is>
      </c>
      <c r="K2412" s="70" t="n"/>
      <c r="L2412" s="70" t="n"/>
      <c r="M2412" s="71" t="inlineStr">
        <is>
          <t>台</t>
        </is>
      </c>
      <c r="N2412" s="72" t="n">
        <v>3580</v>
      </c>
      <c r="O2412" s="72">
        <f>ROUND(N2412*(1+$F$10),2)</f>
        <v/>
      </c>
      <c r="P2412" s="73">
        <f>ROUND(K2412*N2412,2)</f>
        <v/>
      </c>
      <c r="Q2412" s="74">
        <f>ROUND(L2412*N2412,2)</f>
        <v/>
      </c>
      <c r="R2412" s="75" t="n"/>
      <c r="S2412" s="76" t="n"/>
      <c r="T2412" s="77">
        <f>K2412-L2412</f>
        <v/>
      </c>
      <c r="U2412" s="77">
        <f>P2412-Q2412</f>
        <v/>
      </c>
      <c r="V2412" s="77">
        <f>ABS(U2412)</f>
        <v/>
      </c>
      <c r="W2412" s="78">
        <f>T2412/L2412</f>
        <v/>
      </c>
      <c r="X2412" s="79">
        <f>ABS(W2412)</f>
        <v/>
      </c>
    </row>
    <row r="2413" ht="11.4" customHeight="1">
      <c r="A2413" s="67" t="inlineStr">
        <is>
          <t>大甜76</t>
        </is>
      </c>
      <c r="B2413" s="67" t="inlineStr">
        <is>
          <t>1074</t>
        </is>
      </c>
      <c r="C2413" s="67" t="inlineStr">
        <is>
          <t>1622</t>
        </is>
      </c>
      <c r="D2413" s="68" t="inlineStr">
        <is>
          <t>03</t>
        </is>
      </c>
      <c r="E2413" s="68" t="inlineStr">
        <is>
          <t>6 物业施工费</t>
        </is>
      </c>
      <c r="F2413" s="68" t="inlineStr">
        <is>
          <t>6.2 消防系统</t>
        </is>
      </c>
      <c r="G2413" s="68" t="inlineStr">
        <is>
          <t>消防工程</t>
        </is>
      </c>
      <c r="H2413" s="68" t="inlineStr">
        <is>
          <t>疏散图</t>
        </is>
      </c>
      <c r="I2413" s="69" t="inlineStr">
        <is>
          <t>1000022046</t>
        </is>
      </c>
      <c r="J2413" s="69" t="inlineStr">
        <is>
          <t>不锈钢消防疏散图</t>
        </is>
      </c>
      <c r="K2413" s="70" t="n"/>
      <c r="L2413" s="70" t="n"/>
      <c r="M2413" s="71" t="inlineStr">
        <is>
          <t>个</t>
        </is>
      </c>
      <c r="N2413" s="72" t="n">
        <v>40</v>
      </c>
      <c r="O2413" s="72">
        <f>ROUND(N2413*(1+$F$10),2)</f>
        <v/>
      </c>
      <c r="P2413" s="73">
        <f>ROUND(K2413*N2413,2)</f>
        <v/>
      </c>
      <c r="Q2413" s="74">
        <f>ROUND(L2413*N2413,2)</f>
        <v/>
      </c>
      <c r="R2413" s="75" t="n"/>
      <c r="S2413" s="76" t="n"/>
      <c r="T2413" s="77">
        <f>K2413-L2413</f>
        <v/>
      </c>
      <c r="U2413" s="77">
        <f>P2413-Q2413</f>
        <v/>
      </c>
      <c r="V2413" s="77">
        <f>ABS(U2413)</f>
        <v/>
      </c>
      <c r="W2413" s="78">
        <f>T2413/L2413</f>
        <v/>
      </c>
      <c r="X2413" s="79">
        <f>ABS(W2413)</f>
        <v/>
      </c>
    </row>
    <row r="2414" ht="11.4" customHeight="1">
      <c r="A2414" s="67" t="inlineStr">
        <is>
          <t>大甜79</t>
        </is>
      </c>
      <c r="B2414" s="67" t="inlineStr">
        <is>
          <t>1077</t>
        </is>
      </c>
      <c r="C2414" s="67" t="inlineStr">
        <is>
          <t>1630</t>
        </is>
      </c>
      <c r="D2414" s="68" t="inlineStr">
        <is>
          <t>03</t>
        </is>
      </c>
      <c r="E2414" s="68" t="inlineStr">
        <is>
          <t>6 物业施工费</t>
        </is>
      </c>
      <c r="F2414" s="68" t="inlineStr">
        <is>
          <t>6.3 环保工程</t>
        </is>
      </c>
      <c r="G2414" s="68" t="inlineStr">
        <is>
          <t>环保工程</t>
        </is>
      </c>
      <c r="H2414" s="68" t="inlineStr">
        <is>
          <t>消声屏障/消声房(分包)</t>
        </is>
      </c>
      <c r="I2414" s="69" t="inlineStr">
        <is>
          <t>1000022047</t>
        </is>
      </c>
      <c r="J2414" s="69" t="inlineStr">
        <is>
          <t>消声屏障/消声房/装饰百叶(分包)</t>
        </is>
      </c>
      <c r="K2414" s="70" t="n"/>
      <c r="L2414" s="70" t="n"/>
      <c r="M2414" s="71" t="inlineStr">
        <is>
          <t>m2</t>
        </is>
      </c>
      <c r="N2414" s="72" t="n">
        <v>260.72</v>
      </c>
      <c r="O2414" s="72">
        <f>ROUND(N2414*(1+$F$10),2)</f>
        <v/>
      </c>
      <c r="P2414" s="73">
        <f>ROUND(K2414*N2414,2)</f>
        <v/>
      </c>
      <c r="Q2414" s="74">
        <f>ROUND(L2414*N2414,2)</f>
        <v/>
      </c>
      <c r="R2414" s="75" t="n"/>
      <c r="S2414" s="76" t="n"/>
      <c r="T2414" s="77">
        <f>K2414-L2414</f>
        <v/>
      </c>
      <c r="U2414" s="77">
        <f>P2414-Q2414</f>
        <v/>
      </c>
      <c r="V2414" s="77">
        <f>ABS(U2414)</f>
        <v/>
      </c>
      <c r="W2414" s="78">
        <f>T2414/L2414</f>
        <v/>
      </c>
      <c r="X2414" s="79">
        <f>ABS(W2414)</f>
        <v/>
      </c>
    </row>
    <row r="2415" ht="11.4" customHeight="1">
      <c r="A2415" s="67" t="inlineStr">
        <is>
          <t>大甜79</t>
        </is>
      </c>
      <c r="B2415" s="67" t="inlineStr">
        <is>
          <t>1077</t>
        </is>
      </c>
      <c r="C2415" s="67" t="inlineStr">
        <is>
          <t>1630</t>
        </is>
      </c>
      <c r="D2415" s="68" t="inlineStr">
        <is>
          <t>03</t>
        </is>
      </c>
      <c r="E2415" s="68" t="inlineStr">
        <is>
          <t>6 物业施工费</t>
        </is>
      </c>
      <c r="F2415" s="68" t="inlineStr">
        <is>
          <t>6.3 环保工程</t>
        </is>
      </c>
      <c r="G2415" s="68" t="inlineStr">
        <is>
          <t>环保工程</t>
        </is>
      </c>
      <c r="H2415" s="68" t="inlineStr">
        <is>
          <t>油烟净化器/系统</t>
        </is>
      </c>
      <c r="I2415" s="69" t="inlineStr">
        <is>
          <t>1000022048</t>
        </is>
      </c>
      <c r="J2415" s="69" t="inlineStr">
        <is>
          <t>油烟净化器/系统（仅主材）</t>
        </is>
      </c>
      <c r="K2415" s="70" t="n"/>
      <c r="L2415" s="70" t="n"/>
      <c r="M2415" s="71" t="inlineStr">
        <is>
          <t>项</t>
        </is>
      </c>
      <c r="N2415" s="72" t="n">
        <v>0</v>
      </c>
      <c r="O2415" s="72">
        <f>ROUND(N2415*(1+$F$10),2)</f>
        <v/>
      </c>
      <c r="P2415" s="73">
        <f>ROUND(K2415*N2415,2)</f>
        <v/>
      </c>
      <c r="Q2415" s="74">
        <f>ROUND(L2415*N2415,2)</f>
        <v/>
      </c>
      <c r="R2415" s="75" t="n"/>
      <c r="S2415" s="76" t="n"/>
      <c r="T2415" s="77">
        <f>K2415-L2415</f>
        <v/>
      </c>
      <c r="U2415" s="77">
        <f>P2415-Q2415</f>
        <v/>
      </c>
      <c r="V2415" s="77">
        <f>ABS(U2415)</f>
        <v/>
      </c>
      <c r="W2415" s="78">
        <f>T2415/L2415</f>
        <v/>
      </c>
      <c r="X2415" s="79">
        <f>ABS(W2415)</f>
        <v/>
      </c>
    </row>
    <row r="2416" ht="11.4" customHeight="1">
      <c r="A2416" s="67" t="inlineStr">
        <is>
          <t>大甜79</t>
        </is>
      </c>
      <c r="B2416" s="67" t="inlineStr">
        <is>
          <t>1077</t>
        </is>
      </c>
      <c r="C2416" s="67" t="inlineStr">
        <is>
          <t>1630</t>
        </is>
      </c>
      <c r="D2416" s="68" t="inlineStr">
        <is>
          <t>03</t>
        </is>
      </c>
      <c r="E2416" s="68" t="inlineStr">
        <is>
          <t>6 物业施工费</t>
        </is>
      </c>
      <c r="F2416" s="68" t="inlineStr">
        <is>
          <t>6.3 环保工程</t>
        </is>
      </c>
      <c r="G2416" s="68" t="inlineStr">
        <is>
          <t>环保工程</t>
        </is>
      </c>
      <c r="H2416" s="68" t="inlineStr">
        <is>
          <t>油烟净化器/系统</t>
        </is>
      </c>
      <c r="I2416" s="69" t="inlineStr">
        <is>
          <t>1000022049</t>
        </is>
      </c>
      <c r="J2416" s="69" t="inlineStr">
        <is>
          <t>油烟净化器/系统（仅安装）</t>
        </is>
      </c>
      <c r="K2416" s="70" t="n"/>
      <c r="L2416" s="70" t="n"/>
      <c r="M2416" s="71" t="inlineStr">
        <is>
          <t>项</t>
        </is>
      </c>
      <c r="N2416" s="72" t="n">
        <v>1572.2</v>
      </c>
      <c r="O2416" s="72">
        <f>ROUND(N2416*(1+$F$10),2)</f>
        <v/>
      </c>
      <c r="P2416" s="73">
        <f>ROUND(K2416*N2416,2)</f>
        <v/>
      </c>
      <c r="Q2416" s="74">
        <f>ROUND(L2416*N2416,2)</f>
        <v/>
      </c>
      <c r="R2416" s="75" t="n"/>
      <c r="S2416" s="76" t="n"/>
      <c r="T2416" s="77">
        <f>K2416-L2416</f>
        <v/>
      </c>
      <c r="U2416" s="77">
        <f>P2416-Q2416</f>
        <v/>
      </c>
      <c r="V2416" s="77">
        <f>ABS(U2416)</f>
        <v/>
      </c>
      <c r="W2416" s="78">
        <f>T2416/L2416</f>
        <v/>
      </c>
      <c r="X2416" s="79">
        <f>ABS(W2416)</f>
        <v/>
      </c>
    </row>
    <row r="2417" ht="11.4" customHeight="1">
      <c r="A2417" s="67" t="inlineStr">
        <is>
          <t>大甜79</t>
        </is>
      </c>
      <c r="B2417" s="67" t="inlineStr">
        <is>
          <t>1077</t>
        </is>
      </c>
      <c r="C2417" s="67" t="inlineStr">
        <is>
          <t>1630</t>
        </is>
      </c>
      <c r="D2417" s="68" t="inlineStr">
        <is>
          <t>03</t>
        </is>
      </c>
      <c r="E2417" s="68" t="inlineStr">
        <is>
          <t>6 物业施工费</t>
        </is>
      </c>
      <c r="F2417" s="68" t="inlineStr">
        <is>
          <t>6.3 环保工程</t>
        </is>
      </c>
      <c r="G2417" s="68" t="inlineStr">
        <is>
          <t>环保工程</t>
        </is>
      </c>
      <c r="H2417" s="68" t="inlineStr">
        <is>
          <t>隔油池化粪池</t>
        </is>
      </c>
      <c r="I2417" s="69" t="inlineStr">
        <is>
          <t>1000022050</t>
        </is>
      </c>
      <c r="J2417" s="69" t="inlineStr">
        <is>
          <t>隔油池(含不锈钢框防臭盖及取样井,具体尺寸详见图纸)</t>
        </is>
      </c>
      <c r="K2417" s="70" t="n"/>
      <c r="L2417" s="70" t="n"/>
      <c r="M2417" s="71" t="inlineStr">
        <is>
          <t>项</t>
        </is>
      </c>
      <c r="N2417" s="72" t="n">
        <v>11764.6</v>
      </c>
      <c r="O2417" s="72">
        <f>ROUND(N2417*(1+$F$10),2)</f>
        <v/>
      </c>
      <c r="P2417" s="73">
        <f>ROUND(K2417*N2417,2)</f>
        <v/>
      </c>
      <c r="Q2417" s="74">
        <f>ROUND(L2417*N2417,2)</f>
        <v/>
      </c>
      <c r="R2417" s="75" t="n"/>
      <c r="S2417" s="76" t="n"/>
      <c r="T2417" s="77">
        <f>K2417-L2417</f>
        <v/>
      </c>
      <c r="U2417" s="77">
        <f>P2417-Q2417</f>
        <v/>
      </c>
      <c r="V2417" s="77">
        <f>ABS(U2417)</f>
        <v/>
      </c>
      <c r="W2417" s="78">
        <f>T2417/L2417</f>
        <v/>
      </c>
      <c r="X2417" s="79">
        <f>ABS(W2417)</f>
        <v/>
      </c>
    </row>
    <row r="2418" ht="11.4" customHeight="1">
      <c r="A2418" s="67" t="inlineStr">
        <is>
          <t>大甜79</t>
        </is>
      </c>
      <c r="B2418" s="67" t="inlineStr">
        <is>
          <t>1077</t>
        </is>
      </c>
      <c r="C2418" s="67" t="inlineStr">
        <is>
          <t>1630</t>
        </is>
      </c>
      <c r="D2418" s="68" t="inlineStr">
        <is>
          <t>03</t>
        </is>
      </c>
      <c r="E2418" s="68" t="inlineStr">
        <is>
          <t>6 物业施工费</t>
        </is>
      </c>
      <c r="F2418" s="68" t="inlineStr">
        <is>
          <t>6.3 环保工程</t>
        </is>
      </c>
      <c r="G2418" s="68" t="inlineStr">
        <is>
          <t>环保工程</t>
        </is>
      </c>
      <c r="H2418" s="68" t="inlineStr">
        <is>
          <t>隔油池化粪池</t>
        </is>
      </c>
      <c r="I2418" s="69" t="inlineStr">
        <is>
          <t>1000022051</t>
        </is>
      </c>
      <c r="J2418" s="69" t="inlineStr">
        <is>
          <t>铸铁盖过路井</t>
        </is>
      </c>
      <c r="K2418" s="70" t="n"/>
      <c r="L2418" s="70" t="n"/>
      <c r="M2418" s="71" t="inlineStr">
        <is>
          <t>个</t>
        </is>
      </c>
      <c r="N2418" s="72" t="n">
        <v>661.09</v>
      </c>
      <c r="O2418" s="72">
        <f>ROUND(N2418*(1+$F$10),2)</f>
        <v/>
      </c>
      <c r="P2418" s="73">
        <f>ROUND(K2418*N2418,2)</f>
        <v/>
      </c>
      <c r="Q2418" s="74">
        <f>ROUND(L2418*N2418,2)</f>
        <v/>
      </c>
      <c r="R2418" s="75" t="n"/>
      <c r="S2418" s="76" t="n"/>
      <c r="T2418" s="77">
        <f>K2418-L2418</f>
        <v/>
      </c>
      <c r="U2418" s="77">
        <f>P2418-Q2418</f>
        <v/>
      </c>
      <c r="V2418" s="77">
        <f>ABS(U2418)</f>
        <v/>
      </c>
      <c r="W2418" s="78">
        <f>T2418/L2418</f>
        <v/>
      </c>
      <c r="X2418" s="79">
        <f>ABS(W2418)</f>
        <v/>
      </c>
    </row>
    <row r="2419" ht="11.4" customHeight="1">
      <c r="A2419" s="67" t="inlineStr">
        <is>
          <t>大甜79</t>
        </is>
      </c>
      <c r="B2419" s="67" t="inlineStr">
        <is>
          <t>1077</t>
        </is>
      </c>
      <c r="C2419" s="67" t="inlineStr">
        <is>
          <t>1630</t>
        </is>
      </c>
      <c r="D2419" s="68" t="inlineStr">
        <is>
          <t>03</t>
        </is>
      </c>
      <c r="E2419" s="68" t="inlineStr">
        <is>
          <t>6 物业施工费</t>
        </is>
      </c>
      <c r="F2419" s="68" t="inlineStr">
        <is>
          <t>6.3 环保工程</t>
        </is>
      </c>
      <c r="G2419" s="68" t="inlineStr">
        <is>
          <t>环保工程</t>
        </is>
      </c>
      <c r="H2419" s="68" t="inlineStr">
        <is>
          <t>隔油池化粪池</t>
        </is>
      </c>
      <c r="I2419" s="69" t="inlineStr">
        <is>
          <t>1000022052</t>
        </is>
      </c>
      <c r="J2419" s="69" t="inlineStr">
        <is>
          <t>化粪池</t>
        </is>
      </c>
      <c r="K2419" s="70" t="n"/>
      <c r="L2419" s="70" t="n"/>
      <c r="M2419" s="71" t="inlineStr">
        <is>
          <t>项</t>
        </is>
      </c>
      <c r="N2419" s="72" t="n">
        <v>11489.6</v>
      </c>
      <c r="O2419" s="72">
        <f>ROUND(N2419*(1+$F$10),2)</f>
        <v/>
      </c>
      <c r="P2419" s="73">
        <f>ROUND(K2419*N2419,2)</f>
        <v/>
      </c>
      <c r="Q2419" s="74">
        <f>ROUND(L2419*N2419,2)</f>
        <v/>
      </c>
      <c r="R2419" s="75" t="n"/>
      <c r="S2419" s="76" t="n"/>
      <c r="T2419" s="77">
        <f>K2419-L2419</f>
        <v/>
      </c>
      <c r="U2419" s="77">
        <f>P2419-Q2419</f>
        <v/>
      </c>
      <c r="V2419" s="77">
        <f>ABS(U2419)</f>
        <v/>
      </c>
      <c r="W2419" s="78">
        <f>T2419/L2419</f>
        <v/>
      </c>
      <c r="X2419" s="79">
        <f>ABS(W2419)</f>
        <v/>
      </c>
    </row>
    <row r="2420" ht="11.4" customHeight="1">
      <c r="A2420" s="67" t="inlineStr">
        <is>
          <t>大甜79</t>
        </is>
      </c>
      <c r="B2420" s="67" t="inlineStr">
        <is>
          <t>1077</t>
        </is>
      </c>
      <c r="C2420" s="67" t="inlineStr">
        <is>
          <t>1630</t>
        </is>
      </c>
      <c r="D2420" s="68" t="inlineStr">
        <is>
          <t>03</t>
        </is>
      </c>
      <c r="E2420" s="68" t="inlineStr">
        <is>
          <t>6 物业施工费</t>
        </is>
      </c>
      <c r="F2420" s="68" t="inlineStr">
        <is>
          <t>6.3 环保工程</t>
        </is>
      </c>
      <c r="G2420" s="68" t="inlineStr">
        <is>
          <t>环保工程</t>
        </is>
      </c>
      <c r="H2420" s="68" t="inlineStr">
        <is>
          <t>隔油池化粪池</t>
        </is>
      </c>
      <c r="I2420" s="69" t="inlineStr">
        <is>
          <t>1000022053</t>
        </is>
      </c>
      <c r="J2420" s="69" t="inlineStr">
        <is>
          <t>排污泵设施（含配套电气及管、阀等）</t>
        </is>
      </c>
      <c r="K2420" s="70" t="n"/>
      <c r="L2420" s="70" t="n"/>
      <c r="M2420" s="71" t="inlineStr">
        <is>
          <t>项</t>
        </is>
      </c>
      <c r="N2420" s="72" t="n">
        <v>5866.38</v>
      </c>
      <c r="O2420" s="72">
        <f>ROUND(N2420*(1+$F$10),2)</f>
        <v/>
      </c>
      <c r="P2420" s="73">
        <f>ROUND(K2420*N2420,2)</f>
        <v/>
      </c>
      <c r="Q2420" s="74">
        <f>ROUND(L2420*N2420,2)</f>
        <v/>
      </c>
      <c r="R2420" s="75" t="n"/>
      <c r="S2420" s="76" t="n"/>
      <c r="T2420" s="77">
        <f>K2420-L2420</f>
        <v/>
      </c>
      <c r="U2420" s="77">
        <f>P2420-Q2420</f>
        <v/>
      </c>
      <c r="V2420" s="77">
        <f>ABS(U2420)</f>
        <v/>
      </c>
      <c r="W2420" s="78">
        <f>T2420/L2420</f>
        <v/>
      </c>
      <c r="X2420" s="79">
        <f>ABS(W2420)</f>
        <v/>
      </c>
    </row>
    <row r="2421" ht="11.4" customHeight="1">
      <c r="A2421" s="67" t="inlineStr">
        <is>
          <t>大甜86</t>
        </is>
      </c>
      <c r="B2421" s="67" t="inlineStr">
        <is>
          <t>1084</t>
        </is>
      </c>
      <c r="C2421" s="67" t="inlineStr">
        <is>
          <t>3791</t>
        </is>
      </c>
      <c r="D2421" s="68" t="inlineStr">
        <is>
          <t>03</t>
        </is>
      </c>
      <c r="E2421" s="68" t="inlineStr">
        <is>
          <t>7 招牌</t>
        </is>
      </c>
      <c r="F2421" s="68" t="inlineStr">
        <is>
          <t>7.2 招牌安装</t>
        </is>
      </c>
      <c r="G2421" s="68" t="inlineStr">
        <is>
          <t>招牌安装</t>
        </is>
      </c>
      <c r="H2421" s="68" t="inlineStr">
        <is>
          <t>招牌安装</t>
        </is>
      </c>
      <c r="I2421" s="69" t="inlineStr">
        <is>
          <t>1000022159</t>
        </is>
      </c>
      <c r="J2421" s="69" t="inlineStr">
        <is>
          <t>大堂墙面字母安装</t>
        </is>
      </c>
      <c r="K2421" s="70" t="n"/>
      <c r="L2421" s="70" t="n"/>
      <c r="M2421" s="71" t="inlineStr">
        <is>
          <t>m2</t>
        </is>
      </c>
      <c r="N2421" s="72" t="n">
        <v>60</v>
      </c>
      <c r="O2421" s="72">
        <f>ROUND(N2421*(1+$F$10),2)</f>
        <v/>
      </c>
      <c r="P2421" s="73">
        <f>ROUND(K2421*N2421,2)</f>
        <v/>
      </c>
      <c r="Q2421" s="74">
        <f>ROUND(L2421*N2421,2)</f>
        <v/>
      </c>
      <c r="R2421" s="75" t="n"/>
      <c r="S2421" s="76" t="n"/>
      <c r="T2421" s="77">
        <f>K2421-L2421</f>
        <v/>
      </c>
      <c r="U2421" s="77">
        <f>P2421-Q2421</f>
        <v/>
      </c>
      <c r="V2421" s="77">
        <f>ABS(U2421)</f>
        <v/>
      </c>
      <c r="W2421" s="78">
        <f>T2421/L2421</f>
        <v/>
      </c>
      <c r="X2421" s="79">
        <f>ABS(W2421)</f>
        <v/>
      </c>
    </row>
    <row r="2422" ht="11.4" customHeight="1">
      <c r="A2422" s="67" t="inlineStr">
        <is>
          <t>大甜86</t>
        </is>
      </c>
      <c r="B2422" s="67" t="inlineStr">
        <is>
          <t>1084</t>
        </is>
      </c>
      <c r="C2422" s="67" t="inlineStr">
        <is>
          <t>3791</t>
        </is>
      </c>
      <c r="D2422" s="68" t="inlineStr">
        <is>
          <t>03</t>
        </is>
      </c>
      <c r="E2422" s="68" t="inlineStr">
        <is>
          <t>7 招牌</t>
        </is>
      </c>
      <c r="F2422" s="68" t="inlineStr">
        <is>
          <t>7.3 招牌安装</t>
        </is>
      </c>
      <c r="G2422" s="68" t="inlineStr">
        <is>
          <t>招牌安装</t>
        </is>
      </c>
      <c r="H2422" s="68" t="inlineStr">
        <is>
          <t>招牌安装</t>
        </is>
      </c>
      <c r="I2422" s="69" t="inlineStr">
        <is>
          <t>1000022054</t>
        </is>
      </c>
      <c r="J2422" s="69" t="inlineStr">
        <is>
          <t>门头招牌安装</t>
        </is>
      </c>
      <c r="K2422" s="70" t="n"/>
      <c r="L2422" s="70" t="n"/>
      <c r="M2422" s="71" t="inlineStr">
        <is>
          <t>m2</t>
        </is>
      </c>
      <c r="N2422" s="72" t="n">
        <v>438.66</v>
      </c>
      <c r="O2422" s="72">
        <f>ROUND(N2422*(1+$F$10),2)</f>
        <v/>
      </c>
      <c r="P2422" s="73">
        <f>ROUND(K2422*N2422,2)</f>
        <v/>
      </c>
      <c r="Q2422" s="74">
        <f>ROUND(L2422*N2422,2)</f>
        <v/>
      </c>
      <c r="R2422" s="75" t="n"/>
      <c r="S2422" s="76" t="n"/>
      <c r="T2422" s="77">
        <f>K2422-L2422</f>
        <v/>
      </c>
      <c r="U2422" s="77">
        <f>P2422-Q2422</f>
        <v/>
      </c>
      <c r="V2422" s="77">
        <f>ABS(U2422)</f>
        <v/>
      </c>
      <c r="W2422" s="78">
        <f>T2422/L2422</f>
        <v/>
      </c>
      <c r="X2422" s="79">
        <f>ABS(W2422)</f>
        <v/>
      </c>
    </row>
    <row r="2423" ht="11.4" customHeight="1">
      <c r="A2423" s="67" t="inlineStr">
        <is>
          <t>大甜86</t>
        </is>
      </c>
      <c r="B2423" s="67" t="inlineStr">
        <is>
          <t>1084</t>
        </is>
      </c>
      <c r="C2423" s="67" t="inlineStr">
        <is>
          <t>3791</t>
        </is>
      </c>
      <c r="D2423" s="68" t="inlineStr">
        <is>
          <t>03</t>
        </is>
      </c>
      <c r="E2423" s="68" t="inlineStr">
        <is>
          <t>7 招牌</t>
        </is>
      </c>
      <c r="F2423" s="68" t="inlineStr">
        <is>
          <t>7.3 招牌安装</t>
        </is>
      </c>
      <c r="G2423" s="68" t="inlineStr">
        <is>
          <t>招牌安装</t>
        </is>
      </c>
      <c r="H2423" s="68" t="inlineStr">
        <is>
          <t>招牌安装</t>
        </is>
      </c>
      <c r="I2423" s="69" t="inlineStr">
        <is>
          <t>1000022055</t>
        </is>
      </c>
      <c r="J2423" s="69" t="inlineStr">
        <is>
          <t>双面侧招安装含钢架(底标高H ≤ 10m）</t>
        </is>
      </c>
      <c r="K2423" s="70" t="n"/>
      <c r="L2423" s="70" t="n"/>
      <c r="M2423" s="71" t="inlineStr">
        <is>
          <t>只</t>
        </is>
      </c>
      <c r="N2423" s="72" t="n">
        <v>4341.19</v>
      </c>
      <c r="O2423" s="72">
        <f>ROUND(N2423*(1+$F$10),2)</f>
        <v/>
      </c>
      <c r="P2423" s="73">
        <f>ROUND(K2423*N2423,2)</f>
        <v/>
      </c>
      <c r="Q2423" s="74">
        <f>ROUND(L2423*N2423,2)</f>
        <v/>
      </c>
      <c r="R2423" s="75" t="n"/>
      <c r="S2423" s="76" t="n"/>
      <c r="T2423" s="77">
        <f>K2423-L2423</f>
        <v/>
      </c>
      <c r="U2423" s="77">
        <f>P2423-Q2423</f>
        <v/>
      </c>
      <c r="V2423" s="77">
        <f>ABS(U2423)</f>
        <v/>
      </c>
      <c r="W2423" s="78">
        <f>T2423/L2423</f>
        <v/>
      </c>
      <c r="X2423" s="79">
        <f>ABS(W2423)</f>
        <v/>
      </c>
    </row>
    <row r="2424" ht="11.4" customHeight="1">
      <c r="A2424" s="67" t="inlineStr">
        <is>
          <t>大甜86</t>
        </is>
      </c>
      <c r="B2424" s="67" t="inlineStr">
        <is>
          <t>1084</t>
        </is>
      </c>
      <c r="C2424" s="67" t="inlineStr">
        <is>
          <t>3791</t>
        </is>
      </c>
      <c r="D2424" s="68" t="inlineStr">
        <is>
          <t>03</t>
        </is>
      </c>
      <c r="E2424" s="68" t="inlineStr">
        <is>
          <t>7 招牌</t>
        </is>
      </c>
      <c r="F2424" s="68" t="inlineStr">
        <is>
          <t>7.3 招牌安装</t>
        </is>
      </c>
      <c r="G2424" s="68" t="inlineStr">
        <is>
          <t>招牌安装</t>
        </is>
      </c>
      <c r="H2424" s="68" t="inlineStr">
        <is>
          <t>招牌安装</t>
        </is>
      </c>
      <c r="I2424" s="69" t="inlineStr">
        <is>
          <t>1000022056</t>
        </is>
      </c>
      <c r="J2424" s="69" t="inlineStr">
        <is>
          <t>双面侧招安装含钢架（底标高H &gt; 10m)</t>
        </is>
      </c>
      <c r="K2424" s="70" t="n"/>
      <c r="L2424" s="70" t="n"/>
      <c r="M2424" s="71" t="inlineStr">
        <is>
          <t>只</t>
        </is>
      </c>
      <c r="N2424" s="72" t="n">
        <v>5895.79</v>
      </c>
      <c r="O2424" s="72">
        <f>ROUND(N2424*(1+$F$10),2)</f>
        <v/>
      </c>
      <c r="P2424" s="73">
        <f>ROUND(K2424*N2424,2)</f>
        <v/>
      </c>
      <c r="Q2424" s="74">
        <f>ROUND(L2424*N2424,2)</f>
        <v/>
      </c>
      <c r="R2424" s="75" t="n"/>
      <c r="S2424" s="76" t="n"/>
      <c r="T2424" s="77">
        <f>K2424-L2424</f>
        <v/>
      </c>
      <c r="U2424" s="77">
        <f>P2424-Q2424</f>
        <v/>
      </c>
      <c r="V2424" s="77">
        <f>ABS(U2424)</f>
        <v/>
      </c>
      <c r="W2424" s="78">
        <f>T2424/L2424</f>
        <v/>
      </c>
      <c r="X2424" s="79">
        <f>ABS(W2424)</f>
        <v/>
      </c>
    </row>
    <row r="2425" ht="11.4" customHeight="1">
      <c r="A2425" s="67" t="inlineStr">
        <is>
          <t>大甜86</t>
        </is>
      </c>
      <c r="B2425" s="67" t="inlineStr">
        <is>
          <t>1084</t>
        </is>
      </c>
      <c r="C2425" s="67" t="inlineStr">
        <is>
          <t>3791</t>
        </is>
      </c>
      <c r="D2425" s="68" t="inlineStr">
        <is>
          <t>03</t>
        </is>
      </c>
      <c r="E2425" s="68" t="inlineStr">
        <is>
          <t>7 招牌</t>
        </is>
      </c>
      <c r="F2425" s="68" t="inlineStr">
        <is>
          <t>7.3 招牌安装</t>
        </is>
      </c>
      <c r="G2425" s="68" t="inlineStr">
        <is>
          <t>招牌安装</t>
        </is>
      </c>
      <c r="H2425" s="68" t="inlineStr">
        <is>
          <t>招牌安装</t>
        </is>
      </c>
      <c r="I2425" s="69" t="inlineStr">
        <is>
          <t>1000022057</t>
        </is>
      </c>
      <c r="J2425" s="69" t="inlineStr">
        <is>
          <t>小侧招安装</t>
        </is>
      </c>
      <c r="K2425" s="70" t="n"/>
      <c r="L2425" s="70" t="n"/>
      <c r="M2425" s="71" t="inlineStr">
        <is>
          <t>只</t>
        </is>
      </c>
      <c r="N2425" s="72" t="n">
        <v>1317.56</v>
      </c>
      <c r="O2425" s="72">
        <f>ROUND(N2425*(1+$F$10),2)</f>
        <v/>
      </c>
      <c r="P2425" s="73">
        <f>ROUND(K2425*N2425,2)</f>
        <v/>
      </c>
      <c r="Q2425" s="74">
        <f>ROUND(L2425*N2425,2)</f>
        <v/>
      </c>
      <c r="R2425" s="75" t="n"/>
      <c r="S2425" s="76" t="n"/>
      <c r="T2425" s="77">
        <f>K2425-L2425</f>
        <v/>
      </c>
      <c r="U2425" s="77">
        <f>P2425-Q2425</f>
        <v/>
      </c>
      <c r="V2425" s="77">
        <f>ABS(U2425)</f>
        <v/>
      </c>
      <c r="W2425" s="78">
        <f>T2425/L2425</f>
        <v/>
      </c>
      <c r="X2425" s="79">
        <f>ABS(W2425)</f>
        <v/>
      </c>
    </row>
    <row r="2426" ht="11.4" customHeight="1">
      <c r="A2426" s="67" t="inlineStr">
        <is>
          <t>大甜86</t>
        </is>
      </c>
      <c r="B2426" s="67" t="inlineStr">
        <is>
          <t>1084</t>
        </is>
      </c>
      <c r="C2426" s="67" t="inlineStr">
        <is>
          <t>3791</t>
        </is>
      </c>
      <c r="D2426" s="68" t="inlineStr">
        <is>
          <t>03</t>
        </is>
      </c>
      <c r="E2426" s="68" t="inlineStr">
        <is>
          <t>7 招牌</t>
        </is>
      </c>
      <c r="F2426" s="68" t="inlineStr">
        <is>
          <t>7.3 招牌安装</t>
        </is>
      </c>
      <c r="G2426" s="68" t="inlineStr">
        <is>
          <t>招牌安装</t>
        </is>
      </c>
      <c r="H2426" s="68" t="inlineStr">
        <is>
          <t>招牌安装</t>
        </is>
      </c>
      <c r="I2426" s="69" t="inlineStr">
        <is>
          <t>1000022058</t>
        </is>
      </c>
      <c r="J2426" s="69" t="inlineStr">
        <is>
          <t>杆标基础(杆标顶H ≤10m)</t>
        </is>
      </c>
      <c r="K2426" s="70" t="n"/>
      <c r="L2426" s="70" t="n"/>
      <c r="M2426" s="71" t="inlineStr">
        <is>
          <t>只</t>
        </is>
      </c>
      <c r="N2426" s="72" t="n">
        <v>16886.35</v>
      </c>
      <c r="O2426" s="72">
        <f>ROUND(N2426*(1+$F$10),2)</f>
        <v/>
      </c>
      <c r="P2426" s="73">
        <f>ROUND(K2426*N2426,2)</f>
        <v/>
      </c>
      <c r="Q2426" s="74">
        <f>ROUND(L2426*N2426,2)</f>
        <v/>
      </c>
      <c r="R2426" s="75" t="n"/>
      <c r="S2426" s="76" t="n"/>
      <c r="T2426" s="77">
        <f>K2426-L2426</f>
        <v/>
      </c>
      <c r="U2426" s="77">
        <f>P2426-Q2426</f>
        <v/>
      </c>
      <c r="V2426" s="77">
        <f>ABS(U2426)</f>
        <v/>
      </c>
      <c r="W2426" s="78">
        <f>T2426/L2426</f>
        <v/>
      </c>
      <c r="X2426" s="79">
        <f>ABS(W2426)</f>
        <v/>
      </c>
    </row>
    <row r="2427" ht="11.4" customHeight="1">
      <c r="A2427" s="67" t="inlineStr">
        <is>
          <t>大甜86</t>
        </is>
      </c>
      <c r="B2427" s="67" t="inlineStr">
        <is>
          <t>1084</t>
        </is>
      </c>
      <c r="C2427" s="67" t="inlineStr">
        <is>
          <t>3791</t>
        </is>
      </c>
      <c r="D2427" s="68" t="inlineStr">
        <is>
          <t>03</t>
        </is>
      </c>
      <c r="E2427" s="68" t="inlineStr">
        <is>
          <t>7 招牌</t>
        </is>
      </c>
      <c r="F2427" s="68" t="inlineStr">
        <is>
          <t>7.3 招牌安装</t>
        </is>
      </c>
      <c r="G2427" s="68" t="inlineStr">
        <is>
          <t>招牌安装</t>
        </is>
      </c>
      <c r="H2427" s="68" t="inlineStr">
        <is>
          <t>招牌安装</t>
        </is>
      </c>
      <c r="I2427" s="69" t="inlineStr">
        <is>
          <t>1000022059</t>
        </is>
      </c>
      <c r="J2427" s="69" t="inlineStr">
        <is>
          <t>杆标安装(杆标顶H ≤10m,含杆标主材及招牌安装)</t>
        </is>
      </c>
      <c r="K2427" s="70" t="n"/>
      <c r="L2427" s="70" t="n"/>
      <c r="M2427" s="71" t="inlineStr">
        <is>
          <t>只</t>
        </is>
      </c>
      <c r="N2427" s="72" t="n">
        <v>43209.18</v>
      </c>
      <c r="O2427" s="72">
        <f>ROUND(N2427*(1+$F$10),2)</f>
        <v/>
      </c>
      <c r="P2427" s="73">
        <f>ROUND(K2427*N2427,2)</f>
        <v/>
      </c>
      <c r="Q2427" s="74">
        <f>ROUND(L2427*N2427,2)</f>
        <v/>
      </c>
      <c r="R2427" s="75" t="n"/>
      <c r="S2427" s="76" t="n"/>
      <c r="T2427" s="77">
        <f>K2427-L2427</f>
        <v/>
      </c>
      <c r="U2427" s="77">
        <f>P2427-Q2427</f>
        <v/>
      </c>
      <c r="V2427" s="77">
        <f>ABS(U2427)</f>
        <v/>
      </c>
      <c r="W2427" s="78">
        <f>T2427/L2427</f>
        <v/>
      </c>
      <c r="X2427" s="79">
        <f>ABS(W2427)</f>
        <v/>
      </c>
    </row>
    <row r="2428" ht="11.4" customHeight="1">
      <c r="A2428" s="67" t="inlineStr">
        <is>
          <t>大甜86</t>
        </is>
      </c>
      <c r="B2428" s="67" t="inlineStr">
        <is>
          <t>1084</t>
        </is>
      </c>
      <c r="C2428" s="67" t="inlineStr">
        <is>
          <t>3791</t>
        </is>
      </c>
      <c r="D2428" s="68" t="inlineStr">
        <is>
          <t>03</t>
        </is>
      </c>
      <c r="E2428" s="68" t="inlineStr">
        <is>
          <t>7 招牌</t>
        </is>
      </c>
      <c r="F2428" s="68" t="inlineStr">
        <is>
          <t>7.3 招牌安装</t>
        </is>
      </c>
      <c r="G2428" s="68" t="inlineStr">
        <is>
          <t>招牌安装</t>
        </is>
      </c>
      <c r="H2428" s="68" t="inlineStr">
        <is>
          <t>招牌安装</t>
        </is>
      </c>
      <c r="I2428" s="69" t="inlineStr">
        <is>
          <t>1000022060</t>
        </is>
      </c>
      <c r="J2428" s="69" t="inlineStr">
        <is>
          <t>杆标基础(杆标顶H&gt; 10m)</t>
        </is>
      </c>
      <c r="K2428" s="70" t="n"/>
      <c r="L2428" s="70" t="n"/>
      <c r="M2428" s="71" t="inlineStr">
        <is>
          <t>只</t>
        </is>
      </c>
      <c r="N2428" s="72" t="n">
        <v>18631.78</v>
      </c>
      <c r="O2428" s="72">
        <f>ROUND(N2428*(1+$F$10),2)</f>
        <v/>
      </c>
      <c r="P2428" s="73">
        <f>ROUND(K2428*N2428,2)</f>
        <v/>
      </c>
      <c r="Q2428" s="74">
        <f>ROUND(L2428*N2428,2)</f>
        <v/>
      </c>
      <c r="R2428" s="75" t="n"/>
      <c r="S2428" s="76" t="n"/>
      <c r="T2428" s="77">
        <f>K2428-L2428</f>
        <v/>
      </c>
      <c r="U2428" s="77">
        <f>P2428-Q2428</f>
        <v/>
      </c>
      <c r="V2428" s="77">
        <f>ABS(U2428)</f>
        <v/>
      </c>
      <c r="W2428" s="78">
        <f>T2428/L2428</f>
        <v/>
      </c>
      <c r="X2428" s="79">
        <f>ABS(W2428)</f>
        <v/>
      </c>
    </row>
    <row r="2429" ht="11.4" customHeight="1">
      <c r="A2429" s="67" t="inlineStr">
        <is>
          <t>大甜86</t>
        </is>
      </c>
      <c r="B2429" s="67" t="inlineStr">
        <is>
          <t>1084</t>
        </is>
      </c>
      <c r="C2429" s="67" t="inlineStr">
        <is>
          <t>3791</t>
        </is>
      </c>
      <c r="D2429" s="68" t="inlineStr">
        <is>
          <t>03</t>
        </is>
      </c>
      <c r="E2429" s="68" t="inlineStr">
        <is>
          <t>7 招牌</t>
        </is>
      </c>
      <c r="F2429" s="68" t="inlineStr">
        <is>
          <t>7.3 招牌安装</t>
        </is>
      </c>
      <c r="G2429" s="68" t="inlineStr">
        <is>
          <t>招牌安装</t>
        </is>
      </c>
      <c r="H2429" s="68" t="inlineStr">
        <is>
          <t>招牌安装</t>
        </is>
      </c>
      <c r="I2429" s="69" t="inlineStr">
        <is>
          <t>1000022061</t>
        </is>
      </c>
      <c r="J2429" s="69" t="inlineStr">
        <is>
          <t>杆标安装(杆标顶H &gt; 10m,含杆标主材及招牌安装)</t>
        </is>
      </c>
      <c r="K2429" s="70" t="n"/>
      <c r="L2429" s="70" t="n"/>
      <c r="M2429" s="71" t="inlineStr">
        <is>
          <t>只</t>
        </is>
      </c>
      <c r="N2429" s="72" t="n">
        <v>45299.18</v>
      </c>
      <c r="O2429" s="72">
        <f>ROUND(N2429*(1+$F$10),2)</f>
        <v/>
      </c>
      <c r="P2429" s="73">
        <f>ROUND(K2429*N2429,2)</f>
        <v/>
      </c>
      <c r="Q2429" s="74">
        <f>ROUND(L2429*N2429,2)</f>
        <v/>
      </c>
      <c r="R2429" s="75" t="n"/>
      <c r="S2429" s="76" t="n"/>
      <c r="T2429" s="77">
        <f>K2429-L2429</f>
        <v/>
      </c>
      <c r="U2429" s="77">
        <f>P2429-Q2429</f>
        <v/>
      </c>
      <c r="V2429" s="77">
        <f>ABS(U2429)</f>
        <v/>
      </c>
      <c r="W2429" s="78">
        <f>T2429/L2429</f>
        <v/>
      </c>
      <c r="X2429" s="79">
        <f>ABS(W2429)</f>
        <v/>
      </c>
    </row>
    <row r="2430" ht="11.4" customHeight="1">
      <c r="A2430" s="67" t="inlineStr">
        <is>
          <t>大甜86</t>
        </is>
      </c>
      <c r="B2430" s="67" t="inlineStr">
        <is>
          <t>1084</t>
        </is>
      </c>
      <c r="C2430" s="67" t="inlineStr">
        <is>
          <t>3791</t>
        </is>
      </c>
      <c r="D2430" s="68" t="inlineStr">
        <is>
          <t>03</t>
        </is>
      </c>
      <c r="E2430" s="68" t="inlineStr">
        <is>
          <t>7 招牌</t>
        </is>
      </c>
      <c r="F2430" s="68" t="inlineStr">
        <is>
          <t>7.3 招牌安装</t>
        </is>
      </c>
      <c r="G2430" s="68" t="inlineStr">
        <is>
          <t>招牌安装</t>
        </is>
      </c>
      <c r="H2430" s="68" t="inlineStr">
        <is>
          <t>招牌安装</t>
        </is>
      </c>
      <c r="I2430" s="69" t="inlineStr">
        <is>
          <t>1000022062</t>
        </is>
      </c>
      <c r="J2430" s="69" t="inlineStr">
        <is>
          <t>贴墙招牌安装(底标高H ≤ 10m)</t>
        </is>
      </c>
      <c r="K2430" s="70" t="n"/>
      <c r="L2430" s="70" t="n"/>
      <c r="M2430" s="71" t="inlineStr">
        <is>
          <t>只</t>
        </is>
      </c>
      <c r="N2430" s="72" t="n">
        <v>3067.95</v>
      </c>
      <c r="O2430" s="72">
        <f>ROUND(N2430*(1+$F$10),2)</f>
        <v/>
      </c>
      <c r="P2430" s="73">
        <f>ROUND(K2430*N2430,2)</f>
        <v/>
      </c>
      <c r="Q2430" s="74">
        <f>ROUND(L2430*N2430,2)</f>
        <v/>
      </c>
      <c r="R2430" s="75" t="n"/>
      <c r="S2430" s="76" t="n"/>
      <c r="T2430" s="77">
        <f>K2430-L2430</f>
        <v/>
      </c>
      <c r="U2430" s="77">
        <f>P2430-Q2430</f>
        <v/>
      </c>
      <c r="V2430" s="77">
        <f>ABS(U2430)</f>
        <v/>
      </c>
      <c r="W2430" s="78">
        <f>T2430/L2430</f>
        <v/>
      </c>
      <c r="X2430" s="79">
        <f>ABS(W2430)</f>
        <v/>
      </c>
    </row>
    <row r="2431" ht="11.4" customHeight="1">
      <c r="A2431" s="67" t="inlineStr">
        <is>
          <t>大甜86</t>
        </is>
      </c>
      <c r="B2431" s="67" t="inlineStr">
        <is>
          <t>1084</t>
        </is>
      </c>
      <c r="C2431" s="67" t="inlineStr">
        <is>
          <t>3791</t>
        </is>
      </c>
      <c r="D2431" s="68" t="inlineStr">
        <is>
          <t>03</t>
        </is>
      </c>
      <c r="E2431" s="68" t="inlineStr">
        <is>
          <t>7 招牌</t>
        </is>
      </c>
      <c r="F2431" s="68" t="inlineStr">
        <is>
          <t>7.3 招牌安装</t>
        </is>
      </c>
      <c r="G2431" s="68" t="inlineStr">
        <is>
          <t>招牌安装</t>
        </is>
      </c>
      <c r="H2431" s="68" t="inlineStr">
        <is>
          <t>招牌安装</t>
        </is>
      </c>
      <c r="I2431" s="69" t="inlineStr">
        <is>
          <t>1000022063</t>
        </is>
      </c>
      <c r="J2431" s="69" t="inlineStr">
        <is>
          <t>贴墙招牌安装(底标高H &gt; 10m)</t>
        </is>
      </c>
      <c r="K2431" s="70" t="n"/>
      <c r="L2431" s="70" t="n"/>
      <c r="M2431" s="71" t="inlineStr">
        <is>
          <t>只</t>
        </is>
      </c>
      <c r="N2431" s="72" t="n">
        <v>4892.05</v>
      </c>
      <c r="O2431" s="72">
        <f>ROUND(N2431*(1+$F$10),2)</f>
        <v/>
      </c>
      <c r="P2431" s="73">
        <f>ROUND(K2431*N2431,2)</f>
        <v/>
      </c>
      <c r="Q2431" s="74">
        <f>ROUND(L2431*N2431,2)</f>
        <v/>
      </c>
      <c r="R2431" s="75" t="n"/>
      <c r="S2431" s="76" t="n"/>
      <c r="T2431" s="77">
        <f>K2431-L2431</f>
        <v/>
      </c>
      <c r="U2431" s="77">
        <f>P2431-Q2431</f>
        <v/>
      </c>
      <c r="V2431" s="77">
        <f>ABS(U2431)</f>
        <v/>
      </c>
      <c r="W2431" s="78">
        <f>T2431/L2431</f>
        <v/>
      </c>
      <c r="X2431" s="79">
        <f>ABS(W2431)</f>
        <v/>
      </c>
    </row>
    <row r="2432" ht="11.4" customHeight="1">
      <c r="A2432" s="67" t="inlineStr">
        <is>
          <t>大甜86</t>
        </is>
      </c>
      <c r="B2432" s="67" t="inlineStr">
        <is>
          <t>1084</t>
        </is>
      </c>
      <c r="C2432" s="67" t="inlineStr">
        <is>
          <t>3791</t>
        </is>
      </c>
      <c r="D2432" s="68" t="inlineStr">
        <is>
          <t>03</t>
        </is>
      </c>
      <c r="E2432" s="68" t="inlineStr">
        <is>
          <t>7 招牌</t>
        </is>
      </c>
      <c r="F2432" s="68" t="inlineStr">
        <is>
          <t>7.3 招牌安装</t>
        </is>
      </c>
      <c r="G2432" s="68" t="inlineStr">
        <is>
          <t>招牌安装</t>
        </is>
      </c>
      <c r="H2432" s="68" t="inlineStr">
        <is>
          <t>招牌安装</t>
        </is>
      </c>
      <c r="I2432" s="69" t="inlineStr">
        <is>
          <t>1000022064</t>
        </is>
      </c>
      <c r="J2432" s="69" t="inlineStr">
        <is>
          <t>悬挂招牌安装</t>
        </is>
      </c>
      <c r="K2432" s="70" t="n"/>
      <c r="L2432" s="70" t="n"/>
      <c r="M2432" s="71" t="inlineStr">
        <is>
          <t>只</t>
        </is>
      </c>
      <c r="N2432" s="72" t="n">
        <v>1554.6</v>
      </c>
      <c r="O2432" s="72">
        <f>ROUND(N2432*(1+$F$10),2)</f>
        <v/>
      </c>
      <c r="P2432" s="73">
        <f>ROUND(K2432*N2432,2)</f>
        <v/>
      </c>
      <c r="Q2432" s="74">
        <f>ROUND(L2432*N2432,2)</f>
        <v/>
      </c>
      <c r="R2432" s="75" t="n"/>
      <c r="S2432" s="76" t="n"/>
      <c r="T2432" s="77">
        <f>K2432-L2432</f>
        <v/>
      </c>
      <c r="U2432" s="77">
        <f>P2432-Q2432</f>
        <v/>
      </c>
      <c r="V2432" s="77">
        <f>ABS(U2432)</f>
        <v/>
      </c>
      <c r="W2432" s="78">
        <f>T2432/L2432</f>
        <v/>
      </c>
      <c r="X2432" s="79">
        <f>ABS(W2432)</f>
        <v/>
      </c>
    </row>
    <row r="2433" ht="11.4" customHeight="1">
      <c r="A2433" s="67" t="inlineStr">
        <is>
          <t>大甜86</t>
        </is>
      </c>
      <c r="B2433" s="67" t="inlineStr">
        <is>
          <t>1084</t>
        </is>
      </c>
      <c r="C2433" s="67" t="inlineStr">
        <is>
          <t>3791</t>
        </is>
      </c>
      <c r="D2433" s="68" t="inlineStr">
        <is>
          <t>03</t>
        </is>
      </c>
      <c r="E2433" s="68" t="inlineStr">
        <is>
          <t>7 招牌</t>
        </is>
      </c>
      <c r="F2433" s="68" t="inlineStr">
        <is>
          <t>7.3 招牌安装</t>
        </is>
      </c>
      <c r="G2433" s="68" t="inlineStr">
        <is>
          <t>招牌安装</t>
        </is>
      </c>
      <c r="H2433" s="68" t="inlineStr">
        <is>
          <t>招牌安装</t>
        </is>
      </c>
      <c r="I2433" s="69" t="inlineStr">
        <is>
          <t>1000022065</t>
        </is>
      </c>
      <c r="J2433" s="69" t="inlineStr">
        <is>
          <t>1000X700贴墙菜单箱安装</t>
        </is>
      </c>
      <c r="K2433" s="70" t="n"/>
      <c r="L2433" s="70" t="n"/>
      <c r="M2433" s="71" t="inlineStr">
        <is>
          <t>只</t>
        </is>
      </c>
      <c r="N2433" s="72" t="n">
        <v>165</v>
      </c>
      <c r="O2433" s="72">
        <f>ROUND(N2433*(1+$F$10),2)</f>
        <v/>
      </c>
      <c r="P2433" s="73">
        <f>ROUND(K2433*N2433,2)</f>
        <v/>
      </c>
      <c r="Q2433" s="74">
        <f>ROUND(L2433*N2433,2)</f>
        <v/>
      </c>
      <c r="R2433" s="75" t="n"/>
      <c r="S2433" s="76" t="n"/>
      <c r="T2433" s="77">
        <f>K2433-L2433</f>
        <v/>
      </c>
      <c r="U2433" s="77">
        <f>P2433-Q2433</f>
        <v/>
      </c>
      <c r="V2433" s="77">
        <f>ABS(U2433)</f>
        <v/>
      </c>
      <c r="W2433" s="78">
        <f>T2433/L2433</f>
        <v/>
      </c>
      <c r="X2433" s="79">
        <f>ABS(W2433)</f>
        <v/>
      </c>
    </row>
    <row r="2434" ht="11.4" customHeight="1">
      <c r="A2434" s="67" t="inlineStr">
        <is>
          <t>大甜86</t>
        </is>
      </c>
      <c r="B2434" s="67" t="inlineStr">
        <is>
          <t>1084</t>
        </is>
      </c>
      <c r="C2434" s="67" t="inlineStr">
        <is>
          <t>3791</t>
        </is>
      </c>
      <c r="D2434" s="68" t="inlineStr">
        <is>
          <t>03</t>
        </is>
      </c>
      <c r="E2434" s="68" t="inlineStr">
        <is>
          <t>7 招牌</t>
        </is>
      </c>
      <c r="F2434" s="68" t="inlineStr">
        <is>
          <t>7.3 招牌安装</t>
        </is>
      </c>
      <c r="G2434" s="68" t="inlineStr">
        <is>
          <t>招牌安装</t>
        </is>
      </c>
      <c r="H2434" s="68" t="inlineStr">
        <is>
          <t>招牌安装</t>
        </is>
      </c>
      <c r="I2434" s="69" t="inlineStr">
        <is>
          <t>1000022066</t>
        </is>
      </c>
      <c r="J2434" s="69" t="inlineStr">
        <is>
          <t>1000X700立式菜单牌安装</t>
        </is>
      </c>
      <c r="K2434" s="70" t="n"/>
      <c r="L2434" s="70" t="n"/>
      <c r="M2434" s="71" t="inlineStr">
        <is>
          <t>只</t>
        </is>
      </c>
      <c r="N2434" s="72" t="n">
        <v>648.76</v>
      </c>
      <c r="O2434" s="72">
        <f>ROUND(N2434*(1+$F$10),2)</f>
        <v/>
      </c>
      <c r="P2434" s="73">
        <f>ROUND(K2434*N2434,2)</f>
        <v/>
      </c>
      <c r="Q2434" s="74">
        <f>ROUND(L2434*N2434,2)</f>
        <v/>
      </c>
      <c r="R2434" s="75" t="n"/>
      <c r="S2434" s="76" t="n"/>
      <c r="T2434" s="77">
        <f>K2434-L2434</f>
        <v/>
      </c>
      <c r="U2434" s="77">
        <f>P2434-Q2434</f>
        <v/>
      </c>
      <c r="V2434" s="77">
        <f>ABS(U2434)</f>
        <v/>
      </c>
      <c r="W2434" s="78">
        <f>T2434/L2434</f>
        <v/>
      </c>
      <c r="X2434" s="79">
        <f>ABS(W2434)</f>
        <v/>
      </c>
    </row>
    <row r="2435" ht="11.4" customHeight="1">
      <c r="A2435" s="67" t="inlineStr">
        <is>
          <t>大甜86</t>
        </is>
      </c>
      <c r="B2435" s="67" t="inlineStr">
        <is>
          <t>1084</t>
        </is>
      </c>
      <c r="C2435" s="67" t="inlineStr">
        <is>
          <t>3791</t>
        </is>
      </c>
      <c r="D2435" s="68" t="inlineStr">
        <is>
          <t>03</t>
        </is>
      </c>
      <c r="E2435" s="68" t="inlineStr">
        <is>
          <t>7 招牌</t>
        </is>
      </c>
      <c r="F2435" s="68" t="inlineStr">
        <is>
          <t>7.3 招牌安装</t>
        </is>
      </c>
      <c r="G2435" s="68" t="inlineStr">
        <is>
          <t>招牌安装</t>
        </is>
      </c>
      <c r="H2435" s="68" t="inlineStr">
        <is>
          <t>招牌安装</t>
        </is>
      </c>
      <c r="I2435" s="69" t="inlineStr">
        <is>
          <t>1000045089</t>
        </is>
      </c>
      <c r="J2435" s="69" t="inlineStr">
        <is>
          <t>落地大M字招牌安装及加固基础</t>
        </is>
      </c>
      <c r="K2435" s="70" t="n"/>
      <c r="L2435" s="70" t="n"/>
      <c r="M2435" s="71" t="inlineStr">
        <is>
          <t>个</t>
        </is>
      </c>
      <c r="N2435" s="72" t="n">
        <v>1369.65</v>
      </c>
      <c r="O2435" s="72">
        <f>ROUND(N2435*(1+$F$10),2)</f>
        <v/>
      </c>
      <c r="P2435" s="73">
        <f>ROUND(K2435*N2435,2)</f>
        <v/>
      </c>
      <c r="Q2435" s="74">
        <f>ROUND(L2435*N2435,2)</f>
        <v/>
      </c>
      <c r="R2435" s="75" t="n"/>
      <c r="S2435" s="76" t="n"/>
      <c r="T2435" s="77">
        <f>K2435-L2435</f>
        <v/>
      </c>
      <c r="U2435" s="77">
        <f>P2435-Q2435</f>
        <v/>
      </c>
      <c r="V2435" s="77">
        <f>ABS(U2435)</f>
        <v/>
      </c>
      <c r="W2435" s="78">
        <f>T2435/L2435</f>
        <v/>
      </c>
      <c r="X2435" s="79">
        <f>ABS(W2435)</f>
        <v/>
      </c>
    </row>
    <row r="2436" ht="11.4" customHeight="1">
      <c r="A2436" s="67" t="inlineStr">
        <is>
          <t>大甜86</t>
        </is>
      </c>
      <c r="B2436" s="67" t="inlineStr">
        <is>
          <t>1084</t>
        </is>
      </c>
      <c r="C2436" s="67" t="inlineStr">
        <is>
          <t>3791</t>
        </is>
      </c>
      <c r="D2436" s="68" t="inlineStr">
        <is>
          <t>03</t>
        </is>
      </c>
      <c r="E2436" s="68" t="inlineStr">
        <is>
          <t>7 招牌</t>
        </is>
      </c>
      <c r="F2436" s="68" t="inlineStr">
        <is>
          <t>7.3 招牌安装</t>
        </is>
      </c>
      <c r="G2436" s="68" t="inlineStr">
        <is>
          <t>招牌安装</t>
        </is>
      </c>
      <c r="H2436" s="68" t="inlineStr">
        <is>
          <t>招牌安装</t>
        </is>
      </c>
      <c r="I2436" s="69" t="inlineStr">
        <is>
          <t>1000085730</t>
        </is>
      </c>
      <c r="J2436" s="69" t="inlineStr">
        <is>
          <t>CUBE 麦咖啡灯箱（内立面）（仅安装）</t>
        </is>
      </c>
      <c r="K2436" s="70" t="n"/>
      <c r="L2436" s="70" t="n"/>
      <c r="M2436" s="71" t="inlineStr">
        <is>
          <t>m2</t>
        </is>
      </c>
      <c r="N2436" s="72" t="n">
        <v>489.26</v>
      </c>
      <c r="O2436" s="72">
        <f>ROUND(N2436*(1+$F$10),2)</f>
        <v/>
      </c>
      <c r="P2436" s="73">
        <f>ROUND(K2436*N2436,2)</f>
        <v/>
      </c>
      <c r="Q2436" s="74">
        <f>ROUND(L2436*N2436,2)</f>
        <v/>
      </c>
      <c r="R2436" s="75" t="n"/>
      <c r="S2436" s="76" t="n"/>
      <c r="T2436" s="77">
        <f>K2436-L2436</f>
        <v/>
      </c>
      <c r="U2436" s="77">
        <f>P2436-Q2436</f>
        <v/>
      </c>
      <c r="V2436" s="77">
        <f>ABS(U2436)</f>
        <v/>
      </c>
      <c r="W2436" s="78">
        <f>T2436/L2436</f>
        <v/>
      </c>
      <c r="X2436" s="79">
        <f>ABS(W2436)</f>
        <v/>
      </c>
    </row>
    <row r="2437" ht="11.4" customHeight="1">
      <c r="A2437" s="67" t="inlineStr">
        <is>
          <t>大甜86</t>
        </is>
      </c>
      <c r="B2437" s="67" t="inlineStr">
        <is>
          <t>1084</t>
        </is>
      </c>
      <c r="C2437" s="67" t="inlineStr">
        <is>
          <t>3791</t>
        </is>
      </c>
      <c r="D2437" s="68" t="inlineStr">
        <is>
          <t>03</t>
        </is>
      </c>
      <c r="E2437" s="68" t="inlineStr">
        <is>
          <t>7 招牌</t>
        </is>
      </c>
      <c r="F2437" s="68" t="inlineStr">
        <is>
          <t>7.3 招牌安装</t>
        </is>
      </c>
      <c r="G2437" s="68" t="inlineStr">
        <is>
          <t>招牌安装</t>
        </is>
      </c>
      <c r="H2437" s="68" t="inlineStr">
        <is>
          <t>招牌安装</t>
        </is>
      </c>
      <c r="I2437" s="69" t="inlineStr">
        <is>
          <t>1000085731</t>
        </is>
      </c>
      <c r="J2437" s="69" t="inlineStr">
        <is>
          <t>CUBE 麦咖啡灯箱（外立面）（仅安装）</t>
        </is>
      </c>
      <c r="K2437" s="70" t="n"/>
      <c r="L2437" s="70" t="n"/>
      <c r="M2437" s="71" t="inlineStr">
        <is>
          <t>只</t>
        </is>
      </c>
      <c r="N2437" s="72" t="n">
        <v>1457.26</v>
      </c>
      <c r="O2437" s="72">
        <f>ROUND(N2437*(1+$F$10),2)</f>
        <v/>
      </c>
      <c r="P2437" s="73">
        <f>ROUND(K2437*N2437,2)</f>
        <v/>
      </c>
      <c r="Q2437" s="74">
        <f>ROUND(L2437*N2437,2)</f>
        <v/>
      </c>
      <c r="R2437" s="75" t="n"/>
      <c r="S2437" s="76" t="n"/>
      <c r="T2437" s="77">
        <f>K2437-L2437</f>
        <v/>
      </c>
      <c r="U2437" s="77">
        <f>P2437-Q2437</f>
        <v/>
      </c>
      <c r="V2437" s="77">
        <f>ABS(U2437)</f>
        <v/>
      </c>
      <c r="W2437" s="78">
        <f>T2437/L2437</f>
        <v/>
      </c>
      <c r="X2437" s="79">
        <f>ABS(W2437)</f>
        <v/>
      </c>
    </row>
    <row r="2438" ht="11.4" customHeight="1">
      <c r="A2438" s="67" t="inlineStr">
        <is>
          <t>大甜86</t>
        </is>
      </c>
      <c r="B2438" s="67" t="inlineStr">
        <is>
          <t>1084</t>
        </is>
      </c>
      <c r="C2438" s="67" t="inlineStr">
        <is>
          <t>3791</t>
        </is>
      </c>
      <c r="D2438" s="68" t="inlineStr">
        <is>
          <t>03</t>
        </is>
      </c>
      <c r="E2438" s="68" t="inlineStr">
        <is>
          <t>7 招牌</t>
        </is>
      </c>
      <c r="F2438" s="68" t="inlineStr">
        <is>
          <t>7.3 招牌安装</t>
        </is>
      </c>
      <c r="G2438" s="68" t="inlineStr">
        <is>
          <t>招牌安装</t>
        </is>
      </c>
      <c r="H2438" s="68" t="inlineStr">
        <is>
          <t>招牌安装</t>
        </is>
      </c>
      <c r="I2438" s="69" t="inlineStr">
        <is>
          <t>1000085733</t>
        </is>
      </c>
      <c r="J2438" s="69" t="inlineStr">
        <is>
          <t>more seat标志（仅安装）</t>
        </is>
      </c>
      <c r="K2438" s="70" t="n"/>
      <c r="L2438" s="70" t="n"/>
      <c r="M2438" s="71" t="inlineStr">
        <is>
          <t>只</t>
        </is>
      </c>
      <c r="N2438" s="72" t="n">
        <v>489.26</v>
      </c>
      <c r="O2438" s="72">
        <f>ROUND(N2438*(1+$F$10),2)</f>
        <v/>
      </c>
      <c r="P2438" s="73">
        <f>ROUND(K2438*N2438,2)</f>
        <v/>
      </c>
      <c r="Q2438" s="74">
        <f>ROUND(L2438*N2438,2)</f>
        <v/>
      </c>
      <c r="R2438" s="75" t="n"/>
      <c r="S2438" s="76" t="n"/>
      <c r="T2438" s="77">
        <f>K2438-L2438</f>
        <v/>
      </c>
      <c r="U2438" s="77">
        <f>P2438-Q2438</f>
        <v/>
      </c>
      <c r="V2438" s="77">
        <f>ABS(U2438)</f>
        <v/>
      </c>
      <c r="W2438" s="78">
        <f>T2438/L2438</f>
        <v/>
      </c>
      <c r="X2438" s="79">
        <f>ABS(W2438)</f>
        <v/>
      </c>
    </row>
    <row r="2439" ht="11.4" customHeight="1">
      <c r="A2439" s="67" t="inlineStr">
        <is>
          <t>大甜86</t>
        </is>
      </c>
      <c r="B2439" s="67" t="inlineStr">
        <is>
          <t>1084</t>
        </is>
      </c>
      <c r="C2439" s="67" t="inlineStr">
        <is>
          <t>3791</t>
        </is>
      </c>
      <c r="D2439" s="68" t="inlineStr">
        <is>
          <t>03</t>
        </is>
      </c>
      <c r="E2439" s="68" t="inlineStr">
        <is>
          <t>7 招牌</t>
        </is>
      </c>
      <c r="F2439" s="68" t="inlineStr">
        <is>
          <t>7.3 招牌安装</t>
        </is>
      </c>
      <c r="G2439" s="68" t="inlineStr">
        <is>
          <t>招牌安装</t>
        </is>
      </c>
      <c r="H2439" s="68" t="inlineStr">
        <is>
          <t>招牌安装</t>
        </is>
      </c>
      <c r="I2439" s="69" t="inlineStr">
        <is>
          <t>1000085734</t>
        </is>
      </c>
      <c r="J2439" s="69" t="inlineStr">
        <is>
          <t>Happy Box（仅安装）</t>
        </is>
      </c>
      <c r="K2439" s="70" t="n"/>
      <c r="L2439" s="70" t="n"/>
      <c r="M2439" s="71" t="inlineStr">
        <is>
          <t>只</t>
        </is>
      </c>
      <c r="N2439" s="72" t="n">
        <v>439.49</v>
      </c>
      <c r="O2439" s="72">
        <f>ROUND(N2439*(1+$F$10),2)</f>
        <v/>
      </c>
      <c r="P2439" s="73">
        <f>ROUND(K2439*N2439,2)</f>
        <v/>
      </c>
      <c r="Q2439" s="74">
        <f>ROUND(L2439*N2439,2)</f>
        <v/>
      </c>
      <c r="R2439" s="75" t="n"/>
      <c r="S2439" s="76" t="n"/>
      <c r="T2439" s="77">
        <f>K2439-L2439</f>
        <v/>
      </c>
      <c r="U2439" s="77">
        <f>P2439-Q2439</f>
        <v/>
      </c>
      <c r="V2439" s="77">
        <f>ABS(U2439)</f>
        <v/>
      </c>
      <c r="W2439" s="78">
        <f>T2439/L2439</f>
        <v/>
      </c>
      <c r="X2439" s="79">
        <f>ABS(W2439)</f>
        <v/>
      </c>
    </row>
    <row r="2440" ht="11.4" customHeight="1">
      <c r="A2440" s="67" t="inlineStr">
        <is>
          <t>大甜86</t>
        </is>
      </c>
      <c r="B2440" s="67" t="inlineStr">
        <is>
          <t>1084</t>
        </is>
      </c>
      <c r="C2440" s="67" t="inlineStr">
        <is>
          <t>3791</t>
        </is>
      </c>
      <c r="D2440" s="68" t="inlineStr">
        <is>
          <t>03</t>
        </is>
      </c>
      <c r="E2440" s="68" t="inlineStr">
        <is>
          <t>7 招牌</t>
        </is>
      </c>
      <c r="F2440" s="68" t="inlineStr">
        <is>
          <t>7.3 招牌安装</t>
        </is>
      </c>
      <c r="G2440" s="68" t="inlineStr">
        <is>
          <t>招牌安装</t>
        </is>
      </c>
      <c r="H2440" s="68" t="inlineStr">
        <is>
          <t>招牌安装</t>
        </is>
      </c>
      <c r="I2440" s="69" t="inlineStr">
        <is>
          <t>1000085735</t>
        </is>
      </c>
      <c r="J2440" s="69" t="inlineStr">
        <is>
          <t>2000*2000mm高位灯箱招牌（仅安装）（底标高H &gt; 10m)</t>
        </is>
      </c>
      <c r="K2440" s="70" t="n"/>
      <c r="L2440" s="70" t="n"/>
      <c r="M2440" s="71" t="inlineStr">
        <is>
          <t>只</t>
        </is>
      </c>
      <c r="N2440" s="72" t="n">
        <v>6462.29</v>
      </c>
      <c r="O2440" s="72">
        <f>ROUND(N2440*(1+$F$10),2)</f>
        <v/>
      </c>
      <c r="P2440" s="73">
        <f>ROUND(K2440*N2440,2)</f>
        <v/>
      </c>
      <c r="Q2440" s="74">
        <f>ROUND(L2440*N2440,2)</f>
        <v/>
      </c>
      <c r="R2440" s="75" t="n"/>
      <c r="S2440" s="76" t="n"/>
      <c r="T2440" s="77">
        <f>K2440-L2440</f>
        <v/>
      </c>
      <c r="U2440" s="77">
        <f>P2440-Q2440</f>
        <v/>
      </c>
      <c r="V2440" s="77">
        <f>ABS(U2440)</f>
        <v/>
      </c>
      <c r="W2440" s="78">
        <f>T2440/L2440</f>
        <v/>
      </c>
      <c r="X2440" s="79">
        <f>ABS(W2440)</f>
        <v/>
      </c>
    </row>
    <row r="2441" ht="11.4" customHeight="1">
      <c r="A2441" s="67" t="inlineStr">
        <is>
          <t>大甜86</t>
        </is>
      </c>
      <c r="B2441" s="67" t="inlineStr">
        <is>
          <t>1084</t>
        </is>
      </c>
      <c r="C2441" s="67" t="inlineStr">
        <is>
          <t>3791</t>
        </is>
      </c>
      <c r="D2441" s="68" t="inlineStr">
        <is>
          <t>03</t>
        </is>
      </c>
      <c r="E2441" s="68" t="inlineStr">
        <is>
          <t>7 招牌</t>
        </is>
      </c>
      <c r="F2441" s="68" t="inlineStr">
        <is>
          <t>7.3 招牌安装</t>
        </is>
      </c>
      <c r="G2441" s="68" t="inlineStr">
        <is>
          <t>招牌安装</t>
        </is>
      </c>
      <c r="H2441" s="68" t="inlineStr">
        <is>
          <t>招牌安装</t>
        </is>
      </c>
      <c r="I2441" s="69" t="inlineStr">
        <is>
          <t>1000085736</t>
        </is>
      </c>
      <c r="J2441" s="69" t="inlineStr">
        <is>
          <t>2000*2000mm高位灯箱招牌（仅安装）(底标高H ≤ 10m）</t>
        </is>
      </c>
      <c r="K2441" s="70" t="n"/>
      <c r="L2441" s="70" t="n"/>
      <c r="M2441" s="71" t="inlineStr">
        <is>
          <t>只</t>
        </is>
      </c>
      <c r="N2441" s="72" t="n">
        <v>4737.19</v>
      </c>
      <c r="O2441" s="72">
        <f>ROUND(N2441*(1+$F$10),2)</f>
        <v/>
      </c>
      <c r="P2441" s="73">
        <f>ROUND(K2441*N2441,2)</f>
        <v/>
      </c>
      <c r="Q2441" s="74">
        <f>ROUND(L2441*N2441,2)</f>
        <v/>
      </c>
      <c r="R2441" s="75" t="n"/>
      <c r="S2441" s="76" t="n"/>
      <c r="T2441" s="77">
        <f>K2441-L2441</f>
        <v/>
      </c>
      <c r="U2441" s="77">
        <f>P2441-Q2441</f>
        <v/>
      </c>
      <c r="V2441" s="77">
        <f>ABS(U2441)</f>
        <v/>
      </c>
      <c r="W2441" s="78">
        <f>T2441/L2441</f>
        <v/>
      </c>
      <c r="X2441" s="79">
        <f>ABS(W2441)</f>
        <v/>
      </c>
    </row>
    <row r="2442" ht="11.4" customHeight="1">
      <c r="A2442" s="67" t="inlineStr">
        <is>
          <t>大甜86</t>
        </is>
      </c>
      <c r="B2442" s="67" t="inlineStr">
        <is>
          <t>1084</t>
        </is>
      </c>
      <c r="C2442" s="67" t="inlineStr">
        <is>
          <t>3791</t>
        </is>
      </c>
      <c r="D2442" s="68" t="inlineStr">
        <is>
          <t>03</t>
        </is>
      </c>
      <c r="E2442" s="68" t="inlineStr">
        <is>
          <t>7 招牌</t>
        </is>
      </c>
      <c r="F2442" s="68" t="inlineStr">
        <is>
          <t>7.3 招牌安装</t>
        </is>
      </c>
      <c r="G2442" s="68" t="inlineStr">
        <is>
          <t>招牌安装</t>
        </is>
      </c>
      <c r="H2442" s="68" t="inlineStr">
        <is>
          <t>招牌安装</t>
        </is>
      </c>
      <c r="I2442" s="69" t="inlineStr">
        <is>
          <t>1000022067</t>
        </is>
      </c>
      <c r="J2442" s="69" t="inlineStr">
        <is>
          <t>DT-售卖窗口外挂订制招牌</t>
        </is>
      </c>
      <c r="K2442" s="70" t="n"/>
      <c r="L2442" s="70" t="n"/>
      <c r="M2442" s="71" t="inlineStr">
        <is>
          <t>只</t>
        </is>
      </c>
      <c r="N2442" s="72" t="n">
        <v>1591.99</v>
      </c>
      <c r="O2442" s="72">
        <f>ROUND(N2442*(1+$F$10),2)</f>
        <v/>
      </c>
      <c r="P2442" s="73">
        <f>ROUND(K2442*N2442,2)</f>
        <v/>
      </c>
      <c r="Q2442" s="74">
        <f>ROUND(L2442*N2442,2)</f>
        <v/>
      </c>
      <c r="R2442" s="75" t="n"/>
      <c r="S2442" s="76" t="n"/>
      <c r="T2442" s="77">
        <f>K2442-L2442</f>
        <v/>
      </c>
      <c r="U2442" s="77">
        <f>P2442-Q2442</f>
        <v/>
      </c>
      <c r="V2442" s="77">
        <f>ABS(U2442)</f>
        <v/>
      </c>
      <c r="W2442" s="78">
        <f>T2442/L2442</f>
        <v/>
      </c>
      <c r="X2442" s="79">
        <f>ABS(W2442)</f>
        <v/>
      </c>
    </row>
    <row r="2443" ht="11.4" customHeight="1">
      <c r="A2443" s="67" t="inlineStr">
        <is>
          <t>大甜86</t>
        </is>
      </c>
      <c r="B2443" s="67" t="inlineStr">
        <is>
          <t>1084</t>
        </is>
      </c>
      <c r="C2443" s="67" t="inlineStr">
        <is>
          <t>3791</t>
        </is>
      </c>
      <c r="D2443" s="68" t="inlineStr">
        <is>
          <t>03</t>
        </is>
      </c>
      <c r="E2443" s="68" t="inlineStr">
        <is>
          <t>7 招牌</t>
        </is>
      </c>
      <c r="F2443" s="68" t="inlineStr">
        <is>
          <t>7.3 招牌安装</t>
        </is>
      </c>
      <c r="G2443" s="68" t="inlineStr">
        <is>
          <t>招牌安装</t>
        </is>
      </c>
      <c r="H2443" s="68" t="inlineStr">
        <is>
          <t>招牌安装</t>
        </is>
      </c>
      <c r="I2443" s="69" t="inlineStr">
        <is>
          <t>1000085740</t>
        </is>
      </c>
      <c r="J2443" s="69" t="inlineStr">
        <is>
          <t>DT-落地指示牌安装（不含基础）</t>
        </is>
      </c>
      <c r="K2443" s="70" t="n"/>
      <c r="L2443" s="70" t="n"/>
      <c r="M2443" s="71" t="inlineStr">
        <is>
          <t>只</t>
        </is>
      </c>
      <c r="N2443" s="72" t="n">
        <v>372.89</v>
      </c>
      <c r="O2443" s="72">
        <f>ROUND(N2443*(1+$F$10),2)</f>
        <v/>
      </c>
      <c r="P2443" s="73">
        <f>ROUND(K2443*N2443,2)</f>
        <v/>
      </c>
      <c r="Q2443" s="74">
        <f>ROUND(L2443*N2443,2)</f>
        <v/>
      </c>
      <c r="R2443" s="75" t="n"/>
      <c r="S2443" s="76" t="n"/>
      <c r="T2443" s="77">
        <f>K2443-L2443</f>
        <v/>
      </c>
      <c r="U2443" s="77">
        <f>P2443-Q2443</f>
        <v/>
      </c>
      <c r="V2443" s="77">
        <f>ABS(U2443)</f>
        <v/>
      </c>
      <c r="W2443" s="78">
        <f>T2443/L2443</f>
        <v/>
      </c>
      <c r="X2443" s="79">
        <f>ABS(W2443)</f>
        <v/>
      </c>
    </row>
    <row r="2444" ht="11.4" customHeight="1">
      <c r="A2444" s="67" t="inlineStr">
        <is>
          <t>大甜86</t>
        </is>
      </c>
      <c r="B2444" s="67" t="inlineStr">
        <is>
          <t>1084</t>
        </is>
      </c>
      <c r="C2444" s="67" t="inlineStr">
        <is>
          <t>3791</t>
        </is>
      </c>
      <c r="D2444" s="68" t="inlineStr">
        <is>
          <t>03</t>
        </is>
      </c>
      <c r="E2444" s="68" t="inlineStr">
        <is>
          <t>7 招牌</t>
        </is>
      </c>
      <c r="F2444" s="68" t="inlineStr">
        <is>
          <t>7.3 招牌安装</t>
        </is>
      </c>
      <c r="G2444" s="68" t="inlineStr">
        <is>
          <t>招牌安装</t>
        </is>
      </c>
      <c r="H2444" s="68" t="inlineStr">
        <is>
          <t>招牌安装</t>
        </is>
      </c>
      <c r="I2444" s="69" t="inlineStr">
        <is>
          <t>1000085741</t>
        </is>
      </c>
      <c r="J2444" s="69" t="inlineStr">
        <is>
          <t>DT-落地指示牌基础</t>
        </is>
      </c>
      <c r="K2444" s="70" t="n"/>
      <c r="L2444" s="70" t="n"/>
      <c r="M2444" s="71" t="inlineStr">
        <is>
          <t>只</t>
        </is>
      </c>
      <c r="N2444" s="72" t="n">
        <v>549.99</v>
      </c>
      <c r="O2444" s="72">
        <f>ROUND(N2444*(1+$F$10),2)</f>
        <v/>
      </c>
      <c r="P2444" s="73">
        <f>ROUND(K2444*N2444,2)</f>
        <v/>
      </c>
      <c r="Q2444" s="74">
        <f>ROUND(L2444*N2444,2)</f>
        <v/>
      </c>
      <c r="R2444" s="75" t="n"/>
      <c r="S2444" s="76" t="n"/>
      <c r="T2444" s="77">
        <f>K2444-L2444</f>
        <v/>
      </c>
      <c r="U2444" s="77">
        <f>P2444-Q2444</f>
        <v/>
      </c>
      <c r="V2444" s="77">
        <f>ABS(U2444)</f>
        <v/>
      </c>
      <c r="W2444" s="78">
        <f>T2444/L2444</f>
        <v/>
      </c>
      <c r="X2444" s="79">
        <f>ABS(W2444)</f>
        <v/>
      </c>
    </row>
    <row r="2445" ht="11.4" customHeight="1">
      <c r="A2445" s="67" t="inlineStr">
        <is>
          <t>大甜86</t>
        </is>
      </c>
      <c r="B2445" s="67" t="inlineStr">
        <is>
          <t>1084</t>
        </is>
      </c>
      <c r="C2445" s="67" t="inlineStr">
        <is>
          <t>3791</t>
        </is>
      </c>
      <c r="D2445" s="68" t="inlineStr">
        <is>
          <t>03</t>
        </is>
      </c>
      <c r="E2445" s="68" t="inlineStr">
        <is>
          <t>7 招牌</t>
        </is>
      </c>
      <c r="F2445" s="68" t="inlineStr">
        <is>
          <t>7.3 招牌安装</t>
        </is>
      </c>
      <c r="G2445" s="68" t="inlineStr">
        <is>
          <t>招牌安装</t>
        </is>
      </c>
      <c r="H2445" s="68" t="inlineStr">
        <is>
          <t>招牌安装</t>
        </is>
      </c>
      <c r="I2445" s="69" t="inlineStr">
        <is>
          <t>1000085723</t>
        </is>
      </c>
      <c r="J2445" s="69" t="inlineStr">
        <is>
          <t>DT-三转灯箱安装</t>
        </is>
      </c>
      <c r="K2445" s="70" t="n"/>
      <c r="L2445" s="70" t="n"/>
      <c r="M2445" s="71" t="inlineStr">
        <is>
          <t>只</t>
        </is>
      </c>
      <c r="N2445" s="72" t="n">
        <v>416.89</v>
      </c>
      <c r="O2445" s="72">
        <f>ROUND(N2445*(1+$F$10),2)</f>
        <v/>
      </c>
      <c r="P2445" s="73">
        <f>ROUND(K2445*N2445,2)</f>
        <v/>
      </c>
      <c r="Q2445" s="74">
        <f>ROUND(L2445*N2445,2)</f>
        <v/>
      </c>
      <c r="R2445" s="75" t="n"/>
      <c r="S2445" s="76" t="n"/>
      <c r="T2445" s="77">
        <f>K2445-L2445</f>
        <v/>
      </c>
      <c r="U2445" s="77">
        <f>P2445-Q2445</f>
        <v/>
      </c>
      <c r="V2445" s="77">
        <f>ABS(U2445)</f>
        <v/>
      </c>
      <c r="W2445" s="78">
        <f>T2445/L2445</f>
        <v/>
      </c>
      <c r="X2445" s="79">
        <f>ABS(W2445)</f>
        <v/>
      </c>
    </row>
    <row r="2446" ht="11.4" customHeight="1">
      <c r="A2446" s="67" t="inlineStr">
        <is>
          <t>大甜86</t>
        </is>
      </c>
      <c r="B2446" s="67" t="inlineStr">
        <is>
          <t>1084</t>
        </is>
      </c>
      <c r="C2446" s="67" t="inlineStr">
        <is>
          <t>3791</t>
        </is>
      </c>
      <c r="D2446" s="68" t="inlineStr">
        <is>
          <t>03</t>
        </is>
      </c>
      <c r="E2446" s="68" t="inlineStr">
        <is>
          <t>7 招牌</t>
        </is>
      </c>
      <c r="F2446" s="68" t="inlineStr">
        <is>
          <t>7.3 招牌安装</t>
        </is>
      </c>
      <c r="G2446" s="68" t="inlineStr">
        <is>
          <t>招牌安装</t>
        </is>
      </c>
      <c r="H2446" s="68" t="inlineStr">
        <is>
          <t>招牌安装</t>
        </is>
      </c>
      <c r="I2446" s="69" t="inlineStr">
        <is>
          <t>1000085724</t>
        </is>
      </c>
      <c r="J2446" s="69" t="inlineStr">
        <is>
          <t>DT-三转灯箱基础</t>
        </is>
      </c>
      <c r="K2446" s="70" t="n"/>
      <c r="L2446" s="70" t="n"/>
      <c r="M2446" s="71" t="inlineStr">
        <is>
          <t>只</t>
        </is>
      </c>
      <c r="N2446" s="72" t="n">
        <v>598.39</v>
      </c>
      <c r="O2446" s="72">
        <f>ROUND(N2446*(1+$F$10),2)</f>
        <v/>
      </c>
      <c r="P2446" s="73">
        <f>ROUND(K2446*N2446,2)</f>
        <v/>
      </c>
      <c r="Q2446" s="74">
        <f>ROUND(L2446*N2446,2)</f>
        <v/>
      </c>
      <c r="R2446" s="75" t="n"/>
      <c r="S2446" s="76" t="n"/>
      <c r="T2446" s="77">
        <f>K2446-L2446</f>
        <v/>
      </c>
      <c r="U2446" s="77">
        <f>P2446-Q2446</f>
        <v/>
      </c>
      <c r="V2446" s="77">
        <f>ABS(U2446)</f>
        <v/>
      </c>
      <c r="W2446" s="78">
        <f>T2446/L2446</f>
        <v/>
      </c>
      <c r="X2446" s="79">
        <f>ABS(W2446)</f>
        <v/>
      </c>
    </row>
    <row r="2447" ht="11.4" customHeight="1">
      <c r="A2447" s="67" t="inlineStr">
        <is>
          <t>大甜86</t>
        </is>
      </c>
      <c r="B2447" s="67" t="inlineStr">
        <is>
          <t>1084</t>
        </is>
      </c>
      <c r="C2447" s="67" t="inlineStr">
        <is>
          <t>3791</t>
        </is>
      </c>
      <c r="D2447" s="68" t="inlineStr">
        <is>
          <t>03</t>
        </is>
      </c>
      <c r="E2447" s="68" t="inlineStr">
        <is>
          <t>7 招牌</t>
        </is>
      </c>
      <c r="F2447" s="68" t="inlineStr">
        <is>
          <t>7.3 招牌安装</t>
        </is>
      </c>
      <c r="G2447" s="68" t="inlineStr">
        <is>
          <t>招牌安装</t>
        </is>
      </c>
      <c r="H2447" s="68" t="inlineStr">
        <is>
          <t>招牌安装</t>
        </is>
      </c>
      <c r="I2447" s="69" t="inlineStr">
        <is>
          <t>1000022068</t>
        </is>
      </c>
      <c r="J2447" s="69" t="inlineStr">
        <is>
          <t>DT-出入口指示牌安装(不含基础)</t>
        </is>
      </c>
      <c r="K2447" s="70" t="n"/>
      <c r="L2447" s="70" t="n"/>
      <c r="M2447" s="71" t="inlineStr">
        <is>
          <t>只</t>
        </is>
      </c>
      <c r="N2447" s="72" t="n"/>
      <c r="O2447" s="72">
        <f>ROUND(N2447*(1+$F$10),2)</f>
        <v/>
      </c>
      <c r="P2447" s="73">
        <f>ROUND(K2447*N2447,2)</f>
        <v/>
      </c>
      <c r="Q2447" s="74">
        <f>ROUND(L2447*N2447,2)</f>
        <v/>
      </c>
      <c r="R2447" s="75" t="n"/>
      <c r="S2447" s="76" t="n"/>
      <c r="T2447" s="77">
        <f>K2447-L2447</f>
        <v/>
      </c>
      <c r="U2447" s="77">
        <f>P2447-Q2447</f>
        <v/>
      </c>
      <c r="V2447" s="77">
        <f>ABS(U2447)</f>
        <v/>
      </c>
      <c r="W2447" s="78">
        <f>T2447/L2447</f>
        <v/>
      </c>
      <c r="X2447" s="79">
        <f>ABS(W2447)</f>
        <v/>
      </c>
    </row>
    <row r="2448" ht="11.4" customHeight="1">
      <c r="A2448" s="67" t="inlineStr">
        <is>
          <t>大甜86</t>
        </is>
      </c>
      <c r="B2448" s="67" t="inlineStr">
        <is>
          <t>1084</t>
        </is>
      </c>
      <c r="C2448" s="67" t="inlineStr">
        <is>
          <t>3791</t>
        </is>
      </c>
      <c r="D2448" s="68" t="inlineStr">
        <is>
          <t>03</t>
        </is>
      </c>
      <c r="E2448" s="68" t="inlineStr">
        <is>
          <t>7 招牌</t>
        </is>
      </c>
      <c r="F2448" s="68" t="inlineStr">
        <is>
          <t>7.3 招牌安装</t>
        </is>
      </c>
      <c r="G2448" s="68" t="inlineStr">
        <is>
          <t>招牌安装</t>
        </is>
      </c>
      <c r="H2448" s="68" t="inlineStr">
        <is>
          <t>招牌安装</t>
        </is>
      </c>
      <c r="I2448" s="69" t="inlineStr">
        <is>
          <t>1000022069</t>
        </is>
      </c>
      <c r="J2448" s="69" t="inlineStr">
        <is>
          <t>DT-出入口指示牌基础</t>
        </is>
      </c>
      <c r="K2448" s="70" t="n"/>
      <c r="L2448" s="70" t="n"/>
      <c r="M2448" s="71" t="inlineStr">
        <is>
          <t>只</t>
        </is>
      </c>
      <c r="N2448" s="72" t="n"/>
      <c r="O2448" s="72">
        <f>ROUND(N2448*(1+$F$10),2)</f>
        <v/>
      </c>
      <c r="P2448" s="73">
        <f>ROUND(K2448*N2448,2)</f>
        <v/>
      </c>
      <c r="Q2448" s="74">
        <f>ROUND(L2448*N2448,2)</f>
        <v/>
      </c>
      <c r="R2448" s="75" t="n"/>
      <c r="S2448" s="76" t="n"/>
      <c r="T2448" s="77">
        <f>K2448-L2448</f>
        <v/>
      </c>
      <c r="U2448" s="77">
        <f>P2448-Q2448</f>
        <v/>
      </c>
      <c r="V2448" s="77">
        <f>ABS(U2448)</f>
        <v/>
      </c>
      <c r="W2448" s="78">
        <f>T2448/L2448</f>
        <v/>
      </c>
      <c r="X2448" s="79">
        <f>ABS(W2448)</f>
        <v/>
      </c>
    </row>
    <row r="2449" ht="11.4" customHeight="1">
      <c r="A2449" s="67" t="inlineStr">
        <is>
          <t>大甜86</t>
        </is>
      </c>
      <c r="B2449" s="67" t="inlineStr">
        <is>
          <t>1084</t>
        </is>
      </c>
      <c r="C2449" s="67" t="inlineStr">
        <is>
          <t>3791</t>
        </is>
      </c>
      <c r="D2449" s="68" t="inlineStr">
        <is>
          <t>03</t>
        </is>
      </c>
      <c r="E2449" s="68" t="inlineStr">
        <is>
          <t>7 招牌</t>
        </is>
      </c>
      <c r="F2449" s="68" t="inlineStr">
        <is>
          <t>7.3 招牌安装</t>
        </is>
      </c>
      <c r="G2449" s="68" t="inlineStr">
        <is>
          <t>招牌安装</t>
        </is>
      </c>
      <c r="H2449" s="68" t="inlineStr">
        <is>
          <t>招牌安装</t>
        </is>
      </c>
      <c r="I2449" s="69" t="inlineStr">
        <is>
          <t>1000022070</t>
        </is>
      </c>
      <c r="J2449" s="69" t="inlineStr">
        <is>
          <t>DT-购餐车道指示牌安装(不含基础)</t>
        </is>
      </c>
      <c r="K2449" s="70" t="n"/>
      <c r="L2449" s="70" t="n"/>
      <c r="M2449" s="71" t="inlineStr">
        <is>
          <t>只</t>
        </is>
      </c>
      <c r="N2449" s="72" t="n"/>
      <c r="O2449" s="72">
        <f>ROUND(N2449*(1+$F$10),2)</f>
        <v/>
      </c>
      <c r="P2449" s="73">
        <f>ROUND(K2449*N2449,2)</f>
        <v/>
      </c>
      <c r="Q2449" s="74">
        <f>ROUND(L2449*N2449,2)</f>
        <v/>
      </c>
      <c r="R2449" s="75" t="n"/>
      <c r="S2449" s="76" t="n"/>
      <c r="T2449" s="77">
        <f>K2449-L2449</f>
        <v/>
      </c>
      <c r="U2449" s="77">
        <f>P2449-Q2449</f>
        <v/>
      </c>
      <c r="V2449" s="77">
        <f>ABS(U2449)</f>
        <v/>
      </c>
      <c r="W2449" s="78">
        <f>T2449/L2449</f>
        <v/>
      </c>
      <c r="X2449" s="79">
        <f>ABS(W2449)</f>
        <v/>
      </c>
    </row>
    <row r="2450" ht="11.4" customHeight="1">
      <c r="A2450" s="67" t="inlineStr">
        <is>
          <t>大甜86</t>
        </is>
      </c>
      <c r="B2450" s="67" t="inlineStr">
        <is>
          <t>1084</t>
        </is>
      </c>
      <c r="C2450" s="67" t="inlineStr">
        <is>
          <t>3791</t>
        </is>
      </c>
      <c r="D2450" s="68" t="inlineStr">
        <is>
          <t>03</t>
        </is>
      </c>
      <c r="E2450" s="68" t="inlineStr">
        <is>
          <t>7 招牌</t>
        </is>
      </c>
      <c r="F2450" s="68" t="inlineStr">
        <is>
          <t>7.3 招牌安装</t>
        </is>
      </c>
      <c r="G2450" s="68" t="inlineStr">
        <is>
          <t>招牌安装</t>
        </is>
      </c>
      <c r="H2450" s="68" t="inlineStr">
        <is>
          <t>招牌安装</t>
        </is>
      </c>
      <c r="I2450" s="69" t="inlineStr">
        <is>
          <t>1000022071</t>
        </is>
      </c>
      <c r="J2450" s="69" t="inlineStr">
        <is>
          <t>DT-购餐车道指示牌基础</t>
        </is>
      </c>
      <c r="K2450" s="70" t="n"/>
      <c r="L2450" s="70" t="n"/>
      <c r="M2450" s="71" t="inlineStr">
        <is>
          <t>只</t>
        </is>
      </c>
      <c r="N2450" s="72" t="n"/>
      <c r="O2450" s="72">
        <f>ROUND(N2450*(1+$F$10),2)</f>
        <v/>
      </c>
      <c r="P2450" s="73">
        <f>ROUND(K2450*N2450,2)</f>
        <v/>
      </c>
      <c r="Q2450" s="74">
        <f>ROUND(L2450*N2450,2)</f>
        <v/>
      </c>
      <c r="R2450" s="75" t="n"/>
      <c r="S2450" s="76" t="n"/>
      <c r="T2450" s="77">
        <f>K2450-L2450</f>
        <v/>
      </c>
      <c r="U2450" s="77">
        <f>P2450-Q2450</f>
        <v/>
      </c>
      <c r="V2450" s="77">
        <f>ABS(U2450)</f>
        <v/>
      </c>
      <c r="W2450" s="78">
        <f>T2450/L2450</f>
        <v/>
      </c>
      <c r="X2450" s="79">
        <f>ABS(W2450)</f>
        <v/>
      </c>
    </row>
    <row r="2451" ht="11.4" customHeight="1">
      <c r="A2451" s="67" t="inlineStr">
        <is>
          <t>大甜86</t>
        </is>
      </c>
      <c r="B2451" s="67" t="inlineStr">
        <is>
          <t>1084</t>
        </is>
      </c>
      <c r="C2451" s="67" t="inlineStr">
        <is>
          <t>3791</t>
        </is>
      </c>
      <c r="D2451" s="68" t="inlineStr">
        <is>
          <t>03</t>
        </is>
      </c>
      <c r="E2451" s="68" t="inlineStr">
        <is>
          <t>7 招牌</t>
        </is>
      </c>
      <c r="F2451" s="68" t="inlineStr">
        <is>
          <t>7.3 招牌安装</t>
        </is>
      </c>
      <c r="G2451" s="68" t="inlineStr">
        <is>
          <t>招牌安装</t>
        </is>
      </c>
      <c r="H2451" s="68" t="inlineStr">
        <is>
          <t>招牌安装</t>
        </is>
      </c>
      <c r="I2451" s="69" t="inlineStr">
        <is>
          <t>1000022072</t>
        </is>
      </c>
      <c r="J2451" s="69" t="inlineStr">
        <is>
          <t>DT-麦当劳停车位指示牌安装(不含基础)</t>
        </is>
      </c>
      <c r="K2451" s="70" t="n"/>
      <c r="L2451" s="70" t="n"/>
      <c r="M2451" s="71" t="inlineStr">
        <is>
          <t>只</t>
        </is>
      </c>
      <c r="N2451" s="72" t="n"/>
      <c r="O2451" s="72">
        <f>ROUND(N2451*(1+$F$10),2)</f>
        <v/>
      </c>
      <c r="P2451" s="73">
        <f>ROUND(K2451*N2451,2)</f>
        <v/>
      </c>
      <c r="Q2451" s="74">
        <f>ROUND(L2451*N2451,2)</f>
        <v/>
      </c>
      <c r="R2451" s="75" t="n"/>
      <c r="S2451" s="76" t="n"/>
      <c r="T2451" s="77">
        <f>K2451-L2451</f>
        <v/>
      </c>
      <c r="U2451" s="77">
        <f>P2451-Q2451</f>
        <v/>
      </c>
      <c r="V2451" s="77">
        <f>ABS(U2451)</f>
        <v/>
      </c>
      <c r="W2451" s="78">
        <f>T2451/L2451</f>
        <v/>
      </c>
      <c r="X2451" s="79">
        <f>ABS(W2451)</f>
        <v/>
      </c>
    </row>
    <row r="2452" ht="11.4" customHeight="1">
      <c r="A2452" s="67" t="inlineStr">
        <is>
          <t>大甜86</t>
        </is>
      </c>
      <c r="B2452" s="67" t="inlineStr">
        <is>
          <t>1084</t>
        </is>
      </c>
      <c r="C2452" s="67" t="inlineStr">
        <is>
          <t>3791</t>
        </is>
      </c>
      <c r="D2452" s="68" t="inlineStr">
        <is>
          <t>03</t>
        </is>
      </c>
      <c r="E2452" s="68" t="inlineStr">
        <is>
          <t>7 招牌</t>
        </is>
      </c>
      <c r="F2452" s="68" t="inlineStr">
        <is>
          <t>7.3 招牌安装</t>
        </is>
      </c>
      <c r="G2452" s="68" t="inlineStr">
        <is>
          <t>招牌安装</t>
        </is>
      </c>
      <c r="H2452" s="68" t="inlineStr">
        <is>
          <t>招牌安装</t>
        </is>
      </c>
      <c r="I2452" s="69" t="inlineStr">
        <is>
          <t>1000022073</t>
        </is>
      </c>
      <c r="J2452" s="69" t="inlineStr">
        <is>
          <t>DT-麦当劳停车位指示牌基础</t>
        </is>
      </c>
      <c r="K2452" s="70" t="n"/>
      <c r="L2452" s="70" t="n"/>
      <c r="M2452" s="71" t="inlineStr">
        <is>
          <t>只</t>
        </is>
      </c>
      <c r="N2452" s="72" t="n"/>
      <c r="O2452" s="72">
        <f>ROUND(N2452*(1+$F$10),2)</f>
        <v/>
      </c>
      <c r="P2452" s="73">
        <f>ROUND(K2452*N2452,2)</f>
        <v/>
      </c>
      <c r="Q2452" s="74">
        <f>ROUND(L2452*N2452,2)</f>
        <v/>
      </c>
      <c r="R2452" s="75" t="n"/>
      <c r="S2452" s="76" t="n"/>
      <c r="T2452" s="77">
        <f>K2452-L2452</f>
        <v/>
      </c>
      <c r="U2452" s="77">
        <f>P2452-Q2452</f>
        <v/>
      </c>
      <c r="V2452" s="77">
        <f>ABS(U2452)</f>
        <v/>
      </c>
      <c r="W2452" s="78">
        <f>T2452/L2452</f>
        <v/>
      </c>
      <c r="X2452" s="79">
        <f>ABS(W2452)</f>
        <v/>
      </c>
    </row>
    <row r="2453" ht="11.4" customHeight="1">
      <c r="A2453" s="67" t="inlineStr">
        <is>
          <t>大甜86</t>
        </is>
      </c>
      <c r="B2453" s="67" t="inlineStr">
        <is>
          <t>1084</t>
        </is>
      </c>
      <c r="C2453" s="67" t="inlineStr">
        <is>
          <t>3791</t>
        </is>
      </c>
      <c r="D2453" s="68" t="inlineStr">
        <is>
          <t>03</t>
        </is>
      </c>
      <c r="E2453" s="68" t="inlineStr">
        <is>
          <t>7 招牌</t>
        </is>
      </c>
      <c r="F2453" s="68" t="inlineStr">
        <is>
          <t>7.3 招牌安装</t>
        </is>
      </c>
      <c r="G2453" s="68" t="inlineStr">
        <is>
          <t>招牌安装</t>
        </is>
      </c>
      <c r="H2453" s="68" t="inlineStr">
        <is>
          <t>招牌安装</t>
        </is>
      </c>
      <c r="I2453" s="69" t="inlineStr">
        <is>
          <t>1000022074</t>
        </is>
      </c>
      <c r="J2453" s="69" t="inlineStr">
        <is>
          <t>DT-COD（含雨棚）安装(不含基础)</t>
        </is>
      </c>
      <c r="K2453" s="70" t="n"/>
      <c r="L2453" s="70" t="n"/>
      <c r="M2453" s="71" t="inlineStr">
        <is>
          <t>只</t>
        </is>
      </c>
      <c r="N2453" s="72" t="n">
        <v>1575.49</v>
      </c>
      <c r="O2453" s="72">
        <f>ROUND(N2453*(1+$F$10),2)</f>
        <v/>
      </c>
      <c r="P2453" s="73">
        <f>ROUND(K2453*N2453,2)</f>
        <v/>
      </c>
      <c r="Q2453" s="74">
        <f>ROUND(L2453*N2453,2)</f>
        <v/>
      </c>
      <c r="R2453" s="75" t="n"/>
      <c r="S2453" s="76" t="n"/>
      <c r="T2453" s="77">
        <f>K2453-L2453</f>
        <v/>
      </c>
      <c r="U2453" s="77">
        <f>P2453-Q2453</f>
        <v/>
      </c>
      <c r="V2453" s="77">
        <f>ABS(U2453)</f>
        <v/>
      </c>
      <c r="W2453" s="78">
        <f>T2453/L2453</f>
        <v/>
      </c>
      <c r="X2453" s="79">
        <f>ABS(W2453)</f>
        <v/>
      </c>
    </row>
    <row r="2454" ht="11.4" customHeight="1">
      <c r="A2454" s="67" t="inlineStr">
        <is>
          <t>大甜86</t>
        </is>
      </c>
      <c r="B2454" s="67" t="inlineStr">
        <is>
          <t>1084</t>
        </is>
      </c>
      <c r="C2454" s="67" t="inlineStr">
        <is>
          <t>3791</t>
        </is>
      </c>
      <c r="D2454" s="68" t="inlineStr">
        <is>
          <t>03</t>
        </is>
      </c>
      <c r="E2454" s="68" t="inlineStr">
        <is>
          <t>7 招牌</t>
        </is>
      </c>
      <c r="F2454" s="68" t="inlineStr">
        <is>
          <t>7.3 招牌安装</t>
        </is>
      </c>
      <c r="G2454" s="68" t="inlineStr">
        <is>
          <t>招牌安装</t>
        </is>
      </c>
      <c r="H2454" s="68" t="inlineStr">
        <is>
          <t>招牌安装</t>
        </is>
      </c>
      <c r="I2454" s="69" t="inlineStr">
        <is>
          <t>1000022075</t>
        </is>
      </c>
      <c r="J2454" s="69" t="inlineStr">
        <is>
          <t>DT-COD（含雨棚）及预售菜单牌基础</t>
        </is>
      </c>
      <c r="K2454" s="70" t="n"/>
      <c r="L2454" s="70" t="n"/>
      <c r="M2454" s="71" t="inlineStr">
        <is>
          <t>项</t>
        </is>
      </c>
      <c r="N2454" s="72" t="n">
        <v>3038.34</v>
      </c>
      <c r="O2454" s="72">
        <f>ROUND(N2454*(1+$F$10),2)</f>
        <v/>
      </c>
      <c r="P2454" s="73">
        <f>ROUND(K2454*N2454,2)</f>
        <v/>
      </c>
      <c r="Q2454" s="74">
        <f>ROUND(L2454*N2454,2)</f>
        <v/>
      </c>
      <c r="R2454" s="75" t="n"/>
      <c r="S2454" s="76" t="n"/>
      <c r="T2454" s="77">
        <f>K2454-L2454</f>
        <v/>
      </c>
      <c r="U2454" s="77">
        <f>P2454-Q2454</f>
        <v/>
      </c>
      <c r="V2454" s="77">
        <f>ABS(U2454)</f>
        <v/>
      </c>
      <c r="W2454" s="78">
        <f>T2454/L2454</f>
        <v/>
      </c>
      <c r="X2454" s="79">
        <f>ABS(W2454)</f>
        <v/>
      </c>
    </row>
    <row r="2455" ht="11.4" customHeight="1">
      <c r="A2455" s="67" t="inlineStr">
        <is>
          <t>大甜86</t>
        </is>
      </c>
      <c r="B2455" s="67" t="inlineStr">
        <is>
          <t>1084</t>
        </is>
      </c>
      <c r="C2455" s="67" t="inlineStr">
        <is>
          <t>3791</t>
        </is>
      </c>
      <c r="D2455" s="68" t="inlineStr">
        <is>
          <t>03</t>
        </is>
      </c>
      <c r="E2455" s="68" t="inlineStr">
        <is>
          <t>7 招牌</t>
        </is>
      </c>
      <c r="F2455" s="68" t="inlineStr">
        <is>
          <t>7.3 招牌安装</t>
        </is>
      </c>
      <c r="G2455" s="68" t="inlineStr">
        <is>
          <t>招牌安装</t>
        </is>
      </c>
      <c r="H2455" s="68" t="inlineStr">
        <is>
          <t>招牌安装</t>
        </is>
      </c>
      <c r="I2455" s="69" t="inlineStr">
        <is>
          <t>1000022076</t>
        </is>
      </c>
      <c r="J2455" s="69" t="inlineStr">
        <is>
          <t>DT-限高杆安装(不含基础)</t>
        </is>
      </c>
      <c r="K2455" s="70" t="n"/>
      <c r="L2455" s="70" t="n"/>
      <c r="M2455" s="71" t="inlineStr">
        <is>
          <t>只</t>
        </is>
      </c>
      <c r="N2455" s="72" t="n">
        <v>1575.49</v>
      </c>
      <c r="O2455" s="72">
        <f>ROUND(N2455*(1+$F$10),2)</f>
        <v/>
      </c>
      <c r="P2455" s="73">
        <f>ROUND(K2455*N2455,2)</f>
        <v/>
      </c>
      <c r="Q2455" s="74">
        <f>ROUND(L2455*N2455,2)</f>
        <v/>
      </c>
      <c r="R2455" s="75" t="n"/>
      <c r="S2455" s="76" t="n"/>
      <c r="T2455" s="77">
        <f>K2455-L2455</f>
        <v/>
      </c>
      <c r="U2455" s="77">
        <f>P2455-Q2455</f>
        <v/>
      </c>
      <c r="V2455" s="77">
        <f>ABS(U2455)</f>
        <v/>
      </c>
      <c r="W2455" s="78">
        <f>T2455/L2455</f>
        <v/>
      </c>
      <c r="X2455" s="79">
        <f>ABS(W2455)</f>
        <v/>
      </c>
    </row>
    <row r="2456" ht="11.4" customHeight="1">
      <c r="A2456" s="67" t="inlineStr">
        <is>
          <t>大甜86</t>
        </is>
      </c>
      <c r="B2456" s="67" t="inlineStr">
        <is>
          <t>1084</t>
        </is>
      </c>
      <c r="C2456" s="67" t="inlineStr">
        <is>
          <t>3791</t>
        </is>
      </c>
      <c r="D2456" s="68" t="inlineStr">
        <is>
          <t>03</t>
        </is>
      </c>
      <c r="E2456" s="68" t="inlineStr">
        <is>
          <t>7 招牌</t>
        </is>
      </c>
      <c r="F2456" s="68" t="inlineStr">
        <is>
          <t>7.3 招牌安装</t>
        </is>
      </c>
      <c r="G2456" s="68" t="inlineStr">
        <is>
          <t>招牌安装</t>
        </is>
      </c>
      <c r="H2456" s="68" t="inlineStr">
        <is>
          <t>招牌安装</t>
        </is>
      </c>
      <c r="I2456" s="69" t="inlineStr">
        <is>
          <t>1000022077</t>
        </is>
      </c>
      <c r="J2456" s="69" t="inlineStr">
        <is>
          <t>DT-限高杆基础</t>
        </is>
      </c>
      <c r="K2456" s="70" t="n"/>
      <c r="L2456" s="70" t="n"/>
      <c r="M2456" s="71" t="inlineStr">
        <is>
          <t>项</t>
        </is>
      </c>
      <c r="N2456" s="72" t="n">
        <v>876.46</v>
      </c>
      <c r="O2456" s="72">
        <f>ROUND(N2456*(1+$F$10),2)</f>
        <v/>
      </c>
      <c r="P2456" s="73">
        <f>ROUND(K2456*N2456,2)</f>
        <v/>
      </c>
      <c r="Q2456" s="74">
        <f>ROUND(L2456*N2456,2)</f>
        <v/>
      </c>
      <c r="R2456" s="75" t="n"/>
      <c r="S2456" s="76" t="n"/>
      <c r="T2456" s="77">
        <f>K2456-L2456</f>
        <v/>
      </c>
      <c r="U2456" s="77">
        <f>P2456-Q2456</f>
        <v/>
      </c>
      <c r="V2456" s="77">
        <f>ABS(U2456)</f>
        <v/>
      </c>
      <c r="W2456" s="78">
        <f>T2456/L2456</f>
        <v/>
      </c>
      <c r="X2456" s="79">
        <f>ABS(W2456)</f>
        <v/>
      </c>
    </row>
    <row r="2457" ht="11.4" customHeight="1">
      <c r="A2457" s="67" t="inlineStr">
        <is>
          <t>大甜86</t>
        </is>
      </c>
      <c r="B2457" s="67" t="inlineStr">
        <is>
          <t>1084</t>
        </is>
      </c>
      <c r="C2457" s="67" t="inlineStr">
        <is>
          <t>3791</t>
        </is>
      </c>
      <c r="D2457" s="68" t="inlineStr">
        <is>
          <t>03</t>
        </is>
      </c>
      <c r="E2457" s="68" t="inlineStr">
        <is>
          <t>7 招牌</t>
        </is>
      </c>
      <c r="F2457" s="68" t="inlineStr">
        <is>
          <t>7.3 招牌安装</t>
        </is>
      </c>
      <c r="G2457" s="68" t="inlineStr">
        <is>
          <t>招牌安装</t>
        </is>
      </c>
      <c r="H2457" s="68" t="inlineStr">
        <is>
          <t>招牌安装</t>
        </is>
      </c>
      <c r="I2457" s="69" t="inlineStr">
        <is>
          <t>1000022078</t>
        </is>
      </c>
      <c r="J2457" s="69" t="inlineStr">
        <is>
          <t>DT-预售菜单牌安装（一组）(不含基础)</t>
        </is>
      </c>
      <c r="K2457" s="70" t="n"/>
      <c r="L2457" s="70" t="n"/>
      <c r="M2457" s="71" t="inlineStr">
        <is>
          <t>只</t>
        </is>
      </c>
      <c r="N2457" s="72" t="n">
        <v>372.89</v>
      </c>
      <c r="O2457" s="72">
        <f>ROUND(N2457*(1+$F$10),2)</f>
        <v/>
      </c>
      <c r="P2457" s="73">
        <f>ROUND(K2457*N2457,2)</f>
        <v/>
      </c>
      <c r="Q2457" s="74">
        <f>ROUND(L2457*N2457,2)</f>
        <v/>
      </c>
      <c r="R2457" s="75" t="n"/>
      <c r="S2457" s="76" t="n"/>
      <c r="T2457" s="77">
        <f>K2457-L2457</f>
        <v/>
      </c>
      <c r="U2457" s="77">
        <f>P2457-Q2457</f>
        <v/>
      </c>
      <c r="V2457" s="77">
        <f>ABS(U2457)</f>
        <v/>
      </c>
      <c r="W2457" s="78">
        <f>T2457/L2457</f>
        <v/>
      </c>
      <c r="X2457" s="79">
        <f>ABS(W2457)</f>
        <v/>
      </c>
    </row>
    <row r="2458" ht="11.4" customHeight="1">
      <c r="A2458" s="67" t="inlineStr">
        <is>
          <t>大甜131</t>
        </is>
      </c>
      <c r="B2458" s="67" t="inlineStr">
        <is>
          <t>1129</t>
        </is>
      </c>
      <c r="C2458" s="67" t="inlineStr">
        <is>
          <t>8410</t>
        </is>
      </c>
      <c r="D2458" s="68" t="inlineStr">
        <is>
          <t>03</t>
        </is>
      </c>
      <c r="E2458" s="68" t="inlineStr">
        <is>
          <t>8 设备</t>
        </is>
      </c>
      <c r="F2458" s="68" t="inlineStr">
        <is>
          <t>8.4 本地采购设备</t>
        </is>
      </c>
      <c r="G2458" s="68" t="inlineStr">
        <is>
          <t>8.4.1 保险箱</t>
        </is>
      </c>
      <c r="H2458" s="68" t="inlineStr">
        <is>
          <t>保险箱</t>
        </is>
      </c>
      <c r="I2458" s="69" t="inlineStr">
        <is>
          <t>1000021581</t>
        </is>
      </c>
      <c r="J2458" s="69" t="inlineStr">
        <is>
          <t>保险箱</t>
        </is>
      </c>
      <c r="K2458" s="70" t="n"/>
      <c r="L2458" s="70" t="n"/>
      <c r="M2458" s="71" t="inlineStr">
        <is>
          <t>台</t>
        </is>
      </c>
      <c r="N2458" s="72" t="n">
        <v>2676.15</v>
      </c>
      <c r="O2458" s="72">
        <f>ROUND(N2458*(1+$F$10),2)</f>
        <v/>
      </c>
      <c r="P2458" s="73">
        <f>ROUND(K2458*N2458,2)</f>
        <v/>
      </c>
      <c r="Q2458" s="74">
        <f>ROUND(L2458*N2458,2)</f>
        <v/>
      </c>
      <c r="R2458" s="75" t="n"/>
      <c r="S2458" s="76" t="n"/>
      <c r="T2458" s="77">
        <f>K2458-L2458</f>
        <v/>
      </c>
      <c r="U2458" s="77">
        <f>P2458-Q2458</f>
        <v/>
      </c>
      <c r="V2458" s="77">
        <f>ABS(U2458)</f>
        <v/>
      </c>
      <c r="W2458" s="78">
        <f>T2458/L2458</f>
        <v/>
      </c>
      <c r="X2458" s="79">
        <f>ABS(W2458)</f>
        <v/>
      </c>
    </row>
    <row r="2459" ht="11.4" customHeight="1">
      <c r="A2459" s="67" t="inlineStr">
        <is>
          <t>大甜132</t>
        </is>
      </c>
      <c r="B2459" s="67" t="inlineStr">
        <is>
          <t>1130</t>
        </is>
      </c>
      <c r="C2459" s="67" t="inlineStr">
        <is>
          <t>8423</t>
        </is>
      </c>
      <c r="D2459" s="68" t="inlineStr">
        <is>
          <t>03</t>
        </is>
      </c>
      <c r="E2459" s="68" t="inlineStr">
        <is>
          <t>8 设备</t>
        </is>
      </c>
      <c r="F2459" s="68" t="inlineStr">
        <is>
          <t>8.4 本地采购设备</t>
        </is>
      </c>
      <c r="G2459" s="68" t="inlineStr">
        <is>
          <t>8.4.2 电视机/录像机,音响,电话/传真机等</t>
        </is>
      </c>
      <c r="H2459" s="68" t="inlineStr">
        <is>
          <t>电视机/录像机,音响,电话/传真机等</t>
        </is>
      </c>
      <c r="I2459" s="69" t="inlineStr">
        <is>
          <t>1000022083</t>
        </is>
      </c>
      <c r="J2459" s="69" t="inlineStr">
        <is>
          <t>电话机</t>
        </is>
      </c>
      <c r="K2459" s="70" t="n"/>
      <c r="L2459" s="70" t="n"/>
      <c r="M2459" s="71" t="inlineStr">
        <is>
          <t>台</t>
        </is>
      </c>
      <c r="N2459" s="72" t="n"/>
      <c r="O2459" s="72">
        <f>ROUND(N2459*(1+$F$10),2)</f>
        <v/>
      </c>
      <c r="P2459" s="73">
        <f>ROUND(K2459*N2459,2)</f>
        <v/>
      </c>
      <c r="Q2459" s="74">
        <f>ROUND(L2459*N2459,2)</f>
        <v/>
      </c>
      <c r="R2459" s="75" t="n"/>
      <c r="S2459" s="76" t="n"/>
      <c r="T2459" s="77">
        <f>K2459-L2459</f>
        <v/>
      </c>
      <c r="U2459" s="77">
        <f>P2459-Q2459</f>
        <v/>
      </c>
      <c r="V2459" s="77">
        <f>ABS(U2459)</f>
        <v/>
      </c>
      <c r="W2459" s="78">
        <f>T2459/L2459</f>
        <v/>
      </c>
      <c r="X2459" s="79">
        <f>ABS(W2459)</f>
        <v/>
      </c>
    </row>
    <row r="2460" ht="11.4" customHeight="1">
      <c r="A2460" s="67" t="inlineStr">
        <is>
          <t>大甜132</t>
        </is>
      </c>
      <c r="B2460" s="67" t="inlineStr">
        <is>
          <t>1130</t>
        </is>
      </c>
      <c r="C2460" s="67" t="inlineStr">
        <is>
          <t>8423</t>
        </is>
      </c>
      <c r="D2460" s="68" t="inlineStr">
        <is>
          <t>03</t>
        </is>
      </c>
      <c r="E2460" s="68" t="inlineStr">
        <is>
          <t>8 设备</t>
        </is>
      </c>
      <c r="F2460" s="68" t="inlineStr">
        <is>
          <t>8.4 本地采购设备</t>
        </is>
      </c>
      <c r="G2460" s="68" t="inlineStr">
        <is>
          <t>8.4.2 电视机/录像机,音响,电话/传真机等</t>
        </is>
      </c>
      <c r="H2460" s="68" t="inlineStr">
        <is>
          <t>电视机/录像机,音响,电话/传真机等</t>
        </is>
      </c>
      <c r="I2460" s="69" t="inlineStr">
        <is>
          <t>1000022084</t>
        </is>
      </c>
      <c r="J2460" s="69" t="inlineStr">
        <is>
          <t>A4传真机</t>
        </is>
      </c>
      <c r="K2460" s="70" t="n"/>
      <c r="L2460" s="70" t="n"/>
      <c r="M2460" s="71" t="inlineStr">
        <is>
          <t>台</t>
        </is>
      </c>
      <c r="N2460" s="72" t="n">
        <v>939</v>
      </c>
      <c r="O2460" s="72">
        <f>ROUND(N2460*(1+$F$10),2)</f>
        <v/>
      </c>
      <c r="P2460" s="73">
        <f>ROUND(K2460*N2460,2)</f>
        <v/>
      </c>
      <c r="Q2460" s="74">
        <f>ROUND(L2460*N2460,2)</f>
        <v/>
      </c>
      <c r="R2460" s="75" t="n"/>
      <c r="S2460" s="76" t="n"/>
      <c r="T2460" s="77">
        <f>K2460-L2460</f>
        <v/>
      </c>
      <c r="U2460" s="77">
        <f>P2460-Q2460</f>
        <v/>
      </c>
      <c r="V2460" s="77">
        <f>ABS(U2460)</f>
        <v/>
      </c>
      <c r="W2460" s="78">
        <f>T2460/L2460</f>
        <v/>
      </c>
      <c r="X2460" s="79">
        <f>ABS(W2460)</f>
        <v/>
      </c>
    </row>
    <row r="2461" ht="11.4" customHeight="1">
      <c r="A2461" s="67" t="inlineStr">
        <is>
          <t>大甜134</t>
        </is>
      </c>
      <c r="B2461" s="67" t="inlineStr">
        <is>
          <t>1132</t>
        </is>
      </c>
      <c r="C2461" s="67" t="inlineStr">
        <is>
          <t>8426</t>
        </is>
      </c>
      <c r="D2461" s="68" t="inlineStr">
        <is>
          <t>03</t>
        </is>
      </c>
      <c r="E2461" s="68" t="inlineStr">
        <is>
          <t>8 设备</t>
        </is>
      </c>
      <c r="F2461" s="68" t="inlineStr">
        <is>
          <t>8.4 本地采购设备</t>
        </is>
      </c>
      <c r="G2461" s="68" t="inlineStr">
        <is>
          <t>8.4.2 电视机/录像机,音响,电话/传真机等</t>
        </is>
      </c>
      <c r="H2461" s="68" t="inlineStr">
        <is>
          <t>电视机/录像机,音响,电话/传真机等</t>
        </is>
      </c>
      <c r="I2461" s="69" t="inlineStr">
        <is>
          <t>1000021582</t>
        </is>
      </c>
      <c r="J2461" s="69" t="inlineStr">
        <is>
          <t>经理室IT机柜</t>
        </is>
      </c>
      <c r="K2461" s="70" t="n"/>
      <c r="L2461" s="70" t="n"/>
      <c r="M2461" s="71" t="inlineStr">
        <is>
          <t>套</t>
        </is>
      </c>
      <c r="N2461" s="72" t="n">
        <v>4889.85</v>
      </c>
      <c r="O2461" s="72">
        <f>ROUND(N2461*(1+$F$10),2)</f>
        <v/>
      </c>
      <c r="P2461" s="73">
        <f>ROUND(K2461*N2461,2)</f>
        <v/>
      </c>
      <c r="Q2461" s="74">
        <f>ROUND(L2461*N2461,2)</f>
        <v/>
      </c>
      <c r="R2461" s="75" t="n"/>
      <c r="S2461" s="76" t="n"/>
      <c r="T2461" s="77">
        <f>K2461-L2461</f>
        <v/>
      </c>
      <c r="U2461" s="77">
        <f>P2461-Q2461</f>
        <v/>
      </c>
      <c r="V2461" s="77">
        <f>ABS(U2461)</f>
        <v/>
      </c>
      <c r="W2461" s="78">
        <f>T2461/L2461</f>
        <v/>
      </c>
      <c r="X2461" s="79">
        <f>ABS(W2461)</f>
        <v/>
      </c>
    </row>
    <row r="2462" ht="11.4" customHeight="1">
      <c r="A2462" s="67" t="inlineStr">
        <is>
          <t>大甜132</t>
        </is>
      </c>
      <c r="B2462" s="67" t="inlineStr">
        <is>
          <t>1130</t>
        </is>
      </c>
      <c r="C2462" s="67" t="inlineStr">
        <is>
          <t>8422</t>
        </is>
      </c>
      <c r="D2462" s="68" t="inlineStr">
        <is>
          <t>03</t>
        </is>
      </c>
      <c r="E2462" s="68" t="inlineStr">
        <is>
          <t>8 设备</t>
        </is>
      </c>
      <c r="F2462" s="68" t="inlineStr">
        <is>
          <t>8.4 本地采购设备</t>
        </is>
      </c>
      <c r="G2462" s="68" t="inlineStr">
        <is>
          <t>8.4.2 电视机/录像机,音响,电话/传真机等</t>
        </is>
      </c>
      <c r="H2462" s="68" t="inlineStr">
        <is>
          <t>电视机/录像机,音响,电话/传真机等</t>
        </is>
      </c>
      <c r="I2462" s="69" t="inlineStr">
        <is>
          <t>1000021583</t>
        </is>
      </c>
      <c r="J2462" s="69" t="inlineStr">
        <is>
          <t>Honeywell主店音响系统（含吸顶低音喇叭）（不含甜品站）</t>
        </is>
      </c>
      <c r="K2462" s="70" t="n"/>
      <c r="L2462" s="70" t="n"/>
      <c r="M2462" s="71" t="inlineStr">
        <is>
          <t>项</t>
        </is>
      </c>
      <c r="N2462" s="72" t="n">
        <v>8944.690000000001</v>
      </c>
      <c r="O2462" s="72">
        <f>ROUND(N2462*(1+$F$10),2)</f>
        <v/>
      </c>
      <c r="P2462" s="73">
        <f>ROUND(K2462*N2462,2)</f>
        <v/>
      </c>
      <c r="Q2462" s="74">
        <f>ROUND(L2462*N2462,2)</f>
        <v/>
      </c>
      <c r="R2462" s="75" t="n"/>
      <c r="S2462" s="76" t="n"/>
      <c r="T2462" s="77">
        <f>K2462-L2462</f>
        <v/>
      </c>
      <c r="U2462" s="77">
        <f>P2462-Q2462</f>
        <v/>
      </c>
      <c r="V2462" s="77">
        <f>ABS(U2462)</f>
        <v/>
      </c>
      <c r="W2462" s="78">
        <f>T2462/L2462</f>
        <v/>
      </c>
      <c r="X2462" s="79">
        <f>ABS(W2462)</f>
        <v/>
      </c>
    </row>
    <row r="2463" ht="11.4" customHeight="1">
      <c r="A2463" s="67" t="inlineStr">
        <is>
          <t>大甜132</t>
        </is>
      </c>
      <c r="B2463" s="67" t="inlineStr">
        <is>
          <t>1130</t>
        </is>
      </c>
      <c r="C2463" s="67" t="inlineStr">
        <is>
          <t>8422</t>
        </is>
      </c>
      <c r="D2463" s="68" t="inlineStr">
        <is>
          <t>03</t>
        </is>
      </c>
      <c r="E2463" s="68" t="inlineStr">
        <is>
          <t>8 设备</t>
        </is>
      </c>
      <c r="F2463" s="68" t="inlineStr">
        <is>
          <t>8.4 本地采购设备</t>
        </is>
      </c>
      <c r="G2463" s="68" t="inlineStr">
        <is>
          <t>8.4.2 电视机/录像机,音响,电话/传真机等</t>
        </is>
      </c>
      <c r="H2463" s="68" t="inlineStr">
        <is>
          <t>电视机/录像机,音响,电话/传真机等</t>
        </is>
      </c>
      <c r="I2463" s="69" t="inlineStr">
        <is>
          <t>1000021584</t>
        </is>
      </c>
      <c r="J2463" s="69" t="inlineStr">
        <is>
          <t>BOSCH主店音响系统（含吸顶低音喇叭）（不含甜品站）</t>
        </is>
      </c>
      <c r="K2463" s="70" t="n"/>
      <c r="L2463" s="70" t="n"/>
      <c r="M2463" s="71" t="inlineStr">
        <is>
          <t>项</t>
        </is>
      </c>
      <c r="N2463" s="72" t="n">
        <v>9276.48</v>
      </c>
      <c r="O2463" s="72">
        <f>ROUND(N2463*(1+$F$10),2)</f>
        <v/>
      </c>
      <c r="P2463" s="73">
        <f>ROUND(K2463*N2463,2)</f>
        <v/>
      </c>
      <c r="Q2463" s="74">
        <f>ROUND(L2463*N2463,2)</f>
        <v/>
      </c>
      <c r="R2463" s="75" t="n"/>
      <c r="S2463" s="76" t="n"/>
      <c r="T2463" s="77">
        <f>K2463-L2463</f>
        <v/>
      </c>
      <c r="U2463" s="77">
        <f>P2463-Q2463</f>
        <v/>
      </c>
      <c r="V2463" s="77">
        <f>ABS(U2463)</f>
        <v/>
      </c>
      <c r="W2463" s="78">
        <f>T2463/L2463</f>
        <v/>
      </c>
      <c r="X2463" s="79">
        <f>ABS(W2463)</f>
        <v/>
      </c>
    </row>
    <row r="2464" ht="11.4" customHeight="1">
      <c r="A2464" s="67" t="inlineStr">
        <is>
          <t>大甜132</t>
        </is>
      </c>
      <c r="B2464" s="67" t="inlineStr">
        <is>
          <t>1130</t>
        </is>
      </c>
      <c r="C2464" s="67" t="inlineStr">
        <is>
          <t>8422</t>
        </is>
      </c>
      <c r="D2464" s="68" t="inlineStr">
        <is>
          <t>03</t>
        </is>
      </c>
      <c r="E2464" s="68" t="inlineStr">
        <is>
          <t>8 设备</t>
        </is>
      </c>
      <c r="F2464" s="68" t="inlineStr">
        <is>
          <t>8.4 本地采购设备</t>
        </is>
      </c>
      <c r="G2464" s="68" t="inlineStr">
        <is>
          <t>8.4.2 电视机/录像机,音响,电话/传真机等</t>
        </is>
      </c>
      <c r="H2464" s="68" t="inlineStr">
        <is>
          <t>电视机/录像机,音响,电话/传真机等</t>
        </is>
      </c>
      <c r="I2464" s="69" t="inlineStr">
        <is>
          <t>1000022169</t>
        </is>
      </c>
      <c r="J2464" s="69" t="inlineStr">
        <is>
          <t>音响系统布线及安装（不含甜品站）</t>
        </is>
      </c>
      <c r="K2464" s="70" t="n"/>
      <c r="L2464" s="70" t="n"/>
      <c r="M2464" s="71" t="inlineStr">
        <is>
          <t>项</t>
        </is>
      </c>
      <c r="N2464" s="72" t="n">
        <v>4264.19</v>
      </c>
      <c r="O2464" s="72">
        <f>ROUND(N2464*(1+$F$10),2)</f>
        <v/>
      </c>
      <c r="P2464" s="73">
        <f>ROUND(K2464*N2464,2)</f>
        <v/>
      </c>
      <c r="Q2464" s="74">
        <f>ROUND(L2464*N2464,2)</f>
        <v/>
      </c>
      <c r="R2464" s="75" t="n"/>
      <c r="S2464" s="76" t="n"/>
      <c r="T2464" s="77">
        <f>K2464-L2464</f>
        <v/>
      </c>
      <c r="U2464" s="77">
        <f>P2464-Q2464</f>
        <v/>
      </c>
      <c r="V2464" s="77">
        <f>ABS(U2464)</f>
        <v/>
      </c>
      <c r="W2464" s="78">
        <f>T2464/L2464</f>
        <v/>
      </c>
      <c r="X2464" s="79">
        <f>ABS(W2464)</f>
        <v/>
      </c>
    </row>
    <row r="2465" ht="11.4" customHeight="1">
      <c r="A2465" s="67" t="inlineStr">
        <is>
          <t>大甜133</t>
        </is>
      </c>
      <c r="B2465" s="67" t="inlineStr">
        <is>
          <t>1131</t>
        </is>
      </c>
      <c r="C2465" s="67" t="inlineStr">
        <is>
          <t>8424</t>
        </is>
      </c>
      <c r="D2465" s="68" t="inlineStr">
        <is>
          <t>03</t>
        </is>
      </c>
      <c r="E2465" s="68" t="inlineStr">
        <is>
          <t>8 设备</t>
        </is>
      </c>
      <c r="F2465" s="68" t="inlineStr">
        <is>
          <t>8.4 本地采购设备</t>
        </is>
      </c>
      <c r="G2465" s="68" t="inlineStr">
        <is>
          <t>8.4.3 保安监控系统</t>
        </is>
      </c>
      <c r="H2465" s="68" t="inlineStr">
        <is>
          <t>CCTV闭路监控系统（不含传送带监控）</t>
        </is>
      </c>
      <c r="I2465" s="69" t="inlineStr">
        <is>
          <t>1000022085</t>
        </is>
      </c>
      <c r="J2465" s="69" t="inlineStr">
        <is>
          <t>CCTV闭路监控系统（不含传送带监控）</t>
        </is>
      </c>
      <c r="K2465" s="70" t="n"/>
      <c r="L2465" s="70" t="n"/>
      <c r="M2465" s="71" t="inlineStr">
        <is>
          <t>套</t>
        </is>
      </c>
      <c r="N2465" s="72" t="n">
        <v>10650.04</v>
      </c>
      <c r="O2465" s="72">
        <f>ROUND(N2465*(1+$F$10),2)</f>
        <v/>
      </c>
      <c r="P2465" s="73">
        <f>ROUND(K2465*N2465,2)</f>
        <v/>
      </c>
      <c r="Q2465" s="74">
        <f>ROUND(L2465*N2465,2)</f>
        <v/>
      </c>
      <c r="R2465" s="75" t="n"/>
      <c r="S2465" s="76" t="n"/>
      <c r="T2465" s="77">
        <f>K2465-L2465</f>
        <v/>
      </c>
      <c r="U2465" s="77">
        <f>P2465-Q2465</f>
        <v/>
      </c>
      <c r="V2465" s="77">
        <f>ABS(U2465)</f>
        <v/>
      </c>
      <c r="W2465" s="78">
        <f>T2465/L2465</f>
        <v/>
      </c>
      <c r="X2465" s="79">
        <f>ABS(W2465)</f>
        <v/>
      </c>
    </row>
    <row r="2466" ht="11.4" customHeight="1">
      <c r="A2466" s="67" t="inlineStr">
        <is>
          <t>大甜133</t>
        </is>
      </c>
      <c r="B2466" s="67" t="inlineStr">
        <is>
          <t>1131</t>
        </is>
      </c>
      <c r="C2466" s="67" t="inlineStr">
        <is>
          <t>8424</t>
        </is>
      </c>
      <c r="D2466" s="68" t="inlineStr">
        <is>
          <t>03</t>
        </is>
      </c>
      <c r="E2466" s="68" t="inlineStr">
        <is>
          <t>8 设备</t>
        </is>
      </c>
      <c r="F2466" s="68" t="inlineStr">
        <is>
          <t>8.4 本地采购设备</t>
        </is>
      </c>
      <c r="G2466" s="68" t="inlineStr">
        <is>
          <t>8.4.3 保安监控系统</t>
        </is>
      </c>
      <c r="H2466" s="68" t="inlineStr">
        <is>
          <t>CCTV闭路监控系统（含传送带监控）</t>
        </is>
      </c>
      <c r="I2466" s="69" t="inlineStr">
        <is>
          <t>1000040083</t>
        </is>
      </c>
      <c r="J2466" s="69" t="inlineStr">
        <is>
          <t>CCTV闭路监控系统（含传送带监控）</t>
        </is>
      </c>
      <c r="K2466" s="70" t="n"/>
      <c r="L2466" s="70" t="n"/>
      <c r="M2466" s="71" t="inlineStr">
        <is>
          <t>套</t>
        </is>
      </c>
      <c r="N2466" s="72" t="n">
        <v>29506.31</v>
      </c>
      <c r="O2466" s="72">
        <f>ROUND(N2466*(1+$F$10),2)</f>
        <v/>
      </c>
      <c r="P2466" s="73">
        <f>ROUND(K2466*N2466,2)</f>
        <v/>
      </c>
      <c r="Q2466" s="74">
        <f>ROUND(L2466*N2466,2)</f>
        <v/>
      </c>
      <c r="R2466" s="75" t="n"/>
      <c r="S2466" s="76" t="n"/>
      <c r="T2466" s="77">
        <f>K2466-L2466</f>
        <v/>
      </c>
      <c r="U2466" s="77">
        <f>P2466-Q2466</f>
        <v/>
      </c>
      <c r="V2466" s="77">
        <f>ABS(U2466)</f>
        <v/>
      </c>
      <c r="W2466" s="78">
        <f>T2466/L2466</f>
        <v/>
      </c>
      <c r="X2466" s="79">
        <f>ABS(W2466)</f>
        <v/>
      </c>
    </row>
    <row r="2467" ht="11.4" customHeight="1">
      <c r="A2467" s="67" t="inlineStr">
        <is>
          <t>大甜133</t>
        </is>
      </c>
      <c r="B2467" s="67" t="inlineStr">
        <is>
          <t>1131</t>
        </is>
      </c>
      <c r="C2467" s="67" t="inlineStr">
        <is>
          <t>8424</t>
        </is>
      </c>
      <c r="D2467" s="68" t="inlineStr">
        <is>
          <t>03</t>
        </is>
      </c>
      <c r="E2467" s="68" t="inlineStr">
        <is>
          <t>8 设备</t>
        </is>
      </c>
      <c r="F2467" s="68" t="inlineStr">
        <is>
          <t>8.4 本地采购设备</t>
        </is>
      </c>
      <c r="G2467" s="68" t="inlineStr">
        <is>
          <t>8.4.3 保安监控系统</t>
        </is>
      </c>
      <c r="H2467" s="68" t="inlineStr">
        <is>
          <t>110报警系统</t>
        </is>
      </c>
      <c r="I2467" s="69" t="inlineStr">
        <is>
          <t>1000040084</t>
        </is>
      </c>
      <c r="J2467" s="69" t="inlineStr">
        <is>
          <t>110报警系统</t>
        </is>
      </c>
      <c r="K2467" s="70" t="n"/>
      <c r="L2467" s="70" t="n"/>
      <c r="M2467" s="71" t="inlineStr">
        <is>
          <t>套</t>
        </is>
      </c>
      <c r="N2467" s="72" t="n">
        <v>9009.01</v>
      </c>
      <c r="O2467" s="72">
        <f>ROUND(N2467*(1+$F$10),2)</f>
        <v/>
      </c>
      <c r="P2467" s="73">
        <f>ROUND(K2467*N2467,2)</f>
        <v/>
      </c>
      <c r="Q2467" s="74">
        <f>ROUND(L2467*N2467,2)</f>
        <v/>
      </c>
      <c r="R2467" s="75" t="n"/>
      <c r="S2467" s="76" t="n"/>
      <c r="T2467" s="77">
        <f>K2467-L2467</f>
        <v/>
      </c>
      <c r="U2467" s="77">
        <f>P2467-Q2467</f>
        <v/>
      </c>
      <c r="V2467" s="77">
        <f>ABS(U2467)</f>
        <v/>
      </c>
      <c r="W2467" s="78">
        <f>T2467/L2467</f>
        <v/>
      </c>
      <c r="X2467" s="79">
        <f>ABS(W2467)</f>
        <v/>
      </c>
    </row>
    <row r="2468" ht="11.4" customHeight="1">
      <c r="A2468" s="67" t="inlineStr">
        <is>
          <t>大甜138</t>
        </is>
      </c>
      <c r="B2468" s="67" t="inlineStr">
        <is>
          <t>1136</t>
        </is>
      </c>
      <c r="C2468" s="67" t="inlineStr">
        <is>
          <t>8454</t>
        </is>
      </c>
      <c r="D2468" s="68" t="inlineStr">
        <is>
          <t>03</t>
        </is>
      </c>
      <c r="E2468" s="68" t="inlineStr">
        <is>
          <t>8 设备</t>
        </is>
      </c>
      <c r="F2468" s="68" t="inlineStr">
        <is>
          <t>8.4 本地采购设备</t>
        </is>
      </c>
      <c r="G2468" s="68" t="inlineStr">
        <is>
          <t>8.4.6 其他厨房工具</t>
        </is>
      </c>
      <c r="H2468" s="68" t="inlineStr">
        <is>
          <t>其他厨房工具</t>
        </is>
      </c>
      <c r="I2468" s="69" t="inlineStr">
        <is>
          <t>1000021585</t>
        </is>
      </c>
      <c r="J2468" s="69" t="inlineStr">
        <is>
          <t>松下烘手器</t>
        </is>
      </c>
      <c r="K2468" s="70" t="n"/>
      <c r="L2468" s="70" t="n"/>
      <c r="M2468" s="71" t="inlineStr">
        <is>
          <t>台</t>
        </is>
      </c>
      <c r="N2468" s="72" t="n">
        <v>1133.63</v>
      </c>
      <c r="O2468" s="72">
        <f>ROUND(N2468*(1+$F$10),2)</f>
        <v/>
      </c>
      <c r="P2468" s="73">
        <f>ROUND(K2468*N2468,2)</f>
        <v/>
      </c>
      <c r="Q2468" s="74">
        <f>ROUND(L2468*N2468,2)</f>
        <v/>
      </c>
      <c r="R2468" s="75" t="n"/>
      <c r="S2468" s="76" t="n"/>
      <c r="T2468" s="77">
        <f>K2468-L2468</f>
        <v/>
      </c>
      <c r="U2468" s="77">
        <f>P2468-Q2468</f>
        <v/>
      </c>
      <c r="V2468" s="77">
        <f>ABS(U2468)</f>
        <v/>
      </c>
      <c r="W2468" s="78">
        <f>T2468/L2468</f>
        <v/>
      </c>
      <c r="X2468" s="79">
        <f>ABS(W2468)</f>
        <v/>
      </c>
    </row>
    <row r="2469" ht="11.4" customHeight="1">
      <c r="A2469" s="67" t="inlineStr">
        <is>
          <t>大甜138</t>
        </is>
      </c>
      <c r="B2469" s="67" t="inlineStr">
        <is>
          <t>1136</t>
        </is>
      </c>
      <c r="C2469" s="67" t="inlineStr">
        <is>
          <t>8456</t>
        </is>
      </c>
      <c r="D2469" s="68" t="inlineStr">
        <is>
          <t>03</t>
        </is>
      </c>
      <c r="E2469" s="68" t="inlineStr">
        <is>
          <t>8 设备</t>
        </is>
      </c>
      <c r="F2469" s="68" t="inlineStr">
        <is>
          <t>8.4 本地采购设备</t>
        </is>
      </c>
      <c r="G2469" s="68" t="inlineStr">
        <is>
          <t>8.4.6 其他厨房工具</t>
        </is>
      </c>
      <c r="H2469" s="68" t="inlineStr">
        <is>
          <t>其他厨房工具</t>
        </is>
      </c>
      <c r="I2469" s="69" t="inlineStr">
        <is>
          <t>1000021586</t>
        </is>
      </c>
      <c r="J2469" s="69" t="inlineStr">
        <is>
          <t>灭蝇灯（大堂位置，科凌）</t>
        </is>
      </c>
      <c r="K2469" s="70" t="n"/>
      <c r="L2469" s="70" t="n"/>
      <c r="M2469" s="71" t="inlineStr">
        <is>
          <t>个</t>
        </is>
      </c>
      <c r="N2469" s="72" t="n">
        <v>262.5</v>
      </c>
      <c r="O2469" s="72">
        <f>ROUND(N2469*(1+$F$10),2)</f>
        <v/>
      </c>
      <c r="P2469" s="73">
        <f>ROUND(K2469*N2469,2)</f>
        <v/>
      </c>
      <c r="Q2469" s="74">
        <f>ROUND(L2469*N2469,2)</f>
        <v/>
      </c>
      <c r="R2469" s="75" t="n"/>
      <c r="S2469" s="76" t="n"/>
      <c r="T2469" s="77">
        <f>K2469-L2469</f>
        <v/>
      </c>
      <c r="U2469" s="77">
        <f>P2469-Q2469</f>
        <v/>
      </c>
      <c r="V2469" s="77">
        <f>ABS(U2469)</f>
        <v/>
      </c>
      <c r="W2469" s="78">
        <f>T2469/L2469</f>
        <v/>
      </c>
      <c r="X2469" s="79">
        <f>ABS(W2469)</f>
        <v/>
      </c>
    </row>
    <row r="2470" ht="11.4" customHeight="1">
      <c r="A2470" s="67" t="inlineStr">
        <is>
          <t>大甜138</t>
        </is>
      </c>
      <c r="B2470" s="67" t="inlineStr">
        <is>
          <t>1136</t>
        </is>
      </c>
      <c r="C2470" s="67" t="inlineStr">
        <is>
          <t>8456</t>
        </is>
      </c>
      <c r="D2470" s="68" t="inlineStr">
        <is>
          <t>03</t>
        </is>
      </c>
      <c r="E2470" s="68" t="inlineStr">
        <is>
          <t>8 设备</t>
        </is>
      </c>
      <c r="F2470" s="68" t="inlineStr">
        <is>
          <t>8.4 本地采购设备</t>
        </is>
      </c>
      <c r="G2470" s="68" t="inlineStr">
        <is>
          <t>8.4.6 其他厨房工具</t>
        </is>
      </c>
      <c r="H2470" s="68" t="inlineStr">
        <is>
          <t>其他厨房工具</t>
        </is>
      </c>
      <c r="I2470" s="69" t="inlineStr">
        <is>
          <t>1000040127</t>
        </is>
      </c>
      <c r="J2470" s="69" t="inlineStr">
        <is>
          <t>灭蝇灯（厨房位置，景隆）</t>
        </is>
      </c>
      <c r="K2470" s="70" t="n"/>
      <c r="L2470" s="70" t="n"/>
      <c r="M2470" s="71" t="inlineStr">
        <is>
          <t>个</t>
        </is>
      </c>
      <c r="N2470" s="72" t="n">
        <v>220.5</v>
      </c>
      <c r="O2470" s="72">
        <f>ROUND(N2470*(1+$F$10),2)</f>
        <v/>
      </c>
      <c r="P2470" s="73">
        <f>ROUND(K2470*N2470,2)</f>
        <v/>
      </c>
      <c r="Q2470" s="74">
        <f>ROUND(L2470*N2470,2)</f>
        <v/>
      </c>
      <c r="R2470" s="75" t="n"/>
      <c r="S2470" s="76" t="n"/>
      <c r="T2470" s="77">
        <f>K2470-L2470</f>
        <v/>
      </c>
      <c r="U2470" s="77">
        <f>P2470-Q2470</f>
        <v/>
      </c>
      <c r="V2470" s="77">
        <f>ABS(U2470)</f>
        <v/>
      </c>
      <c r="W2470" s="78">
        <f>T2470/L2470</f>
        <v/>
      </c>
      <c r="X2470" s="79">
        <f>ABS(W2470)</f>
        <v/>
      </c>
    </row>
    <row r="2471" ht="11.4" customHeight="1">
      <c r="A2471" s="67" t="inlineStr">
        <is>
          <t>大甜142</t>
        </is>
      </c>
      <c r="B2471" s="67" t="inlineStr">
        <is>
          <t>1140</t>
        </is>
      </c>
      <c r="C2471" s="67" t="inlineStr">
        <is>
          <t>8425</t>
        </is>
      </c>
      <c r="D2471" s="68" t="inlineStr">
        <is>
          <t>03</t>
        </is>
      </c>
      <c r="E2471" s="68" t="inlineStr">
        <is>
          <t>8 设备</t>
        </is>
      </c>
      <c r="F2471" s="68" t="inlineStr">
        <is>
          <t>8.7 其他设备</t>
        </is>
      </c>
      <c r="G2471" s="68" t="inlineStr">
        <is>
          <t>其他设备</t>
        </is>
      </c>
      <c r="H2471" s="68" t="inlineStr">
        <is>
          <t>其他设备</t>
        </is>
      </c>
      <c r="I2471" s="69" t="inlineStr">
        <is>
          <t>1000022089</t>
        </is>
      </c>
      <c r="J2471" s="69" t="inlineStr">
        <is>
          <t>微波炉</t>
        </is>
      </c>
      <c r="K2471" s="70" t="n"/>
      <c r="L2471" s="70" t="n"/>
      <c r="M2471" s="71" t="inlineStr">
        <is>
          <t>台</t>
        </is>
      </c>
      <c r="N2471" s="72" t="n">
        <v>402</v>
      </c>
      <c r="O2471" s="72">
        <f>ROUND(N2471*(1+$F$10),2)</f>
        <v/>
      </c>
      <c r="P2471" s="73">
        <f>ROUND(K2471*N2471,2)</f>
        <v/>
      </c>
      <c r="Q2471" s="74">
        <f>ROUND(L2471*N2471,2)</f>
        <v/>
      </c>
      <c r="R2471" s="75" t="n"/>
      <c r="S2471" s="76" t="n"/>
      <c r="T2471" s="77">
        <f>K2471-L2471</f>
        <v/>
      </c>
      <c r="U2471" s="77">
        <f>P2471-Q2471</f>
        <v/>
      </c>
      <c r="V2471" s="77">
        <f>ABS(U2471)</f>
        <v/>
      </c>
      <c r="W2471" s="78">
        <f>T2471/L2471</f>
        <v/>
      </c>
      <c r="X2471" s="79">
        <f>ABS(W2471)</f>
        <v/>
      </c>
    </row>
    <row r="2472" ht="11.4" customHeight="1">
      <c r="A2472" s="67" t="inlineStr">
        <is>
          <t>大甜144</t>
        </is>
      </c>
      <c r="B2472" s="67" t="inlineStr">
        <is>
          <t>1150</t>
        </is>
      </c>
      <c r="C2472" s="67" t="inlineStr">
        <is>
          <t>8491</t>
        </is>
      </c>
      <c r="D2472" s="68" t="inlineStr">
        <is>
          <t>03</t>
        </is>
      </c>
      <c r="E2472" s="68" t="inlineStr">
        <is>
          <t>8 设备</t>
        </is>
      </c>
      <c r="F2472" s="68" t="inlineStr">
        <is>
          <t>8.5a 承包商供应施工材料和设备</t>
        </is>
      </c>
      <c r="G2472" s="68" t="inlineStr">
        <is>
          <t>8.5.1 空调设备和控制系统</t>
        </is>
      </c>
      <c r="H2472" s="68" t="inlineStr">
        <is>
          <t>8.5.1 空调设备和控制系统</t>
        </is>
      </c>
      <c r="I2472" s="69" t="inlineStr">
        <is>
          <t>1000021587</t>
        </is>
      </c>
      <c r="J2472" s="69" t="inlineStr">
        <is>
          <t>供应(不含安装) 风幕机</t>
        </is>
      </c>
      <c r="K2472" s="70" t="n"/>
      <c r="L2472" s="70" t="n"/>
      <c r="M2472" s="71" t="inlineStr">
        <is>
          <t>台</t>
        </is>
      </c>
      <c r="N2472" s="72" t="n">
        <v>1413.32</v>
      </c>
      <c r="O2472" s="72">
        <f>ROUND(N2472*(1+$F$10),2)</f>
        <v/>
      </c>
      <c r="P2472" s="73">
        <f>ROUND(K2472*N2472,2)</f>
        <v/>
      </c>
      <c r="Q2472" s="74">
        <f>ROUND(L2472*N2472,2)</f>
        <v/>
      </c>
      <c r="R2472" s="75" t="n"/>
      <c r="S2472" s="76" t="n"/>
      <c r="T2472" s="77">
        <f>K2472-L2472</f>
        <v/>
      </c>
      <c r="U2472" s="77">
        <f>P2472-Q2472</f>
        <v/>
      </c>
      <c r="V2472" s="77">
        <f>ABS(U2472)</f>
        <v/>
      </c>
      <c r="W2472" s="78">
        <f>T2472/L2472</f>
        <v/>
      </c>
      <c r="X2472" s="79">
        <f>ABS(W2472)</f>
        <v/>
      </c>
    </row>
    <row r="2473" ht="11.4" customHeight="1">
      <c r="A2473" s="67" t="inlineStr">
        <is>
          <t>大甜144</t>
        </is>
      </c>
      <c r="B2473" s="67" t="inlineStr">
        <is>
          <t>1150</t>
        </is>
      </c>
      <c r="C2473" s="67" t="inlineStr">
        <is>
          <t>8491</t>
        </is>
      </c>
      <c r="D2473" s="68" t="inlineStr">
        <is>
          <t>03</t>
        </is>
      </c>
      <c r="E2473" s="68" t="inlineStr">
        <is>
          <t>8 设备</t>
        </is>
      </c>
      <c r="F2473" s="68" t="inlineStr">
        <is>
          <t>8.5a 承包商供应施工材料和设备</t>
        </is>
      </c>
      <c r="G2473" s="68" t="inlineStr">
        <is>
          <t>8.5.1 空调设备和控制系统</t>
        </is>
      </c>
      <c r="H2473" s="68" t="inlineStr">
        <is>
          <t>8.5.1 空调设备和控制系统</t>
        </is>
      </c>
      <c r="I2473" s="69" t="inlineStr">
        <is>
          <t>1000051731</t>
        </is>
      </c>
      <c r="J2473" s="69" t="inlineStr">
        <is>
          <t>供应(不含安装) 风幕机1200mm</t>
        </is>
      </c>
      <c r="K2473" s="70" t="n"/>
      <c r="L2473" s="70" t="n"/>
      <c r="M2473" s="71" t="inlineStr">
        <is>
          <t>台</t>
        </is>
      </c>
      <c r="N2473" s="72" t="n">
        <v>1413.32</v>
      </c>
      <c r="O2473" s="72">
        <f>ROUND(N2473*(1+$F$10),2)</f>
        <v/>
      </c>
      <c r="P2473" s="73">
        <f>ROUND(K2473*N2473,2)</f>
        <v/>
      </c>
      <c r="Q2473" s="74">
        <f>ROUND(L2473*N2473,2)</f>
        <v/>
      </c>
      <c r="R2473" s="75" t="n"/>
      <c r="S2473" s="76" t="n"/>
      <c r="T2473" s="77">
        <f>K2473-L2473</f>
        <v/>
      </c>
      <c r="U2473" s="77">
        <f>P2473-Q2473</f>
        <v/>
      </c>
      <c r="V2473" s="77">
        <f>ABS(U2473)</f>
        <v/>
      </c>
      <c r="W2473" s="78">
        <f>T2473/L2473</f>
        <v/>
      </c>
      <c r="X2473" s="79">
        <f>ABS(W2473)</f>
        <v/>
      </c>
    </row>
    <row r="2474" ht="11.4" customHeight="1">
      <c r="A2474" s="67" t="inlineStr">
        <is>
          <t>大甜144</t>
        </is>
      </c>
      <c r="B2474" s="67" t="inlineStr">
        <is>
          <t>1150</t>
        </is>
      </c>
      <c r="C2474" s="67" t="inlineStr">
        <is>
          <t>8491</t>
        </is>
      </c>
      <c r="D2474" s="68" t="inlineStr">
        <is>
          <t>03</t>
        </is>
      </c>
      <c r="E2474" s="68" t="inlineStr">
        <is>
          <t>8 设备</t>
        </is>
      </c>
      <c r="F2474" s="68" t="inlineStr">
        <is>
          <t>8.5a 承包商供应施工材料和设备</t>
        </is>
      </c>
      <c r="G2474" s="68" t="inlineStr">
        <is>
          <t>8.5.1 空调设备和控制系统</t>
        </is>
      </c>
      <c r="H2474" s="68" t="inlineStr">
        <is>
          <t>8.5.1 空调设备和控制系统</t>
        </is>
      </c>
      <c r="I2474" s="69" t="inlineStr">
        <is>
          <t>1000051732</t>
        </is>
      </c>
      <c r="J2474" s="69" t="inlineStr">
        <is>
          <t>供应(不含安装) 风幕机1500mm</t>
        </is>
      </c>
      <c r="K2474" s="70" t="n"/>
      <c r="L2474" s="70" t="n"/>
      <c r="M2474" s="71" t="inlineStr">
        <is>
          <t>台</t>
        </is>
      </c>
      <c r="N2474" s="72" t="n">
        <v>1600.08</v>
      </c>
      <c r="O2474" s="72">
        <f>ROUND(N2474*(1+$F$10),2)</f>
        <v/>
      </c>
      <c r="P2474" s="73">
        <f>ROUND(K2474*N2474,2)</f>
        <v/>
      </c>
      <c r="Q2474" s="74">
        <f>ROUND(L2474*N2474,2)</f>
        <v/>
      </c>
      <c r="R2474" s="75" t="n"/>
      <c r="S2474" s="76" t="n"/>
      <c r="T2474" s="77">
        <f>K2474-L2474</f>
        <v/>
      </c>
      <c r="U2474" s="77">
        <f>P2474-Q2474</f>
        <v/>
      </c>
      <c r="V2474" s="77">
        <f>ABS(U2474)</f>
        <v/>
      </c>
      <c r="W2474" s="78">
        <f>T2474/L2474</f>
        <v/>
      </c>
      <c r="X2474" s="79">
        <f>ABS(W2474)</f>
        <v/>
      </c>
    </row>
    <row r="2475" ht="11.4" customHeight="1">
      <c r="A2475" s="67" t="inlineStr">
        <is>
          <t>大甜144</t>
        </is>
      </c>
      <c r="B2475" s="67" t="inlineStr">
        <is>
          <t>1150</t>
        </is>
      </c>
      <c r="C2475" s="67" t="inlineStr">
        <is>
          <t>8491</t>
        </is>
      </c>
      <c r="D2475" s="68" t="inlineStr">
        <is>
          <t>03</t>
        </is>
      </c>
      <c r="E2475" s="68" t="inlineStr">
        <is>
          <t>8 设备</t>
        </is>
      </c>
      <c r="F2475" s="68" t="inlineStr">
        <is>
          <t>8.5a 承包商供应施工材料和设备</t>
        </is>
      </c>
      <c r="G2475" s="68" t="inlineStr">
        <is>
          <t>8.5.1 空调设备和控制系统</t>
        </is>
      </c>
      <c r="H2475" s="68" t="inlineStr">
        <is>
          <t>8.5.1 空调设备和控制系统</t>
        </is>
      </c>
      <c r="I2475" s="69" t="inlineStr">
        <is>
          <t>1000021588</t>
        </is>
      </c>
      <c r="J2475" s="69" t="inlineStr">
        <is>
          <t>供应(不含安装) 电加热型 风幕机</t>
        </is>
      </c>
      <c r="K2475" s="70" t="n"/>
      <c r="L2475" s="70" t="n"/>
      <c r="M2475" s="71" t="inlineStr">
        <is>
          <t>只</t>
        </is>
      </c>
      <c r="N2475" s="72" t="n">
        <v>2295.13</v>
      </c>
      <c r="O2475" s="72">
        <f>ROUND(N2475*(1+$F$10),2)</f>
        <v/>
      </c>
      <c r="P2475" s="73">
        <f>ROUND(K2475*N2475,2)</f>
        <v/>
      </c>
      <c r="Q2475" s="74">
        <f>ROUND(L2475*N2475,2)</f>
        <v/>
      </c>
      <c r="R2475" s="75" t="n"/>
      <c r="S2475" s="76" t="n"/>
      <c r="T2475" s="77">
        <f>K2475-L2475</f>
        <v/>
      </c>
      <c r="U2475" s="77">
        <f>P2475-Q2475</f>
        <v/>
      </c>
      <c r="V2475" s="77">
        <f>ABS(U2475)</f>
        <v/>
      </c>
      <c r="W2475" s="78">
        <f>T2475/L2475</f>
        <v/>
      </c>
      <c r="X2475" s="79">
        <f>ABS(W2475)</f>
        <v/>
      </c>
    </row>
    <row r="2476" ht="11.4" customHeight="1">
      <c r="A2476" s="67" t="inlineStr">
        <is>
          <t>大甜144</t>
        </is>
      </c>
      <c r="B2476" s="67" t="inlineStr">
        <is>
          <t>1150</t>
        </is>
      </c>
      <c r="C2476" s="67" t="inlineStr">
        <is>
          <t>8491</t>
        </is>
      </c>
      <c r="D2476" s="68" t="inlineStr">
        <is>
          <t>03</t>
        </is>
      </c>
      <c r="E2476" s="68" t="inlineStr">
        <is>
          <t>8 设备</t>
        </is>
      </c>
      <c r="F2476" s="68" t="inlineStr">
        <is>
          <t>8.5a 承包商供应施工材料和设备</t>
        </is>
      </c>
      <c r="G2476" s="68" t="inlineStr">
        <is>
          <t>8.5.1 空调设备和控制系统</t>
        </is>
      </c>
      <c r="H2476" s="68" t="inlineStr">
        <is>
          <t>8.5.1 空调设备和控制系统</t>
        </is>
      </c>
      <c r="I2476" s="69" t="inlineStr">
        <is>
          <t>1000022086</t>
        </is>
      </c>
      <c r="J2476" s="69" t="inlineStr">
        <is>
          <t>供应（不含安装）新风机/排风机(风量4000CMH及以上）</t>
        </is>
      </c>
      <c r="K2476" s="70" t="n"/>
      <c r="L2476" s="70" t="n"/>
      <c r="M2476" s="71" t="inlineStr">
        <is>
          <t>台</t>
        </is>
      </c>
      <c r="N2476" s="72" t="n">
        <v>2520</v>
      </c>
      <c r="O2476" s="72">
        <f>ROUND(N2476*(1+$F$10),2)</f>
        <v/>
      </c>
      <c r="P2476" s="73">
        <f>ROUND(K2476*N2476,2)</f>
        <v/>
      </c>
      <c r="Q2476" s="74">
        <f>ROUND(L2476*N2476,2)</f>
        <v/>
      </c>
      <c r="R2476" s="75" t="n"/>
      <c r="S2476" s="76" t="n"/>
      <c r="T2476" s="77">
        <f>K2476-L2476</f>
        <v/>
      </c>
      <c r="U2476" s="77">
        <f>P2476-Q2476</f>
        <v/>
      </c>
      <c r="V2476" s="77">
        <f>ABS(U2476)</f>
        <v/>
      </c>
      <c r="W2476" s="78">
        <f>T2476/L2476</f>
        <v/>
      </c>
      <c r="X2476" s="79">
        <f>ABS(W2476)</f>
        <v/>
      </c>
    </row>
    <row r="2477" ht="11.4" customHeight="1">
      <c r="A2477" s="67" t="inlineStr">
        <is>
          <t>大甜144</t>
        </is>
      </c>
      <c r="B2477" s="67" t="inlineStr">
        <is>
          <t>1150</t>
        </is>
      </c>
      <c r="C2477" s="67" t="inlineStr">
        <is>
          <t>8491</t>
        </is>
      </c>
      <c r="D2477" s="68" t="inlineStr">
        <is>
          <t>03</t>
        </is>
      </c>
      <c r="E2477" s="68" t="inlineStr">
        <is>
          <t>8 设备</t>
        </is>
      </c>
      <c r="F2477" s="68" t="inlineStr">
        <is>
          <t>8.5a 承包商供应施工材料和设备</t>
        </is>
      </c>
      <c r="G2477" s="68" t="inlineStr">
        <is>
          <t>8.5.1 空调设备和控制系统</t>
        </is>
      </c>
      <c r="H2477" s="68" t="inlineStr">
        <is>
          <t>8.5.1 空调设备和控制系统</t>
        </is>
      </c>
      <c r="I2477" s="69" t="inlineStr">
        <is>
          <t>1000022087</t>
        </is>
      </c>
      <c r="J2477" s="69" t="inlineStr">
        <is>
          <t>供应（不含安装）新风机/排风机(风量2000-4000CMH）</t>
        </is>
      </c>
      <c r="K2477" s="70" t="n"/>
      <c r="L2477" s="70" t="n"/>
      <c r="M2477" s="71" t="inlineStr">
        <is>
          <t>台</t>
        </is>
      </c>
      <c r="N2477" s="72" t="n">
        <v>1417.5</v>
      </c>
      <c r="O2477" s="72">
        <f>ROUND(N2477*(1+$F$10),2)</f>
        <v/>
      </c>
      <c r="P2477" s="73">
        <f>ROUND(K2477*N2477,2)</f>
        <v/>
      </c>
      <c r="Q2477" s="74">
        <f>ROUND(L2477*N2477,2)</f>
        <v/>
      </c>
      <c r="R2477" s="75" t="n"/>
      <c r="S2477" s="76" t="n"/>
      <c r="T2477" s="77">
        <f>K2477-L2477</f>
        <v/>
      </c>
      <c r="U2477" s="77">
        <f>P2477-Q2477</f>
        <v/>
      </c>
      <c r="V2477" s="77">
        <f>ABS(U2477)</f>
        <v/>
      </c>
      <c r="W2477" s="78">
        <f>T2477/L2477</f>
        <v/>
      </c>
      <c r="X2477" s="79">
        <f>ABS(W2477)</f>
        <v/>
      </c>
    </row>
    <row r="2478" ht="11.4" customHeight="1">
      <c r="A2478" s="67" t="inlineStr">
        <is>
          <t>大甜144</t>
        </is>
      </c>
      <c r="B2478" s="67" t="inlineStr">
        <is>
          <t>1150</t>
        </is>
      </c>
      <c r="C2478" s="67" t="inlineStr">
        <is>
          <t>8491</t>
        </is>
      </c>
      <c r="D2478" s="68" t="inlineStr">
        <is>
          <t>03</t>
        </is>
      </c>
      <c r="E2478" s="68" t="inlineStr">
        <is>
          <t>8 设备</t>
        </is>
      </c>
      <c r="F2478" s="68" t="inlineStr">
        <is>
          <t>8.5a 承包商供应施工材料和设备</t>
        </is>
      </c>
      <c r="G2478" s="68" t="inlineStr">
        <is>
          <t>8.5.1 空调设备和控制系统</t>
        </is>
      </c>
      <c r="H2478" s="68" t="inlineStr">
        <is>
          <t>8.5.1 空调设备和控制系统</t>
        </is>
      </c>
      <c r="I2478" s="69" t="inlineStr">
        <is>
          <t>1000022088</t>
        </is>
      </c>
      <c r="J2478" s="69" t="inlineStr">
        <is>
          <t>供应（不含安装）新风机/排风机(风量2000CMH及以下）</t>
        </is>
      </c>
      <c r="K2478" s="70" t="n"/>
      <c r="L2478" s="70" t="n"/>
      <c r="M2478" s="71" t="inlineStr">
        <is>
          <t>台</t>
        </is>
      </c>
      <c r="N2478" s="72" t="n">
        <v>761.25</v>
      </c>
      <c r="O2478" s="72">
        <f>ROUND(N2478*(1+$F$10),2)</f>
        <v/>
      </c>
      <c r="P2478" s="73">
        <f>ROUND(K2478*N2478,2)</f>
        <v/>
      </c>
      <c r="Q2478" s="74">
        <f>ROUND(L2478*N2478,2)</f>
        <v/>
      </c>
      <c r="R2478" s="75" t="n"/>
      <c r="S2478" s="76" t="n"/>
      <c r="T2478" s="77">
        <f>K2478-L2478</f>
        <v/>
      </c>
      <c r="U2478" s="77">
        <f>P2478-Q2478</f>
        <v/>
      </c>
      <c r="V2478" s="77">
        <f>ABS(U2478)</f>
        <v/>
      </c>
      <c r="W2478" s="78">
        <f>T2478/L2478</f>
        <v/>
      </c>
      <c r="X2478" s="79">
        <f>ABS(W2478)</f>
        <v/>
      </c>
    </row>
    <row r="2479" ht="11.4" customHeight="1">
      <c r="A2479" s="67" t="inlineStr">
        <is>
          <t>大甜144</t>
        </is>
      </c>
      <c r="B2479" s="67" t="inlineStr">
        <is>
          <t>1150</t>
        </is>
      </c>
      <c r="C2479" s="67" t="inlineStr">
        <is>
          <t>8491</t>
        </is>
      </c>
      <c r="D2479" s="68" t="inlineStr">
        <is>
          <t>03</t>
        </is>
      </c>
      <c r="E2479" s="68" t="inlineStr">
        <is>
          <t>8 设备</t>
        </is>
      </c>
      <c r="F2479" s="68" t="inlineStr">
        <is>
          <t>8.5a 承包商供应施工材料和设备</t>
        </is>
      </c>
      <c r="G2479" s="68" t="inlineStr">
        <is>
          <t>8.5.2 空调设备和控制系统</t>
        </is>
      </c>
      <c r="H2479" s="68" t="inlineStr">
        <is>
          <t>8.5.2 空调设备和控制系统</t>
        </is>
      </c>
      <c r="I2479" s="69" t="inlineStr">
        <is>
          <t>1000021590</t>
        </is>
      </c>
      <c r="J2479" s="69" t="inlineStr">
        <is>
          <t>供应(不含安装)小型排风扇</t>
        </is>
      </c>
      <c r="K2479" s="70" t="n"/>
      <c r="L2479" s="70" t="n"/>
      <c r="M2479" s="71" t="inlineStr">
        <is>
          <t>台</t>
        </is>
      </c>
      <c r="N2479" s="72" t="n">
        <v>670.89</v>
      </c>
      <c r="O2479" s="72">
        <f>ROUND(N2479*(1+$F$10),2)</f>
        <v/>
      </c>
      <c r="P2479" s="73">
        <f>ROUND(K2479*N2479,2)</f>
        <v/>
      </c>
      <c r="Q2479" s="74">
        <f>ROUND(L2479*N2479,2)</f>
        <v/>
      </c>
      <c r="R2479" s="75" t="n"/>
      <c r="S2479" s="76" t="n"/>
      <c r="T2479" s="77">
        <f>K2479-L2479</f>
        <v/>
      </c>
      <c r="U2479" s="77">
        <f>P2479-Q2479</f>
        <v/>
      </c>
      <c r="V2479" s="77">
        <f>ABS(U2479)</f>
        <v/>
      </c>
      <c r="W2479" s="78">
        <f>T2479/L2479</f>
        <v/>
      </c>
      <c r="X2479" s="79">
        <f>ABS(W2479)</f>
        <v/>
      </c>
    </row>
    <row r="2480" ht="11.4" customHeight="1">
      <c r="A2480" s="67" t="inlineStr">
        <is>
          <t>大甜145</t>
        </is>
      </c>
      <c r="B2480" s="67" t="inlineStr">
        <is>
          <t>1151</t>
        </is>
      </c>
      <c r="C2480" s="67" t="inlineStr">
        <is>
          <t>8492</t>
        </is>
      </c>
      <c r="D2480" s="68" t="inlineStr">
        <is>
          <t>03</t>
        </is>
      </c>
      <c r="E2480" s="68" t="inlineStr">
        <is>
          <t>8 设备</t>
        </is>
      </c>
      <c r="F2480" s="68" t="inlineStr">
        <is>
          <t>8.5a 承包商供应施工材料和设备</t>
        </is>
      </c>
      <c r="G2480" s="68" t="inlineStr">
        <is>
          <t>8.5.2 热水器</t>
        </is>
      </c>
      <c r="H2480" s="68" t="inlineStr">
        <is>
          <t>热水器</t>
        </is>
      </c>
      <c r="I2480" s="69" t="inlineStr">
        <is>
          <t>1000021591</t>
        </is>
      </c>
      <c r="J2480" s="69" t="inlineStr">
        <is>
          <t>供应(不含安装) 史密斯150升电热水器(KEH)</t>
        </is>
      </c>
      <c r="K2480" s="70" t="n"/>
      <c r="L2480" s="70" t="n"/>
      <c r="M2480" s="71" t="inlineStr">
        <is>
          <t>台</t>
        </is>
      </c>
      <c r="N2480" s="72" t="n">
        <v>7311.91</v>
      </c>
      <c r="O2480" s="72">
        <f>ROUND(N2480*(1+$F$10),2)</f>
        <v/>
      </c>
      <c r="P2480" s="73">
        <f>ROUND(K2480*N2480,2)</f>
        <v/>
      </c>
      <c r="Q2480" s="74">
        <f>ROUND(L2480*N2480,2)</f>
        <v/>
      </c>
      <c r="R2480" s="75" t="n"/>
      <c r="S2480" s="76" t="n"/>
      <c r="T2480" s="77">
        <f>K2480-L2480</f>
        <v/>
      </c>
      <c r="U2480" s="77">
        <f>P2480-Q2480</f>
        <v/>
      </c>
      <c r="V2480" s="77">
        <f>ABS(U2480)</f>
        <v/>
      </c>
      <c r="W2480" s="78">
        <f>T2480/L2480</f>
        <v/>
      </c>
      <c r="X2480" s="79">
        <f>ABS(W2480)</f>
        <v/>
      </c>
    </row>
    <row r="2481" ht="11.4" customHeight="1">
      <c r="A2481" s="67" t="inlineStr">
        <is>
          <t>大甜145</t>
        </is>
      </c>
      <c r="B2481" s="67" t="inlineStr">
        <is>
          <t>1151</t>
        </is>
      </c>
      <c r="C2481" s="67" t="inlineStr">
        <is>
          <t>8492</t>
        </is>
      </c>
      <c r="D2481" s="68" t="inlineStr">
        <is>
          <t>03</t>
        </is>
      </c>
      <c r="E2481" s="68" t="inlineStr">
        <is>
          <t>8 设备</t>
        </is>
      </c>
      <c r="F2481" s="68" t="inlineStr">
        <is>
          <t>8.5a 承包商供应施工材料和设备</t>
        </is>
      </c>
      <c r="G2481" s="68" t="inlineStr">
        <is>
          <t>8.5.2 热水器</t>
        </is>
      </c>
      <c r="H2481" s="68" t="inlineStr">
        <is>
          <t>热水器</t>
        </is>
      </c>
      <c r="I2481" s="69" t="inlineStr">
        <is>
          <t>1000021592</t>
        </is>
      </c>
      <c r="J2481" s="69" t="inlineStr">
        <is>
          <t>供应(不含安装) 史密斯120升电热水器(KEH)</t>
        </is>
      </c>
      <c r="K2481" s="70" t="n"/>
      <c r="L2481" s="70" t="n"/>
      <c r="M2481" s="71" t="inlineStr">
        <is>
          <t>台</t>
        </is>
      </c>
      <c r="N2481" s="72" t="n">
        <v>6891.91</v>
      </c>
      <c r="O2481" s="72">
        <f>ROUND(N2481*(1+$F$10),2)</f>
        <v/>
      </c>
      <c r="P2481" s="73">
        <f>ROUND(K2481*N2481,2)</f>
        <v/>
      </c>
      <c r="Q2481" s="74">
        <f>ROUND(L2481*N2481,2)</f>
        <v/>
      </c>
      <c r="R2481" s="75" t="n"/>
      <c r="S2481" s="76" t="n"/>
      <c r="T2481" s="77">
        <f>K2481-L2481</f>
        <v/>
      </c>
      <c r="U2481" s="77">
        <f>P2481-Q2481</f>
        <v/>
      </c>
      <c r="V2481" s="77">
        <f>ABS(U2481)</f>
        <v/>
      </c>
      <c r="W2481" s="78">
        <f>T2481/L2481</f>
        <v/>
      </c>
      <c r="X2481" s="79">
        <f>ABS(W2481)</f>
        <v/>
      </c>
    </row>
    <row r="2482" ht="11.4" customHeight="1">
      <c r="A2482" s="67" t="inlineStr">
        <is>
          <t>大甜145</t>
        </is>
      </c>
      <c r="B2482" s="67" t="inlineStr">
        <is>
          <t>1151</t>
        </is>
      </c>
      <c r="C2482" s="67" t="inlineStr">
        <is>
          <t>8492</t>
        </is>
      </c>
      <c r="D2482" s="68" t="inlineStr">
        <is>
          <t>03</t>
        </is>
      </c>
      <c r="E2482" s="68" t="inlineStr">
        <is>
          <t>8 设备</t>
        </is>
      </c>
      <c r="F2482" s="68" t="inlineStr">
        <is>
          <t>8.5a 承包商供应施工材料和设备</t>
        </is>
      </c>
      <c r="G2482" s="68" t="inlineStr">
        <is>
          <t>8.5.2 热水器</t>
        </is>
      </c>
      <c r="H2482" s="68" t="inlineStr">
        <is>
          <t>热水器</t>
        </is>
      </c>
      <c r="I2482" s="69" t="inlineStr">
        <is>
          <t>1000021593</t>
        </is>
      </c>
      <c r="J2482" s="69" t="inlineStr">
        <is>
          <t>供应(不含安装) 史密斯60升电热水器</t>
        </is>
      </c>
      <c r="K2482" s="70" t="n"/>
      <c r="L2482" s="70" t="n"/>
      <c r="M2482" s="71" t="inlineStr">
        <is>
          <t>台</t>
        </is>
      </c>
      <c r="N2482" s="72" t="n">
        <v>1399.38</v>
      </c>
      <c r="O2482" s="72">
        <f>ROUND(N2482*(1+$F$10),2)</f>
        <v/>
      </c>
      <c r="P2482" s="73">
        <f>ROUND(K2482*N2482,2)</f>
        <v/>
      </c>
      <c r="Q2482" s="74">
        <f>ROUND(L2482*N2482,2)</f>
        <v/>
      </c>
      <c r="R2482" s="75" t="n"/>
      <c r="S2482" s="76" t="n"/>
      <c r="T2482" s="77">
        <f>K2482-L2482</f>
        <v/>
      </c>
      <c r="U2482" s="77">
        <f>P2482-Q2482</f>
        <v/>
      </c>
      <c r="V2482" s="77">
        <f>ABS(U2482)</f>
        <v/>
      </c>
      <c r="W2482" s="78">
        <f>T2482/L2482</f>
        <v/>
      </c>
      <c r="X2482" s="79">
        <f>ABS(W2482)</f>
        <v/>
      </c>
    </row>
    <row r="2483" ht="11.4" customHeight="1">
      <c r="A2483" s="67" t="inlineStr">
        <is>
          <t>大甜145</t>
        </is>
      </c>
      <c r="B2483" s="67" t="inlineStr">
        <is>
          <t>1151</t>
        </is>
      </c>
      <c r="C2483" s="67" t="inlineStr">
        <is>
          <t>8492</t>
        </is>
      </c>
      <c r="D2483" s="68" t="inlineStr">
        <is>
          <t>03</t>
        </is>
      </c>
      <c r="E2483" s="68" t="inlineStr">
        <is>
          <t>8 设备</t>
        </is>
      </c>
      <c r="F2483" s="68" t="inlineStr">
        <is>
          <t>8.5a 承包商供应施工材料和设备</t>
        </is>
      </c>
      <c r="G2483" s="68" t="inlineStr">
        <is>
          <t>8.5.2 热水器</t>
        </is>
      </c>
      <c r="H2483" s="68" t="inlineStr">
        <is>
          <t>热水器</t>
        </is>
      </c>
      <c r="I2483" s="69" t="inlineStr">
        <is>
          <t>1000040121</t>
        </is>
      </c>
      <c r="J2483" s="69" t="inlineStr">
        <is>
          <t>供应(不含安装) 瑞美150升电热水器</t>
        </is>
      </c>
      <c r="K2483" s="70" t="n"/>
      <c r="L2483" s="70" t="n"/>
      <c r="M2483" s="71" t="inlineStr">
        <is>
          <t>台</t>
        </is>
      </c>
      <c r="N2483" s="72" t="n">
        <v>7312.31</v>
      </c>
      <c r="O2483" s="72">
        <f>ROUND(N2483*(1+$F$10),2)</f>
        <v/>
      </c>
      <c r="P2483" s="73">
        <f>ROUND(K2483*N2483,2)</f>
        <v/>
      </c>
      <c r="Q2483" s="74">
        <f>ROUND(L2483*N2483,2)</f>
        <v/>
      </c>
      <c r="R2483" s="75" t="n"/>
      <c r="S2483" s="76" t="n"/>
      <c r="T2483" s="77">
        <f>K2483-L2483</f>
        <v/>
      </c>
      <c r="U2483" s="77">
        <f>P2483-Q2483</f>
        <v/>
      </c>
      <c r="V2483" s="77">
        <f>ABS(U2483)</f>
        <v/>
      </c>
      <c r="W2483" s="78">
        <f>T2483/L2483</f>
        <v/>
      </c>
      <c r="X2483" s="79">
        <f>ABS(W2483)</f>
        <v/>
      </c>
    </row>
    <row r="2484" ht="11.4" customHeight="1">
      <c r="A2484" s="67" t="inlineStr">
        <is>
          <t>大甜145</t>
        </is>
      </c>
      <c r="B2484" s="67" t="inlineStr">
        <is>
          <t>1151</t>
        </is>
      </c>
      <c r="C2484" s="67" t="inlineStr">
        <is>
          <t>8492</t>
        </is>
      </c>
      <c r="D2484" s="68" t="inlineStr">
        <is>
          <t>03</t>
        </is>
      </c>
      <c r="E2484" s="68" t="inlineStr">
        <is>
          <t>8 设备</t>
        </is>
      </c>
      <c r="F2484" s="68" t="inlineStr">
        <is>
          <t>8.5a 承包商供应施工材料和设备</t>
        </is>
      </c>
      <c r="G2484" s="68" t="inlineStr">
        <is>
          <t>8.5.2 热水器</t>
        </is>
      </c>
      <c r="H2484" s="68" t="inlineStr">
        <is>
          <t>热水器</t>
        </is>
      </c>
      <c r="I2484" s="69" t="inlineStr">
        <is>
          <t>1000040122</t>
        </is>
      </c>
      <c r="J2484" s="69" t="inlineStr">
        <is>
          <t>供应(不含安装) 瑞美120升电热水器</t>
        </is>
      </c>
      <c r="K2484" s="70" t="n"/>
      <c r="L2484" s="70" t="n"/>
      <c r="M2484" s="71" t="inlineStr">
        <is>
          <t>台</t>
        </is>
      </c>
      <c r="N2484" s="72" t="n">
        <v>6892.31</v>
      </c>
      <c r="O2484" s="72">
        <f>ROUND(N2484*(1+$F$10),2)</f>
        <v/>
      </c>
      <c r="P2484" s="73">
        <f>ROUND(K2484*N2484,2)</f>
        <v/>
      </c>
      <c r="Q2484" s="74">
        <f>ROUND(L2484*N2484,2)</f>
        <v/>
      </c>
      <c r="R2484" s="75" t="n"/>
      <c r="S2484" s="76" t="n"/>
      <c r="T2484" s="77">
        <f>K2484-L2484</f>
        <v/>
      </c>
      <c r="U2484" s="77">
        <f>P2484-Q2484</f>
        <v/>
      </c>
      <c r="V2484" s="77">
        <f>ABS(U2484)</f>
        <v/>
      </c>
      <c r="W2484" s="78">
        <f>T2484/L2484</f>
        <v/>
      </c>
      <c r="X2484" s="79">
        <f>ABS(W2484)</f>
        <v/>
      </c>
    </row>
    <row r="2485" ht="11.4" customHeight="1">
      <c r="A2485" s="67" t="inlineStr">
        <is>
          <t>大甜145</t>
        </is>
      </c>
      <c r="B2485" s="67" t="inlineStr">
        <is>
          <t>1151</t>
        </is>
      </c>
      <c r="C2485" s="67" t="inlineStr">
        <is>
          <t>8492</t>
        </is>
      </c>
      <c r="D2485" s="68" t="inlineStr">
        <is>
          <t>03</t>
        </is>
      </c>
      <c r="E2485" s="68" t="inlineStr">
        <is>
          <t>8 设备</t>
        </is>
      </c>
      <c r="F2485" s="68" t="inlineStr">
        <is>
          <t>8.5a 承包商供应施工材料和设备</t>
        </is>
      </c>
      <c r="G2485" s="68" t="inlineStr">
        <is>
          <t>8.5.2 热水器</t>
        </is>
      </c>
      <c r="H2485" s="68" t="inlineStr">
        <is>
          <t>热水器</t>
        </is>
      </c>
      <c r="I2485" s="69" t="inlineStr">
        <is>
          <t>1000040123</t>
        </is>
      </c>
      <c r="J2485" s="69" t="inlineStr">
        <is>
          <t>供应(不含安装) 瑞美60升电热水器</t>
        </is>
      </c>
      <c r="K2485" s="70" t="n"/>
      <c r="L2485" s="70" t="n"/>
      <c r="M2485" s="71" t="inlineStr">
        <is>
          <t>台</t>
        </is>
      </c>
      <c r="N2485" s="72" t="n">
        <v>1400</v>
      </c>
      <c r="O2485" s="72">
        <f>ROUND(N2485*(1+$F$10),2)</f>
        <v/>
      </c>
      <c r="P2485" s="73">
        <f>ROUND(K2485*N2485,2)</f>
        <v/>
      </c>
      <c r="Q2485" s="74">
        <f>ROUND(L2485*N2485,2)</f>
        <v/>
      </c>
      <c r="R2485" s="75" t="n"/>
      <c r="S2485" s="76" t="n"/>
      <c r="T2485" s="77">
        <f>K2485-L2485</f>
        <v/>
      </c>
      <c r="U2485" s="77">
        <f>P2485-Q2485</f>
        <v/>
      </c>
      <c r="V2485" s="77">
        <f>ABS(U2485)</f>
        <v/>
      </c>
      <c r="W2485" s="78">
        <f>T2485/L2485</f>
        <v/>
      </c>
      <c r="X2485" s="79">
        <f>ABS(W2485)</f>
        <v/>
      </c>
    </row>
    <row r="2486" ht="11.4" customHeight="1">
      <c r="A2486" s="67" t="inlineStr">
        <is>
          <t>大甜149</t>
        </is>
      </c>
      <c r="B2486" s="67" t="inlineStr">
        <is>
          <t>1155</t>
        </is>
      </c>
      <c r="C2486" s="67" t="inlineStr">
        <is>
          <t>8496</t>
        </is>
      </c>
      <c r="D2486" s="68" t="inlineStr">
        <is>
          <t>03</t>
        </is>
      </c>
      <c r="E2486" s="68" t="inlineStr">
        <is>
          <t>8 设备</t>
        </is>
      </c>
      <c r="F2486" s="68" t="inlineStr">
        <is>
          <t>8.5a 承包商供应施工材料和设备</t>
        </is>
      </c>
      <c r="G2486" s="68" t="inlineStr">
        <is>
          <t>8.5.6 厨房抽油烟机</t>
        </is>
      </c>
      <c r="H2486" s="68" t="inlineStr">
        <is>
          <t>厨房抽油烟机</t>
        </is>
      </c>
      <c r="I2486" s="69" t="inlineStr">
        <is>
          <t>1000021597</t>
        </is>
      </c>
      <c r="J2486" s="69" t="inlineStr">
        <is>
          <t>供应(不含安装) Infinair 厨房抽油烟机</t>
        </is>
      </c>
      <c r="K2486" s="70" t="n"/>
      <c r="L2486" s="70" t="n"/>
      <c r="M2486" s="71" t="inlineStr">
        <is>
          <t>台</t>
        </is>
      </c>
      <c r="N2486" s="72" t="n">
        <v>3437.7</v>
      </c>
      <c r="O2486" s="72">
        <f>ROUND(N2486*(1+$F$10),2)</f>
        <v/>
      </c>
      <c r="P2486" s="73">
        <f>ROUND(K2486*N2486,2)</f>
        <v/>
      </c>
      <c r="Q2486" s="74">
        <f>ROUND(L2486*N2486,2)</f>
        <v/>
      </c>
      <c r="R2486" s="75" t="n"/>
      <c r="S2486" s="76" t="n"/>
      <c r="T2486" s="77">
        <f>K2486-L2486</f>
        <v/>
      </c>
      <c r="U2486" s="77">
        <f>P2486-Q2486</f>
        <v/>
      </c>
      <c r="V2486" s="77">
        <f>ABS(U2486)</f>
        <v/>
      </c>
      <c r="W2486" s="78">
        <f>T2486/L2486</f>
        <v/>
      </c>
      <c r="X2486" s="79">
        <f>ABS(W2486)</f>
        <v/>
      </c>
    </row>
    <row r="2487" ht="11.4" customHeight="1">
      <c r="A2487" s="67" t="inlineStr">
        <is>
          <t>大甜149</t>
        </is>
      </c>
      <c r="B2487" s="67" t="inlineStr">
        <is>
          <t>1155</t>
        </is>
      </c>
      <c r="C2487" s="67" t="inlineStr">
        <is>
          <t>8496</t>
        </is>
      </c>
      <c r="D2487" s="68" t="inlineStr">
        <is>
          <t>03</t>
        </is>
      </c>
      <c r="E2487" s="68" t="inlineStr">
        <is>
          <t>8 设备</t>
        </is>
      </c>
      <c r="F2487" s="68" t="inlineStr">
        <is>
          <t>8.5a 承包商供应施工材料和设备</t>
        </is>
      </c>
      <c r="G2487" s="68" t="inlineStr">
        <is>
          <t>8.5.6 厨房抽油烟机</t>
        </is>
      </c>
      <c r="H2487" s="68" t="inlineStr">
        <is>
          <t>厨房抽油烟机</t>
        </is>
      </c>
      <c r="I2487" s="69" t="inlineStr">
        <is>
          <t>1000051730</t>
        </is>
      </c>
      <c r="J2487" s="69" t="inlineStr">
        <is>
          <t>供应(不含安装) Infinair 厨房抽油烟机2.2kw</t>
        </is>
      </c>
      <c r="K2487" s="70" t="n"/>
      <c r="L2487" s="70" t="n"/>
      <c r="M2487" s="71" t="inlineStr">
        <is>
          <t>台</t>
        </is>
      </c>
      <c r="N2487" s="72" t="n">
        <v>4340.7</v>
      </c>
      <c r="O2487" s="72">
        <f>ROUND(N2487*(1+$F$10),2)</f>
        <v/>
      </c>
      <c r="P2487" s="73">
        <f>ROUND(K2487*N2487,2)</f>
        <v/>
      </c>
      <c r="Q2487" s="74">
        <f>ROUND(L2487*N2487,2)</f>
        <v/>
      </c>
      <c r="R2487" s="75" t="n"/>
      <c r="S2487" s="76" t="n"/>
      <c r="T2487" s="77">
        <f>K2487-L2487</f>
        <v/>
      </c>
      <c r="U2487" s="77">
        <f>P2487-Q2487</f>
        <v/>
      </c>
      <c r="V2487" s="77">
        <f>ABS(U2487)</f>
        <v/>
      </c>
      <c r="W2487" s="78">
        <f>T2487/L2487</f>
        <v/>
      </c>
      <c r="X2487" s="79">
        <f>ABS(W2487)</f>
        <v/>
      </c>
    </row>
    <row r="2488" ht="11.4" customHeight="1">
      <c r="A2488" s="67" t="inlineStr">
        <is>
          <t>大甜150</t>
        </is>
      </c>
      <c r="B2488" s="67" t="inlineStr">
        <is>
          <t>1156</t>
        </is>
      </c>
      <c r="C2488" s="67" t="inlineStr">
        <is>
          <t>8497</t>
        </is>
      </c>
      <c r="D2488" s="68" t="inlineStr">
        <is>
          <t>03</t>
        </is>
      </c>
      <c r="E2488" s="68" t="inlineStr">
        <is>
          <t>8 设备</t>
        </is>
      </c>
      <c r="F2488" s="68" t="inlineStr">
        <is>
          <t>8.5a 承包商供应施工材料和设备</t>
        </is>
      </c>
      <c r="G2488" s="68" t="inlineStr">
        <is>
          <t>8.5.7 其他五金件</t>
        </is>
      </c>
      <c r="H2488" s="68" t="inlineStr">
        <is>
          <t>卷帘门</t>
        </is>
      </c>
      <c r="I2488" s="69" t="inlineStr">
        <is>
          <t>1000022079</t>
        </is>
      </c>
      <c r="J2488" s="69" t="inlineStr">
        <is>
          <t>防盗卷帘门连门框及全部配件</t>
        </is>
      </c>
      <c r="K2488" s="70" t="n"/>
      <c r="L2488" s="70" t="n"/>
      <c r="M2488" s="71" t="inlineStr">
        <is>
          <t>m2</t>
        </is>
      </c>
      <c r="N2488" s="72" t="n">
        <v>298</v>
      </c>
      <c r="O2488" s="72">
        <f>ROUND(N2488*(1+$F$10),2)</f>
        <v/>
      </c>
      <c r="P2488" s="73">
        <f>ROUND(K2488*N2488,2)</f>
        <v/>
      </c>
      <c r="Q2488" s="74">
        <f>ROUND(L2488*N2488,2)</f>
        <v/>
      </c>
      <c r="R2488" s="75" t="n"/>
      <c r="S2488" s="76" t="n"/>
      <c r="T2488" s="77">
        <f>K2488-L2488</f>
        <v/>
      </c>
      <c r="U2488" s="77">
        <f>P2488-Q2488</f>
        <v/>
      </c>
      <c r="V2488" s="77">
        <f>ABS(U2488)</f>
        <v/>
      </c>
      <c r="W2488" s="78">
        <f>T2488/L2488</f>
        <v/>
      </c>
      <c r="X2488" s="79">
        <f>ABS(W2488)</f>
        <v/>
      </c>
    </row>
    <row r="2489" ht="11.4" customHeight="1">
      <c r="A2489" s="67" t="inlineStr">
        <is>
          <t>大甜150</t>
        </is>
      </c>
      <c r="B2489" s="67" t="inlineStr">
        <is>
          <t>1156</t>
        </is>
      </c>
      <c r="C2489" s="67" t="inlineStr">
        <is>
          <t>8497</t>
        </is>
      </c>
      <c r="D2489" s="68" t="inlineStr">
        <is>
          <t>03</t>
        </is>
      </c>
      <c r="E2489" s="68" t="inlineStr">
        <is>
          <t>8 设备</t>
        </is>
      </c>
      <c r="F2489" s="68" t="inlineStr">
        <is>
          <t>8.5a 承包商供应施工材料和设备</t>
        </is>
      </c>
      <c r="G2489" s="68" t="inlineStr">
        <is>
          <t>8.5.7 其他五金件</t>
        </is>
      </c>
      <c r="H2489" s="68" t="inlineStr">
        <is>
          <t>卷帘门</t>
        </is>
      </c>
      <c r="I2489" s="69" t="inlineStr">
        <is>
          <t>1000022080</t>
        </is>
      </c>
      <c r="J2489" s="69" t="inlineStr">
        <is>
          <t>防盗卷帘门电机系统及全部配件</t>
        </is>
      </c>
      <c r="K2489" s="70" t="n"/>
      <c r="L2489" s="70" t="n"/>
      <c r="M2489" s="71" t="inlineStr">
        <is>
          <t>台</t>
        </is>
      </c>
      <c r="N2489" s="72" t="n">
        <v>2330</v>
      </c>
      <c r="O2489" s="72">
        <f>ROUND(N2489*(1+$F$10),2)</f>
        <v/>
      </c>
      <c r="P2489" s="73">
        <f>ROUND(K2489*N2489,2)</f>
        <v/>
      </c>
      <c r="Q2489" s="74">
        <f>ROUND(L2489*N2489,2)</f>
        <v/>
      </c>
      <c r="R2489" s="75" t="n"/>
      <c r="S2489" s="76" t="n"/>
      <c r="T2489" s="77">
        <f>K2489-L2489</f>
        <v/>
      </c>
      <c r="U2489" s="77">
        <f>P2489-Q2489</f>
        <v/>
      </c>
      <c r="V2489" s="77">
        <f>ABS(U2489)</f>
        <v/>
      </c>
      <c r="W2489" s="78">
        <f>T2489/L2489</f>
        <v/>
      </c>
      <c r="X2489" s="79">
        <f>ABS(W2489)</f>
        <v/>
      </c>
    </row>
    <row r="2490" ht="11.4" customHeight="1">
      <c r="A2490" s="67" t="inlineStr">
        <is>
          <t>大甜123</t>
        </is>
      </c>
      <c r="B2490" s="67" t="inlineStr">
        <is>
          <t>1121</t>
        </is>
      </c>
      <c r="C2490" s="67" t="inlineStr">
        <is>
          <t>8352</t>
        </is>
      </c>
      <c r="D2490" s="68" t="inlineStr">
        <is>
          <t>03</t>
        </is>
      </c>
      <c r="E2490" s="68" t="inlineStr">
        <is>
          <t>8 设备</t>
        </is>
      </c>
      <c r="F2490" s="68" t="inlineStr">
        <is>
          <t>8.7 其他设备</t>
        </is>
      </c>
      <c r="G2490" s="68" t="inlineStr">
        <is>
          <t>其他设备</t>
        </is>
      </c>
      <c r="H2490" s="68" t="inlineStr">
        <is>
          <t>其他设备</t>
        </is>
      </c>
      <c r="I2490" s="69" t="inlineStr">
        <is>
          <t>1000022090</t>
        </is>
      </c>
      <c r="J2490" s="69" t="inlineStr">
        <is>
          <t>冰箱</t>
        </is>
      </c>
      <c r="K2490" s="70" t="n"/>
      <c r="L2490" s="70" t="n"/>
      <c r="M2490" s="71" t="inlineStr">
        <is>
          <t>台</t>
        </is>
      </c>
      <c r="N2490" s="72" t="n">
        <v>881</v>
      </c>
      <c r="O2490" s="72">
        <f>ROUND(N2490*(1+$F$10),2)</f>
        <v/>
      </c>
      <c r="P2490" s="73">
        <f>ROUND(K2490*N2490,2)</f>
        <v/>
      </c>
      <c r="Q2490" s="74">
        <f>ROUND(L2490*N2490,2)</f>
        <v/>
      </c>
      <c r="R2490" s="75" t="n"/>
      <c r="S2490" s="76" t="n"/>
      <c r="T2490" s="77">
        <f>K2490-L2490</f>
        <v/>
      </c>
      <c r="U2490" s="77">
        <f>P2490-Q2490</f>
        <v/>
      </c>
      <c r="V2490" s="77">
        <f>ABS(U2490)</f>
        <v/>
      </c>
      <c r="W2490" s="78">
        <f>T2490/L2490</f>
        <v/>
      </c>
      <c r="X2490" s="79">
        <f>ABS(W2490)</f>
        <v/>
      </c>
    </row>
    <row r="2491" ht="11.4" customHeight="1">
      <c r="A2491" s="67" t="inlineStr">
        <is>
          <t>大甜152</t>
        </is>
      </c>
      <c r="B2491" s="67" t="inlineStr">
        <is>
          <t>1158</t>
        </is>
      </c>
      <c r="C2491" s="67" t="inlineStr">
        <is>
          <t>8900</t>
        </is>
      </c>
      <c r="D2491" s="68" t="inlineStr">
        <is>
          <t>03</t>
        </is>
      </c>
      <c r="E2491" s="68" t="inlineStr">
        <is>
          <t>8 设备</t>
        </is>
      </c>
      <c r="F2491" s="68" t="inlineStr">
        <is>
          <t>8.7 其他设备</t>
        </is>
      </c>
      <c r="G2491" s="68" t="inlineStr">
        <is>
          <t>其他设备</t>
        </is>
      </c>
      <c r="H2491" s="68" t="inlineStr">
        <is>
          <t>其他设备</t>
        </is>
      </c>
      <c r="I2491" s="69" t="inlineStr">
        <is>
          <t>1000022091</t>
        </is>
      </c>
      <c r="J2491" s="69" t="inlineStr">
        <is>
          <t>饮水机</t>
        </is>
      </c>
      <c r="K2491" s="70" t="n"/>
      <c r="L2491" s="70" t="n"/>
      <c r="M2491" s="71" t="inlineStr">
        <is>
          <t>台</t>
        </is>
      </c>
      <c r="N2491" s="72" t="n">
        <v>258</v>
      </c>
      <c r="O2491" s="72">
        <f>ROUND(N2491*(1+$F$10),2)</f>
        <v/>
      </c>
      <c r="P2491" s="73">
        <f>ROUND(K2491*N2491,2)</f>
        <v/>
      </c>
      <c r="Q2491" s="74">
        <f>ROUND(L2491*N2491,2)</f>
        <v/>
      </c>
      <c r="R2491" s="75" t="n"/>
      <c r="S2491" s="76" t="n"/>
      <c r="T2491" s="77">
        <f>K2491-L2491</f>
        <v/>
      </c>
      <c r="U2491" s="77">
        <f>P2491-Q2491</f>
        <v/>
      </c>
      <c r="V2491" s="77">
        <f>ABS(U2491)</f>
        <v/>
      </c>
      <c r="W2491" s="78">
        <f>T2491/L2491</f>
        <v/>
      </c>
      <c r="X2491" s="79">
        <f>ABS(W2491)</f>
        <v/>
      </c>
    </row>
    <row r="2492" ht="11.4" customHeight="1">
      <c r="A2492" s="67" t="inlineStr">
        <is>
          <t>大甜138</t>
        </is>
      </c>
      <c r="B2492" s="67" t="inlineStr">
        <is>
          <t>1136</t>
        </is>
      </c>
      <c r="C2492" s="67" t="inlineStr">
        <is>
          <t>8451</t>
        </is>
      </c>
      <c r="D2492" s="68" t="inlineStr">
        <is>
          <t>03</t>
        </is>
      </c>
      <c r="E2492" s="68" t="inlineStr">
        <is>
          <t>8 设备</t>
        </is>
      </c>
      <c r="F2492" s="68" t="inlineStr">
        <is>
          <t>8.7 其他设备</t>
        </is>
      </c>
      <c r="G2492" s="68" t="inlineStr">
        <is>
          <t>其他设备</t>
        </is>
      </c>
      <c r="H2492" s="68" t="inlineStr">
        <is>
          <t>其他设备</t>
        </is>
      </c>
      <c r="I2492" s="69" t="inlineStr">
        <is>
          <t>1000022092</t>
        </is>
      </c>
      <c r="J2492" s="69" t="inlineStr">
        <is>
          <t>电熨斗</t>
        </is>
      </c>
      <c r="K2492" s="70" t="n"/>
      <c r="L2492" s="70" t="n"/>
      <c r="M2492" s="71" t="inlineStr">
        <is>
          <t>台</t>
        </is>
      </c>
      <c r="N2492" s="72" t="n">
        <v>300</v>
      </c>
      <c r="O2492" s="72">
        <f>ROUND(N2492*(1+$F$10),2)</f>
        <v/>
      </c>
      <c r="P2492" s="73">
        <f>ROUND(K2492*N2492,2)</f>
        <v/>
      </c>
      <c r="Q2492" s="74">
        <f>ROUND(L2492*N2492,2)</f>
        <v/>
      </c>
      <c r="R2492" s="75" t="n"/>
      <c r="S2492" s="76" t="n"/>
      <c r="T2492" s="77">
        <f>K2492-L2492</f>
        <v/>
      </c>
      <c r="U2492" s="77">
        <f>P2492-Q2492</f>
        <v/>
      </c>
      <c r="V2492" s="77">
        <f>ABS(U2492)</f>
        <v/>
      </c>
      <c r="W2492" s="78">
        <f>T2492/L2492</f>
        <v/>
      </c>
      <c r="X2492" s="79">
        <f>ABS(W2492)</f>
        <v/>
      </c>
    </row>
    <row r="2493" ht="11.4" customHeight="1">
      <c r="A2493" s="67" t="inlineStr">
        <is>
          <t>大甜152</t>
        </is>
      </c>
      <c r="B2493" s="67" t="inlineStr">
        <is>
          <t>1158</t>
        </is>
      </c>
      <c r="C2493" s="67" t="inlineStr">
        <is>
          <t>8900</t>
        </is>
      </c>
      <c r="D2493" s="68" t="inlineStr">
        <is>
          <t>03</t>
        </is>
      </c>
      <c r="E2493" s="68" t="inlineStr">
        <is>
          <t>8 设备</t>
        </is>
      </c>
      <c r="F2493" s="68" t="inlineStr">
        <is>
          <t>8.7 其他设备</t>
        </is>
      </c>
      <c r="G2493" s="68" t="inlineStr">
        <is>
          <t>其他设备</t>
        </is>
      </c>
      <c r="H2493" s="68" t="inlineStr">
        <is>
          <t>其他设备</t>
        </is>
      </c>
      <c r="I2493" s="69" t="inlineStr">
        <is>
          <t>1000022081</t>
        </is>
      </c>
      <c r="J2493" s="69" t="inlineStr">
        <is>
          <t>冷冻、冷藏一对(两根)冷媒管</t>
        </is>
      </c>
      <c r="K2493" s="70" t="n"/>
      <c r="L2493" s="70" t="n"/>
      <c r="M2493" s="71" t="inlineStr">
        <is>
          <t>米</t>
        </is>
      </c>
      <c r="N2493" s="72" t="n">
        <v>99.31999999999999</v>
      </c>
      <c r="O2493" s="72">
        <f>ROUND(N2493*(1+$F$10),2)</f>
        <v/>
      </c>
      <c r="P2493" s="73">
        <f>ROUND(K2493*N2493,2)</f>
        <v/>
      </c>
      <c r="Q2493" s="74">
        <f>ROUND(L2493*N2493,2)</f>
        <v/>
      </c>
      <c r="R2493" s="75" t="n"/>
      <c r="S2493" s="76" t="n"/>
      <c r="T2493" s="77">
        <f>K2493-L2493</f>
        <v/>
      </c>
      <c r="U2493" s="77">
        <f>P2493-Q2493</f>
        <v/>
      </c>
      <c r="V2493" s="77">
        <f>ABS(U2493)</f>
        <v/>
      </c>
      <c r="W2493" s="78">
        <f>T2493/L2493</f>
        <v/>
      </c>
      <c r="X2493" s="79">
        <f>ABS(W2493)</f>
        <v/>
      </c>
    </row>
    <row r="2494" ht="11.4" customHeight="1">
      <c r="A2494" s="67" t="inlineStr">
        <is>
          <t>大甜152</t>
        </is>
      </c>
      <c r="B2494" s="67" t="inlineStr">
        <is>
          <t>1158</t>
        </is>
      </c>
      <c r="C2494" s="67" t="inlineStr">
        <is>
          <t>8900</t>
        </is>
      </c>
      <c r="D2494" s="68" t="inlineStr">
        <is>
          <t>03</t>
        </is>
      </c>
      <c r="E2494" s="68" t="inlineStr">
        <is>
          <t>8 设备</t>
        </is>
      </c>
      <c r="F2494" s="68" t="inlineStr">
        <is>
          <t>8.7 其他设备</t>
        </is>
      </c>
      <c r="G2494" s="68" t="inlineStr">
        <is>
          <t>其他设备</t>
        </is>
      </c>
      <c r="H2494" s="68" t="inlineStr">
        <is>
          <t>其他设备</t>
        </is>
      </c>
      <c r="I2494" s="69" t="inlineStr">
        <is>
          <t>1000022082</t>
        </is>
      </c>
      <c r="J2494" s="69" t="inlineStr">
        <is>
          <t>制冰机与汽水机一对(两根)冷媒管</t>
        </is>
      </c>
      <c r="K2494" s="70" t="n"/>
      <c r="L2494" s="70" t="n"/>
      <c r="M2494" s="71" t="inlineStr">
        <is>
          <t>米</t>
        </is>
      </c>
      <c r="N2494" s="72" t="n">
        <v>99.31999999999999</v>
      </c>
      <c r="O2494" s="72">
        <f>ROUND(N2494*(1+$F$10),2)</f>
        <v/>
      </c>
      <c r="P2494" s="73">
        <f>ROUND(K2494*N2494,2)</f>
        <v/>
      </c>
      <c r="Q2494" s="74">
        <f>ROUND(L2494*N2494,2)</f>
        <v/>
      </c>
      <c r="R2494" s="75" t="n"/>
      <c r="S2494" s="76" t="n"/>
      <c r="T2494" s="77">
        <f>K2494-L2494</f>
        <v/>
      </c>
      <c r="U2494" s="77">
        <f>P2494-Q2494</f>
        <v/>
      </c>
      <c r="V2494" s="77">
        <f>ABS(U2494)</f>
        <v/>
      </c>
      <c r="W2494" s="78">
        <f>T2494/L2494</f>
        <v/>
      </c>
      <c r="X2494" s="79">
        <f>ABS(W2494)</f>
        <v/>
      </c>
    </row>
    <row r="2495" ht="11.4" customHeight="1">
      <c r="A2495" s="67" t="inlineStr">
        <is>
          <t>大甜152</t>
        </is>
      </c>
      <c r="B2495" s="67" t="inlineStr">
        <is>
          <t>1158</t>
        </is>
      </c>
      <c r="C2495" s="67" t="inlineStr">
        <is>
          <t>8900</t>
        </is>
      </c>
      <c r="D2495" s="68" t="inlineStr">
        <is>
          <t>03</t>
        </is>
      </c>
      <c r="E2495" s="68" t="inlineStr">
        <is>
          <t>8 设备</t>
        </is>
      </c>
      <c r="F2495" s="68" t="inlineStr">
        <is>
          <t>8.7 其他设备</t>
        </is>
      </c>
      <c r="G2495" s="68" t="inlineStr">
        <is>
          <t>其他设备</t>
        </is>
      </c>
      <c r="H2495" s="68" t="inlineStr">
        <is>
          <t>其他设备</t>
        </is>
      </c>
      <c r="I2495" s="69" t="inlineStr">
        <is>
          <t>1000022093</t>
        </is>
      </c>
      <c r="J2495" s="69" t="inlineStr">
        <is>
          <t>小米随身USB风扇</t>
        </is>
      </c>
      <c r="K2495" s="70" t="n"/>
      <c r="L2495" s="70" t="n"/>
      <c r="M2495" s="71" t="inlineStr">
        <is>
          <t>个</t>
        </is>
      </c>
      <c r="N2495" s="72" t="n">
        <v>21</v>
      </c>
      <c r="O2495" s="72">
        <f>ROUND(N2495*(1+$F$10),2)</f>
        <v/>
      </c>
      <c r="P2495" s="73">
        <f>ROUND(K2495*N2495,2)</f>
        <v/>
      </c>
      <c r="Q2495" s="74">
        <f>ROUND(L2495*N2495,2)</f>
        <v/>
      </c>
      <c r="R2495" s="75" t="n"/>
      <c r="S2495" s="76" t="n"/>
      <c r="T2495" s="77">
        <f>K2495-L2495</f>
        <v/>
      </c>
      <c r="U2495" s="77">
        <f>P2495-Q2495</f>
        <v/>
      </c>
      <c r="V2495" s="77">
        <f>ABS(U2495)</f>
        <v/>
      </c>
      <c r="W2495" s="78">
        <f>T2495/L2495</f>
        <v/>
      </c>
      <c r="X2495" s="79">
        <f>ABS(W2495)</f>
        <v/>
      </c>
    </row>
    <row r="2496" ht="11.4" customHeight="1">
      <c r="A2496" s="67" t="inlineStr">
        <is>
          <t>大甜156</t>
        </is>
      </c>
      <c r="B2496" s="67" t="inlineStr">
        <is>
          <t>1162</t>
        </is>
      </c>
      <c r="C2496" s="67" t="inlineStr">
        <is>
          <t>2991</t>
        </is>
      </c>
      <c r="D2496" s="68" t="inlineStr">
        <is>
          <t>03</t>
        </is>
      </c>
      <c r="E2496" s="68" t="inlineStr">
        <is>
          <t>9 座位</t>
        </is>
      </c>
      <c r="F2496" s="68" t="inlineStr">
        <is>
          <t>9.3 座位安装</t>
        </is>
      </c>
      <c r="G2496" s="68" t="inlineStr">
        <is>
          <t>座位安装</t>
        </is>
      </c>
      <c r="H2496" s="68" t="inlineStr">
        <is>
          <t>座位安装</t>
        </is>
      </c>
      <c r="I2496" s="69" t="inlineStr">
        <is>
          <t>1000022095</t>
        </is>
      </c>
      <c r="J2496" s="69" t="inlineStr">
        <is>
          <t>座位下货及安装</t>
        </is>
      </c>
      <c r="K2496" s="70" t="n"/>
      <c r="L2496" s="70" t="n"/>
      <c r="M2496" s="71" t="inlineStr">
        <is>
          <t>项</t>
        </is>
      </c>
      <c r="N2496" s="72" t="n">
        <v>3735</v>
      </c>
      <c r="O2496" s="72">
        <f>ROUND(N2496*(1+$F$10),2)</f>
        <v/>
      </c>
      <c r="P2496" s="73">
        <f>ROUND(K2496*N2496,2)</f>
        <v/>
      </c>
      <c r="Q2496" s="74">
        <f>ROUND(L2496*N2496,2)</f>
        <v/>
      </c>
      <c r="R2496" s="75" t="n"/>
      <c r="S2496" s="76" t="n"/>
      <c r="T2496" s="77">
        <f>K2496-L2496</f>
        <v/>
      </c>
      <c r="U2496" s="77">
        <f>P2496-Q2496</f>
        <v/>
      </c>
      <c r="V2496" s="77">
        <f>ABS(U2496)</f>
        <v/>
      </c>
      <c r="W2496" s="78">
        <f>T2496/L2496</f>
        <v/>
      </c>
      <c r="X2496" s="79">
        <f>ABS(W2496)</f>
        <v/>
      </c>
    </row>
    <row r="2497" ht="11.4" customHeight="1">
      <c r="A2497" s="67" t="inlineStr">
        <is>
          <t>大甜166</t>
        </is>
      </c>
      <c r="B2497" s="67" t="inlineStr">
        <is>
          <t>1172</t>
        </is>
      </c>
      <c r="C2497" s="67" t="inlineStr">
        <is>
          <t>4081</t>
        </is>
      </c>
      <c r="D2497" s="68" t="inlineStr">
        <is>
          <t>03</t>
        </is>
      </c>
      <c r="E2497" s="68" t="inlineStr">
        <is>
          <t>10 装饰品及其他</t>
        </is>
      </c>
      <c r="F2497" s="68" t="inlineStr">
        <is>
          <t>10.08 其它装饰品</t>
        </is>
      </c>
      <c r="G2497" s="68" t="inlineStr">
        <is>
          <t>室内指示牌</t>
        </is>
      </c>
      <c r="H2497" s="68" t="inlineStr">
        <is>
          <t>室内指示牌</t>
        </is>
      </c>
      <c r="I2497" s="69" t="inlineStr">
        <is>
          <t>1000021598</t>
        </is>
      </c>
      <c r="J2497" s="69" t="inlineStr">
        <is>
          <t>室内指示牌（仅主材）</t>
        </is>
      </c>
      <c r="K2497" s="70" t="n"/>
      <c r="L2497" s="70" t="n"/>
      <c r="M2497" s="71" t="inlineStr">
        <is>
          <t>项</t>
        </is>
      </c>
      <c r="N2497" s="72" t="n">
        <v>538.4400000000001</v>
      </c>
      <c r="O2497" s="72">
        <f>ROUND(N2497*(1+$F$10),2)</f>
        <v/>
      </c>
      <c r="P2497" s="73">
        <f>ROUND(K2497*N2497,2)</f>
        <v/>
      </c>
      <c r="Q2497" s="74">
        <f>ROUND(L2497*N2497,2)</f>
        <v/>
      </c>
      <c r="R2497" s="75" t="n"/>
      <c r="S2497" s="76" t="n"/>
      <c r="T2497" s="77">
        <f>K2497-L2497</f>
        <v/>
      </c>
      <c r="U2497" s="77">
        <f>P2497-Q2497</f>
        <v/>
      </c>
      <c r="V2497" s="77">
        <f>ABS(U2497)</f>
        <v/>
      </c>
      <c r="W2497" s="78">
        <f>T2497/L2497</f>
        <v/>
      </c>
      <c r="X2497" s="79">
        <f>ABS(W2497)</f>
        <v/>
      </c>
    </row>
    <row r="2498" ht="11.4" customHeight="1">
      <c r="A2498" s="67" t="inlineStr">
        <is>
          <t>大甜166</t>
        </is>
      </c>
      <c r="B2498" s="67" t="inlineStr">
        <is>
          <t>1172</t>
        </is>
      </c>
      <c r="C2498" s="67" t="inlineStr">
        <is>
          <t>4081</t>
        </is>
      </c>
      <c r="D2498" s="68" t="inlineStr">
        <is>
          <t>03</t>
        </is>
      </c>
      <c r="E2498" s="68" t="inlineStr">
        <is>
          <t>10 装饰品及其他</t>
        </is>
      </c>
      <c r="F2498" s="68" t="inlineStr">
        <is>
          <t>10.08 其它装饰品</t>
        </is>
      </c>
      <c r="G2498" s="68" t="inlineStr">
        <is>
          <t>室内指示牌</t>
        </is>
      </c>
      <c r="H2498" s="68" t="inlineStr">
        <is>
          <t>室内指示牌</t>
        </is>
      </c>
      <c r="I2498" s="69" t="inlineStr">
        <is>
          <t>1000022096</t>
        </is>
      </c>
      <c r="J2498" s="69" t="inlineStr">
        <is>
          <t>室内指示牌安装</t>
        </is>
      </c>
      <c r="K2498" s="70" t="n"/>
      <c r="L2498" s="70" t="n"/>
      <c r="M2498" s="71" t="inlineStr">
        <is>
          <t>项</t>
        </is>
      </c>
      <c r="N2498" s="72" t="n">
        <v>200.08</v>
      </c>
      <c r="O2498" s="72">
        <f>ROUND(N2498*(1+$F$10),2)</f>
        <v/>
      </c>
      <c r="P2498" s="73">
        <f>ROUND(K2498*N2498,2)</f>
        <v/>
      </c>
      <c r="Q2498" s="74">
        <f>ROUND(L2498*N2498,2)</f>
        <v/>
      </c>
      <c r="R2498" s="75" t="n"/>
      <c r="S2498" s="76" t="n"/>
      <c r="T2498" s="77">
        <f>K2498-L2498</f>
        <v/>
      </c>
      <c r="U2498" s="77">
        <f>P2498-Q2498</f>
        <v/>
      </c>
      <c r="V2498" s="77">
        <f>ABS(U2498)</f>
        <v/>
      </c>
      <c r="W2498" s="78">
        <f>T2498/L2498</f>
        <v/>
      </c>
      <c r="X2498" s="79">
        <f>ABS(W2498)</f>
        <v/>
      </c>
    </row>
    <row r="2499" ht="11.4" customHeight="1">
      <c r="A2499" s="67" t="inlineStr">
        <is>
          <t>大甜165</t>
        </is>
      </c>
      <c r="B2499" s="67" t="inlineStr">
        <is>
          <t>1171</t>
        </is>
      </c>
      <c r="C2499" s="67" t="inlineStr">
        <is>
          <t>4007</t>
        </is>
      </c>
      <c r="D2499" s="68" t="inlineStr">
        <is>
          <t>03</t>
        </is>
      </c>
      <c r="E2499" s="68" t="inlineStr">
        <is>
          <t>10 装饰品及其他</t>
        </is>
      </c>
      <c r="F2499" s="68" t="inlineStr">
        <is>
          <t>10.07 主题装饰品</t>
        </is>
      </c>
      <c r="G2499" s="68" t="inlineStr">
        <is>
          <t>主题装饰（由承包商采购）</t>
        </is>
      </c>
      <c r="H2499" s="68" t="inlineStr">
        <is>
          <t>主题装饰（由承包商采购）</t>
        </is>
      </c>
      <c r="I2499" s="69" t="inlineStr">
        <is>
          <t>1000040117</t>
        </is>
      </c>
      <c r="J2499" s="69" t="inlineStr">
        <is>
          <t>主题装饰（由承包商采购的龙门架、屏风、吊灯、沟通栏等）</t>
        </is>
      </c>
      <c r="K2499" s="70" t="n"/>
      <c r="L2499" s="70" t="n"/>
      <c r="M2499" s="71" t="inlineStr">
        <is>
          <t>项</t>
        </is>
      </c>
      <c r="N2499" s="72" t="n"/>
      <c r="O2499" s="72">
        <f>ROUND(N2499*(1+$F$10),2)</f>
        <v/>
      </c>
      <c r="P2499" s="73">
        <f>ROUND(K2499*N2499,2)</f>
        <v/>
      </c>
      <c r="Q2499" s="74">
        <f>ROUND(L2499*N2499,2)</f>
        <v/>
      </c>
      <c r="R2499" s="75" t="n"/>
      <c r="S2499" s="76" t="n"/>
      <c r="T2499" s="77">
        <f>K2499-L2499</f>
        <v/>
      </c>
      <c r="U2499" s="77">
        <f>P2499-Q2499</f>
        <v/>
      </c>
      <c r="V2499" s="77">
        <f>ABS(U2499)</f>
        <v/>
      </c>
      <c r="W2499" s="78">
        <f>T2499/L2499</f>
        <v/>
      </c>
      <c r="X2499" s="79">
        <f>ABS(W2499)</f>
        <v/>
      </c>
    </row>
    <row r="2500" ht="11.4" customHeight="1">
      <c r="A2500" s="67" t="inlineStr">
        <is>
          <t>大甜165</t>
        </is>
      </c>
      <c r="B2500" s="67" t="inlineStr">
        <is>
          <t>1171</t>
        </is>
      </c>
      <c r="C2500" s="67" t="inlineStr">
        <is>
          <t>4007</t>
        </is>
      </c>
      <c r="D2500" s="68" t="inlineStr">
        <is>
          <t>03</t>
        </is>
      </c>
      <c r="E2500" s="68" t="inlineStr">
        <is>
          <t>10 装饰品及其他</t>
        </is>
      </c>
      <c r="F2500" s="68" t="inlineStr">
        <is>
          <t>10.07 主题装饰品</t>
        </is>
      </c>
      <c r="G2500" s="68" t="inlineStr">
        <is>
          <t>主题装饰（由承包商采购）</t>
        </is>
      </c>
      <c r="H2500" s="68" t="inlineStr">
        <is>
          <t>主题装饰（由承包商采购）</t>
        </is>
      </c>
      <c r="I2500" s="69" t="inlineStr">
        <is>
          <t>1000021609</t>
        </is>
      </c>
      <c r="J2500" s="69" t="inlineStr">
        <is>
          <t>挂画Alp主材(600*900)</t>
        </is>
      </c>
      <c r="K2500" s="70" t="n"/>
      <c r="L2500" s="70" t="n"/>
      <c r="M2500" s="71" t="inlineStr">
        <is>
          <t>个</t>
        </is>
      </c>
      <c r="N2500" s="72" t="n"/>
      <c r="O2500" s="72">
        <f>ROUND(N2500*(1+$F$10),2)</f>
        <v/>
      </c>
      <c r="P2500" s="73">
        <f>ROUND(K2500*N2500,2)</f>
        <v/>
      </c>
      <c r="Q2500" s="74">
        <f>ROUND(L2500*N2500,2)</f>
        <v/>
      </c>
      <c r="R2500" s="75" t="n"/>
      <c r="S2500" s="76" t="n"/>
      <c r="T2500" s="77">
        <f>K2500-L2500</f>
        <v/>
      </c>
      <c r="U2500" s="77">
        <f>P2500-Q2500</f>
        <v/>
      </c>
      <c r="V2500" s="77">
        <f>ABS(U2500)</f>
        <v/>
      </c>
      <c r="W2500" s="78">
        <f>T2500/L2500</f>
        <v/>
      </c>
      <c r="X2500" s="79">
        <f>ABS(W2500)</f>
        <v/>
      </c>
    </row>
    <row r="2501" ht="11.4" customHeight="1">
      <c r="A2501" s="67" t="inlineStr">
        <is>
          <t>大甜165</t>
        </is>
      </c>
      <c r="B2501" s="67" t="inlineStr">
        <is>
          <t>1171</t>
        </is>
      </c>
      <c r="C2501" s="67" t="inlineStr">
        <is>
          <t>4007</t>
        </is>
      </c>
      <c r="D2501" s="68" t="inlineStr">
        <is>
          <t>03</t>
        </is>
      </c>
      <c r="E2501" s="68" t="inlineStr">
        <is>
          <t>10 装饰品及其他</t>
        </is>
      </c>
      <c r="F2501" s="68" t="inlineStr">
        <is>
          <t>10.07 主题装饰品</t>
        </is>
      </c>
      <c r="G2501" s="68" t="inlineStr">
        <is>
          <t>主题装饰（由承包商采购）</t>
        </is>
      </c>
      <c r="H2501" s="68" t="inlineStr">
        <is>
          <t>主题装饰（由承包商采购）</t>
        </is>
      </c>
      <c r="I2501" s="69" t="inlineStr">
        <is>
          <t>1000021610</t>
        </is>
      </c>
      <c r="J2501" s="69" t="inlineStr">
        <is>
          <t>挂画Alp主材(1240*1800)</t>
        </is>
      </c>
      <c r="K2501" s="70" t="n"/>
      <c r="L2501" s="70" t="n"/>
      <c r="M2501" s="71" t="inlineStr">
        <is>
          <t>个</t>
        </is>
      </c>
      <c r="N2501" s="72" t="n"/>
      <c r="O2501" s="72">
        <f>ROUND(N2501*(1+$F$10),2)</f>
        <v/>
      </c>
      <c r="P2501" s="73">
        <f>ROUND(K2501*N2501,2)</f>
        <v/>
      </c>
      <c r="Q2501" s="74">
        <f>ROUND(L2501*N2501,2)</f>
        <v/>
      </c>
      <c r="R2501" s="75" t="n"/>
      <c r="S2501" s="76" t="n"/>
      <c r="T2501" s="77">
        <f>K2501-L2501</f>
        <v/>
      </c>
      <c r="U2501" s="77">
        <f>P2501-Q2501</f>
        <v/>
      </c>
      <c r="V2501" s="77">
        <f>ABS(U2501)</f>
        <v/>
      </c>
      <c r="W2501" s="78">
        <f>T2501/L2501</f>
        <v/>
      </c>
      <c r="X2501" s="79">
        <f>ABS(W2501)</f>
        <v/>
      </c>
    </row>
    <row r="2502" ht="11.4" customHeight="1">
      <c r="A2502" s="67" t="inlineStr">
        <is>
          <t>大甜165</t>
        </is>
      </c>
      <c r="B2502" s="67" t="inlineStr">
        <is>
          <t>1171</t>
        </is>
      </c>
      <c r="C2502" s="67" t="inlineStr">
        <is>
          <t>4007</t>
        </is>
      </c>
      <c r="D2502" s="68" t="inlineStr">
        <is>
          <t>03</t>
        </is>
      </c>
      <c r="E2502" s="68" t="inlineStr">
        <is>
          <t>10 装饰品及其他</t>
        </is>
      </c>
      <c r="F2502" s="68" t="inlineStr">
        <is>
          <t>10.07 主题装饰品</t>
        </is>
      </c>
      <c r="G2502" s="68" t="inlineStr">
        <is>
          <t>主题装饰（由承包商采购）</t>
        </is>
      </c>
      <c r="H2502" s="68" t="inlineStr">
        <is>
          <t>主题装饰（由承包商采购）</t>
        </is>
      </c>
      <c r="I2502" s="69" t="inlineStr">
        <is>
          <t>1000040085</t>
        </is>
      </c>
      <c r="J2502" s="69" t="inlineStr">
        <is>
          <t>挂画Ele主材(295*400)</t>
        </is>
      </c>
      <c r="K2502" s="70" t="n"/>
      <c r="L2502" s="70" t="n"/>
      <c r="M2502" s="71" t="inlineStr">
        <is>
          <t>个</t>
        </is>
      </c>
      <c r="N2502" s="72" t="n">
        <v>495.5</v>
      </c>
      <c r="O2502" s="72">
        <f>ROUND(N2502*(1+$F$10),2)</f>
        <v/>
      </c>
      <c r="P2502" s="73">
        <f>ROUND(K2502*N2502,2)</f>
        <v/>
      </c>
      <c r="Q2502" s="74">
        <f>ROUND(L2502*N2502,2)</f>
        <v/>
      </c>
      <c r="R2502" s="75" t="n"/>
      <c r="S2502" s="76" t="n"/>
      <c r="T2502" s="77">
        <f>K2502-L2502</f>
        <v/>
      </c>
      <c r="U2502" s="77">
        <f>P2502-Q2502</f>
        <v/>
      </c>
      <c r="V2502" s="77">
        <f>ABS(U2502)</f>
        <v/>
      </c>
      <c r="W2502" s="78">
        <f>T2502/L2502</f>
        <v/>
      </c>
      <c r="X2502" s="79">
        <f>ABS(W2502)</f>
        <v/>
      </c>
    </row>
    <row r="2503" ht="11.4" customHeight="1">
      <c r="A2503" s="67" t="inlineStr">
        <is>
          <t>大甜165</t>
        </is>
      </c>
      <c r="B2503" s="67" t="inlineStr">
        <is>
          <t>1171</t>
        </is>
      </c>
      <c r="C2503" s="67" t="inlineStr">
        <is>
          <t>4007</t>
        </is>
      </c>
      <c r="D2503" s="68" t="inlineStr">
        <is>
          <t>03</t>
        </is>
      </c>
      <c r="E2503" s="68" t="inlineStr">
        <is>
          <t>10 装饰品及其他</t>
        </is>
      </c>
      <c r="F2503" s="68" t="inlineStr">
        <is>
          <t>10.07 主题装饰品</t>
        </is>
      </c>
      <c r="G2503" s="68" t="inlineStr">
        <is>
          <t>主题装饰（由承包商采购）</t>
        </is>
      </c>
      <c r="H2503" s="68" t="inlineStr">
        <is>
          <t>主题装饰（由承包商采购）</t>
        </is>
      </c>
      <c r="I2503" s="69" t="inlineStr">
        <is>
          <t>1000040086</t>
        </is>
      </c>
      <c r="J2503" s="69" t="inlineStr">
        <is>
          <t>挂画Ele主材(350*450)</t>
        </is>
      </c>
      <c r="K2503" s="70" t="n"/>
      <c r="L2503" s="70" t="n"/>
      <c r="M2503" s="71" t="inlineStr">
        <is>
          <t>个</t>
        </is>
      </c>
      <c r="N2503" s="72" t="n">
        <v>553.15</v>
      </c>
      <c r="O2503" s="72">
        <f>ROUND(N2503*(1+$F$10),2)</f>
        <v/>
      </c>
      <c r="P2503" s="73">
        <f>ROUND(K2503*N2503,2)</f>
        <v/>
      </c>
      <c r="Q2503" s="74">
        <f>ROUND(L2503*N2503,2)</f>
        <v/>
      </c>
      <c r="R2503" s="75" t="n"/>
      <c r="S2503" s="76" t="n"/>
      <c r="T2503" s="77">
        <f>K2503-L2503</f>
        <v/>
      </c>
      <c r="U2503" s="77">
        <f>P2503-Q2503</f>
        <v/>
      </c>
      <c r="V2503" s="77">
        <f>ABS(U2503)</f>
        <v/>
      </c>
      <c r="W2503" s="78">
        <f>T2503/L2503</f>
        <v/>
      </c>
      <c r="X2503" s="79">
        <f>ABS(W2503)</f>
        <v/>
      </c>
    </row>
    <row r="2504" ht="11.4" customHeight="1">
      <c r="A2504" s="67" t="inlineStr">
        <is>
          <t>大甜167</t>
        </is>
      </c>
      <c r="B2504" s="67" t="inlineStr">
        <is>
          <t>1173</t>
        </is>
      </c>
      <c r="C2504" s="67" t="inlineStr">
        <is>
          <t>4991</t>
        </is>
      </c>
      <c r="D2504" s="68" t="inlineStr">
        <is>
          <t>03</t>
        </is>
      </c>
      <c r="E2504" s="68" t="inlineStr">
        <is>
          <t>10 装饰品及其他</t>
        </is>
      </c>
      <c r="F2504" s="68" t="inlineStr">
        <is>
          <t>10.09 装饰品安装</t>
        </is>
      </c>
      <c r="G2504" s="68" t="inlineStr">
        <is>
          <t>装饰品安装</t>
        </is>
      </c>
      <c r="H2504" s="68" t="inlineStr">
        <is>
          <t>装饰品安装</t>
        </is>
      </c>
      <c r="I2504" s="69" t="inlineStr">
        <is>
          <t>1000022097</t>
        </is>
      </c>
      <c r="J2504" s="69" t="inlineStr">
        <is>
          <t>儿童乐园安装（地垫、软包、游乐设施）</t>
        </is>
      </c>
      <c r="K2504" s="70" t="n"/>
      <c r="L2504" s="70" t="n"/>
      <c r="M2504" s="71" t="inlineStr">
        <is>
          <t>项</t>
        </is>
      </c>
      <c r="N2504" s="72" t="n">
        <v>3715</v>
      </c>
      <c r="O2504" s="72">
        <f>ROUND(N2504*(1+$F$10),2)</f>
        <v/>
      </c>
      <c r="P2504" s="73">
        <f>ROUND(K2504*N2504,2)</f>
        <v/>
      </c>
      <c r="Q2504" s="74">
        <f>ROUND(L2504*N2504,2)</f>
        <v/>
      </c>
      <c r="R2504" s="75" t="n"/>
      <c r="S2504" s="76" t="n"/>
      <c r="T2504" s="77">
        <f>K2504-L2504</f>
        <v/>
      </c>
      <c r="U2504" s="77">
        <f>P2504-Q2504</f>
        <v/>
      </c>
      <c r="V2504" s="77">
        <f>ABS(U2504)</f>
        <v/>
      </c>
      <c r="W2504" s="78">
        <f>T2504/L2504</f>
        <v/>
      </c>
      <c r="X2504" s="79">
        <f>ABS(W2504)</f>
        <v/>
      </c>
    </row>
    <row r="2505" ht="11.4" customHeight="1">
      <c r="A2505" s="67" t="inlineStr">
        <is>
          <t>大甜167</t>
        </is>
      </c>
      <c r="B2505" s="67" t="inlineStr">
        <is>
          <t>1173</t>
        </is>
      </c>
      <c r="C2505" s="67" t="inlineStr">
        <is>
          <t>4991</t>
        </is>
      </c>
      <c r="D2505" s="68" t="inlineStr">
        <is>
          <t>03</t>
        </is>
      </c>
      <c r="E2505" s="68" t="inlineStr">
        <is>
          <t>10 装饰品及其他</t>
        </is>
      </c>
      <c r="F2505" s="68" t="inlineStr">
        <is>
          <t>10.09 装饰品安装</t>
        </is>
      </c>
      <c r="G2505" s="68" t="inlineStr">
        <is>
          <t>装饰品安装</t>
        </is>
      </c>
      <c r="H2505" s="68" t="inlineStr">
        <is>
          <t>装饰品安装</t>
        </is>
      </c>
      <c r="I2505" s="69" t="inlineStr">
        <is>
          <t>1000022098</t>
        </is>
      </c>
      <c r="J2505" s="69" t="inlineStr">
        <is>
          <t>happy meal安装</t>
        </is>
      </c>
      <c r="K2505" s="70" t="n"/>
      <c r="L2505" s="70" t="n"/>
      <c r="M2505" s="71" t="inlineStr">
        <is>
          <t>个</t>
        </is>
      </c>
      <c r="N2505" s="72" t="n">
        <v>395.49</v>
      </c>
      <c r="O2505" s="72">
        <f>ROUND(N2505*(1+$F$10),2)</f>
        <v/>
      </c>
      <c r="P2505" s="73">
        <f>ROUND(K2505*N2505,2)</f>
        <v/>
      </c>
      <c r="Q2505" s="74">
        <f>ROUND(L2505*N2505,2)</f>
        <v/>
      </c>
      <c r="R2505" s="75" t="n"/>
      <c r="S2505" s="76" t="n"/>
      <c r="T2505" s="77">
        <f>K2505-L2505</f>
        <v/>
      </c>
      <c r="U2505" s="77">
        <f>P2505-Q2505</f>
        <v/>
      </c>
      <c r="V2505" s="77">
        <f>ABS(U2505)</f>
        <v/>
      </c>
      <c r="W2505" s="78">
        <f>T2505/L2505</f>
        <v/>
      </c>
      <c r="X2505" s="79">
        <f>ABS(W2505)</f>
        <v/>
      </c>
    </row>
    <row r="2506" ht="11.4" customHeight="1">
      <c r="A2506" s="67" t="inlineStr">
        <is>
          <t>大甜167</t>
        </is>
      </c>
      <c r="B2506" s="67" t="inlineStr">
        <is>
          <t>1173</t>
        </is>
      </c>
      <c r="C2506" s="67" t="inlineStr">
        <is>
          <t>4991</t>
        </is>
      </c>
      <c r="D2506" s="68" t="inlineStr">
        <is>
          <t>03</t>
        </is>
      </c>
      <c r="E2506" s="68" t="inlineStr">
        <is>
          <t>10 装饰品及其他</t>
        </is>
      </c>
      <c r="F2506" s="68" t="inlineStr">
        <is>
          <t>10.09 装饰品安装</t>
        </is>
      </c>
      <c r="G2506" s="68" t="inlineStr">
        <is>
          <t>装饰品安装</t>
        </is>
      </c>
      <c r="H2506" s="68" t="inlineStr">
        <is>
          <t>装饰品安装</t>
        </is>
      </c>
      <c r="I2506" s="69" t="inlineStr">
        <is>
          <t>1000022099</t>
        </is>
      </c>
      <c r="J2506" s="69" t="inlineStr">
        <is>
          <t>成品龙门架安装（含结构钢架）</t>
        </is>
      </c>
      <c r="K2506" s="70" t="n"/>
      <c r="L2506" s="70" t="n"/>
      <c r="M2506" s="71" t="inlineStr">
        <is>
          <t>米</t>
        </is>
      </c>
      <c r="N2506" s="72" t="n">
        <v>103.83</v>
      </c>
      <c r="O2506" s="72">
        <f>ROUND(N2506*(1+$F$10),2)</f>
        <v/>
      </c>
      <c r="P2506" s="73">
        <f>ROUND(K2506*N2506,2)</f>
        <v/>
      </c>
      <c r="Q2506" s="74">
        <f>ROUND(L2506*N2506,2)</f>
        <v/>
      </c>
      <c r="R2506" s="75" t="n"/>
      <c r="S2506" s="76" t="n"/>
      <c r="T2506" s="77">
        <f>K2506-L2506</f>
        <v/>
      </c>
      <c r="U2506" s="77">
        <f>P2506-Q2506</f>
        <v/>
      </c>
      <c r="V2506" s="77">
        <f>ABS(U2506)</f>
        <v/>
      </c>
      <c r="W2506" s="78">
        <f>T2506/L2506</f>
        <v/>
      </c>
      <c r="X2506" s="79">
        <f>ABS(W2506)</f>
        <v/>
      </c>
    </row>
    <row r="2507" ht="11.4" customHeight="1">
      <c r="A2507" s="67" t="inlineStr">
        <is>
          <t>大甜167</t>
        </is>
      </c>
      <c r="B2507" s="67" t="inlineStr">
        <is>
          <t>1173</t>
        </is>
      </c>
      <c r="C2507" s="67" t="inlineStr">
        <is>
          <t>4991</t>
        </is>
      </c>
      <c r="D2507" s="68" t="inlineStr">
        <is>
          <t>03</t>
        </is>
      </c>
      <c r="E2507" s="68" t="inlineStr">
        <is>
          <t>10 装饰品及其他</t>
        </is>
      </c>
      <c r="F2507" s="68" t="inlineStr">
        <is>
          <t>10.09 装饰品安装</t>
        </is>
      </c>
      <c r="G2507" s="68" t="inlineStr">
        <is>
          <t>装饰品安装</t>
        </is>
      </c>
      <c r="H2507" s="68" t="inlineStr">
        <is>
          <t>装饰品安装</t>
        </is>
      </c>
      <c r="I2507" s="69" t="inlineStr">
        <is>
          <t>1000022100</t>
        </is>
      </c>
      <c r="J2507" s="69" t="inlineStr">
        <is>
          <t>挂画安装</t>
        </is>
      </c>
      <c r="K2507" s="70" t="n"/>
      <c r="L2507" s="70" t="n"/>
      <c r="M2507" s="71" t="inlineStr">
        <is>
          <t>个</t>
        </is>
      </c>
      <c r="N2507" s="72" t="n">
        <v>24.29</v>
      </c>
      <c r="O2507" s="72">
        <f>ROUND(N2507*(1+$F$10),2)</f>
        <v/>
      </c>
      <c r="P2507" s="73">
        <f>ROUND(K2507*N2507,2)</f>
        <v/>
      </c>
      <c r="Q2507" s="74">
        <f>ROUND(L2507*N2507,2)</f>
        <v/>
      </c>
      <c r="R2507" s="75" t="n"/>
      <c r="S2507" s="76" t="n"/>
      <c r="T2507" s="77">
        <f>K2507-L2507</f>
        <v/>
      </c>
      <c r="U2507" s="77">
        <f>P2507-Q2507</f>
        <v/>
      </c>
      <c r="V2507" s="77">
        <f>ABS(U2507)</f>
        <v/>
      </c>
      <c r="W2507" s="78">
        <f>T2507/L2507</f>
        <v/>
      </c>
      <c r="X2507" s="79">
        <f>ABS(W2507)</f>
        <v/>
      </c>
    </row>
    <row r="2508" ht="11.4" customHeight="1">
      <c r="A2508" s="67" t="inlineStr">
        <is>
          <t>大甜167</t>
        </is>
      </c>
      <c r="B2508" s="67" t="inlineStr">
        <is>
          <t>1173</t>
        </is>
      </c>
      <c r="C2508" s="67" t="inlineStr">
        <is>
          <t>4991</t>
        </is>
      </c>
      <c r="D2508" s="68" t="inlineStr">
        <is>
          <t>03</t>
        </is>
      </c>
      <c r="E2508" s="68" t="inlineStr">
        <is>
          <t>10 装饰品及其他</t>
        </is>
      </c>
      <c r="F2508" s="68" t="inlineStr">
        <is>
          <t>10.09 装饰品安装</t>
        </is>
      </c>
      <c r="G2508" s="68" t="inlineStr">
        <is>
          <t>装饰品安装</t>
        </is>
      </c>
      <c r="H2508" s="68" t="inlineStr">
        <is>
          <t>装饰品安装</t>
        </is>
      </c>
      <c r="I2508" s="69" t="inlineStr">
        <is>
          <t>1000022101</t>
        </is>
      </c>
      <c r="J2508" s="69" t="inlineStr">
        <is>
          <t>装饰品隔断安装（1组3个小隔断）</t>
        </is>
      </c>
      <c r="K2508" s="70" t="n"/>
      <c r="L2508" s="70" t="n"/>
      <c r="M2508" s="71" t="inlineStr">
        <is>
          <t>项</t>
        </is>
      </c>
      <c r="N2508" s="72" t="n">
        <v>784.55</v>
      </c>
      <c r="O2508" s="72">
        <f>ROUND(N2508*(1+$F$10),2)</f>
        <v/>
      </c>
      <c r="P2508" s="73">
        <f>ROUND(K2508*N2508,2)</f>
        <v/>
      </c>
      <c r="Q2508" s="74">
        <f>ROUND(L2508*N2508,2)</f>
        <v/>
      </c>
      <c r="R2508" s="75" t="n"/>
      <c r="S2508" s="76" t="n"/>
      <c r="T2508" s="77">
        <f>K2508-L2508</f>
        <v/>
      </c>
      <c r="U2508" s="77">
        <f>P2508-Q2508</f>
        <v/>
      </c>
      <c r="V2508" s="77">
        <f>ABS(U2508)</f>
        <v/>
      </c>
      <c r="W2508" s="78">
        <f>T2508/L2508</f>
        <v/>
      </c>
      <c r="X2508" s="79">
        <f>ABS(W2508)</f>
        <v/>
      </c>
    </row>
    <row r="2509" ht="11.4" customHeight="1">
      <c r="A2509" s="67" t="inlineStr">
        <is>
          <t>大甜167</t>
        </is>
      </c>
      <c r="B2509" s="67" t="inlineStr">
        <is>
          <t>1173</t>
        </is>
      </c>
      <c r="C2509" s="67" t="inlineStr">
        <is>
          <t>4991</t>
        </is>
      </c>
      <c r="D2509" s="68" t="inlineStr">
        <is>
          <t>03</t>
        </is>
      </c>
      <c r="E2509" s="68" t="inlineStr">
        <is>
          <t>10 装饰品及其他</t>
        </is>
      </c>
      <c r="F2509" s="68" t="inlineStr">
        <is>
          <t>10.09 装饰品安装</t>
        </is>
      </c>
      <c r="G2509" s="68" t="inlineStr">
        <is>
          <t>装饰品安装</t>
        </is>
      </c>
      <c r="H2509" s="68" t="inlineStr">
        <is>
          <t>装饰品安装</t>
        </is>
      </c>
      <c r="I2509" s="69" t="inlineStr">
        <is>
          <t>1000022102</t>
        </is>
      </c>
      <c r="J2509" s="69" t="inlineStr">
        <is>
          <t>成品镜子安装</t>
        </is>
      </c>
      <c r="K2509" s="70" t="n"/>
      <c r="L2509" s="70" t="n"/>
      <c r="M2509" s="71" t="inlineStr">
        <is>
          <t>项</t>
        </is>
      </c>
      <c r="N2509" s="72" t="n">
        <v>80.33</v>
      </c>
      <c r="O2509" s="72">
        <f>ROUND(N2509*(1+$F$10),2)</f>
        <v/>
      </c>
      <c r="P2509" s="73">
        <f>ROUND(K2509*N2509,2)</f>
        <v/>
      </c>
      <c r="Q2509" s="74">
        <f>ROUND(L2509*N2509,2)</f>
        <v/>
      </c>
      <c r="R2509" s="75" t="n"/>
      <c r="S2509" s="76" t="n"/>
      <c r="T2509" s="77">
        <f>K2509-L2509</f>
        <v/>
      </c>
      <c r="U2509" s="77">
        <f>P2509-Q2509</f>
        <v/>
      </c>
      <c r="V2509" s="77">
        <f>ABS(U2509)</f>
        <v/>
      </c>
      <c r="W2509" s="78">
        <f>T2509/L2509</f>
        <v/>
      </c>
      <c r="X2509" s="79">
        <f>ABS(W2509)</f>
        <v/>
      </c>
    </row>
    <row r="2510" ht="11.4" customHeight="1">
      <c r="A2510" s="67" t="inlineStr">
        <is>
          <t>大甜167</t>
        </is>
      </c>
      <c r="B2510" s="67" t="inlineStr">
        <is>
          <t>1173</t>
        </is>
      </c>
      <c r="C2510" s="67" t="inlineStr">
        <is>
          <t>4991</t>
        </is>
      </c>
      <c r="D2510" s="68" t="inlineStr">
        <is>
          <t>03</t>
        </is>
      </c>
      <c r="E2510" s="68" t="inlineStr">
        <is>
          <t>10 装饰品及其他</t>
        </is>
      </c>
      <c r="F2510" s="68" t="inlineStr">
        <is>
          <t>10.09 装饰品安装</t>
        </is>
      </c>
      <c r="G2510" s="68" t="inlineStr">
        <is>
          <t>装饰品安装</t>
        </is>
      </c>
      <c r="H2510" s="68" t="inlineStr">
        <is>
          <t>装饰品安装</t>
        </is>
      </c>
      <c r="I2510" s="69" t="inlineStr">
        <is>
          <t>1000022094</t>
        </is>
      </c>
      <c r="J2510" s="69" t="inlineStr">
        <is>
          <t>大生定制图案图形安装</t>
        </is>
      </c>
      <c r="K2510" s="70" t="n"/>
      <c r="L2510" s="70" t="n"/>
      <c r="M2510" s="71" t="inlineStr">
        <is>
          <t>个</t>
        </is>
      </c>
      <c r="N2510" s="72" t="n">
        <v>23.74</v>
      </c>
      <c r="O2510" s="72">
        <f>ROUND(N2510*(1+$F$10),2)</f>
        <v/>
      </c>
      <c r="P2510" s="73">
        <f>ROUND(K2510*N2510,2)</f>
        <v/>
      </c>
      <c r="Q2510" s="74">
        <f>ROUND(L2510*N2510,2)</f>
        <v/>
      </c>
      <c r="R2510" s="75" t="n"/>
      <c r="S2510" s="76" t="n"/>
      <c r="T2510" s="77">
        <f>K2510-L2510</f>
        <v/>
      </c>
      <c r="U2510" s="77">
        <f>P2510-Q2510</f>
        <v/>
      </c>
      <c r="V2510" s="77">
        <f>ABS(U2510)</f>
        <v/>
      </c>
      <c r="W2510" s="78">
        <f>T2510/L2510</f>
        <v/>
      </c>
      <c r="X2510" s="79">
        <f>ABS(W2510)</f>
        <v/>
      </c>
    </row>
    <row r="2511" ht="11.4" customHeight="1">
      <c r="A2511" s="67" t="inlineStr">
        <is>
          <t>大甜167</t>
        </is>
      </c>
      <c r="B2511" s="67" t="inlineStr">
        <is>
          <t>1173</t>
        </is>
      </c>
      <c r="C2511" s="67" t="inlineStr">
        <is>
          <t>4991</t>
        </is>
      </c>
      <c r="D2511" s="68" t="inlineStr">
        <is>
          <t>03</t>
        </is>
      </c>
      <c r="E2511" s="68" t="inlineStr">
        <is>
          <t>10 装饰品及其他</t>
        </is>
      </c>
      <c r="F2511" s="68" t="inlineStr">
        <is>
          <t>10.09 装饰品安装</t>
        </is>
      </c>
      <c r="G2511" s="68" t="inlineStr">
        <is>
          <t>装饰品安装</t>
        </is>
      </c>
      <c r="H2511" s="68" t="inlineStr">
        <is>
          <t>装饰品安装</t>
        </is>
      </c>
      <c r="I2511" s="69" t="inlineStr">
        <is>
          <t>1000051726</t>
        </is>
      </c>
      <c r="J2511" s="69" t="inlineStr">
        <is>
          <t>吊装挂画安装（含支撑钢架）</t>
        </is>
      </c>
      <c r="K2511" s="70" t="n"/>
      <c r="L2511" s="70" t="n"/>
      <c r="M2511" s="71" t="inlineStr">
        <is>
          <t>组</t>
        </is>
      </c>
      <c r="N2511" s="72" t="n">
        <v>917</v>
      </c>
      <c r="O2511" s="72">
        <f>ROUND(N2511*(1+$F$10),2)</f>
        <v/>
      </c>
      <c r="P2511" s="73">
        <f>ROUND(K2511*N2511,2)</f>
        <v/>
      </c>
      <c r="Q2511" s="74">
        <f>ROUND(L2511*N2511,2)</f>
        <v/>
      </c>
      <c r="R2511" s="75" t="n"/>
      <c r="S2511" s="76" t="n"/>
      <c r="T2511" s="77">
        <f>K2511-L2511</f>
        <v/>
      </c>
      <c r="U2511" s="77">
        <f>P2511-Q2511</f>
        <v/>
      </c>
      <c r="V2511" s="77">
        <f>ABS(U2511)</f>
        <v/>
      </c>
      <c r="W2511" s="78">
        <f>T2511/L2511</f>
        <v/>
      </c>
      <c r="X2511" s="79">
        <f>ABS(W2511)</f>
        <v/>
      </c>
    </row>
    <row r="2512" ht="11.4" customHeight="1">
      <c r="A2512" s="67" t="inlineStr">
        <is>
          <t>大甜167</t>
        </is>
      </c>
      <c r="B2512" s="67" t="inlineStr">
        <is>
          <t>1173</t>
        </is>
      </c>
      <c r="C2512" s="67" t="inlineStr">
        <is>
          <t>4991</t>
        </is>
      </c>
      <c r="D2512" s="68" t="inlineStr">
        <is>
          <t>03</t>
        </is>
      </c>
      <c r="E2512" s="68" t="inlineStr">
        <is>
          <t>10 装饰品及其他</t>
        </is>
      </c>
      <c r="F2512" s="68" t="inlineStr">
        <is>
          <t>10.09 装饰品安装</t>
        </is>
      </c>
      <c r="G2512" s="68" t="inlineStr">
        <is>
          <t>装饰品安装</t>
        </is>
      </c>
      <c r="H2512" s="68" t="inlineStr">
        <is>
          <t>装饰品安装</t>
        </is>
      </c>
      <c r="I2512" s="69" t="inlineStr">
        <is>
          <t>1000085725</t>
        </is>
      </c>
      <c r="J2512" s="69" t="inlineStr">
        <is>
          <t>EI2.0 挂画安装</t>
        </is>
      </c>
      <c r="K2512" s="70" t="n"/>
      <c r="L2512" s="70" t="n"/>
      <c r="M2512" s="71" t="inlineStr">
        <is>
          <t>项</t>
        </is>
      </c>
      <c r="N2512" s="72" t="n">
        <v>255</v>
      </c>
      <c r="O2512" s="72">
        <f>ROUND(N2512*(1+$F$10),2)</f>
        <v/>
      </c>
      <c r="P2512" s="73">
        <f>ROUND(K2512*N2512,2)</f>
        <v/>
      </c>
      <c r="Q2512" s="74">
        <f>ROUND(L2512*N2512,2)</f>
        <v/>
      </c>
      <c r="R2512" s="75" t="n"/>
      <c r="S2512" s="76" t="n"/>
      <c r="T2512" s="77">
        <f>K2512-L2512</f>
        <v/>
      </c>
      <c r="U2512" s="77">
        <f>P2512-Q2512</f>
        <v/>
      </c>
      <c r="V2512" s="77">
        <f>ABS(U2512)</f>
        <v/>
      </c>
      <c r="W2512" s="78">
        <f>T2512/L2512</f>
        <v/>
      </c>
      <c r="X2512" s="79">
        <f>ABS(W2512)</f>
        <v/>
      </c>
    </row>
    <row r="2513" ht="11.4" customHeight="1">
      <c r="A2513" s="67" t="inlineStr">
        <is>
          <t>大甜167</t>
        </is>
      </c>
      <c r="B2513" s="67" t="inlineStr">
        <is>
          <t>1173</t>
        </is>
      </c>
      <c r="C2513" s="67" t="inlineStr">
        <is>
          <t>4991</t>
        </is>
      </c>
      <c r="D2513" s="68" t="inlineStr">
        <is>
          <t>03</t>
        </is>
      </c>
      <c r="E2513" s="68" t="inlineStr">
        <is>
          <t>10 装饰品及其他</t>
        </is>
      </c>
      <c r="F2513" s="68" t="inlineStr">
        <is>
          <t>10.09 装饰品安装</t>
        </is>
      </c>
      <c r="G2513" s="68" t="inlineStr">
        <is>
          <t>装饰品安装</t>
        </is>
      </c>
      <c r="H2513" s="68" t="inlineStr">
        <is>
          <t>装饰品安装</t>
        </is>
      </c>
      <c r="I2513" s="69" t="inlineStr">
        <is>
          <t>1000085726</t>
        </is>
      </c>
      <c r="J2513" s="69" t="inlineStr">
        <is>
          <t>CUBE 挂画安装</t>
        </is>
      </c>
      <c r="K2513" s="70" t="n"/>
      <c r="L2513" s="70" t="n"/>
      <c r="M2513" s="71" t="inlineStr">
        <is>
          <t>项</t>
        </is>
      </c>
      <c r="N2513" s="72" t="n">
        <v>255</v>
      </c>
      <c r="O2513" s="72">
        <f>ROUND(N2513*(1+$F$10),2)</f>
        <v/>
      </c>
      <c r="P2513" s="73">
        <f>ROUND(K2513*N2513,2)</f>
        <v/>
      </c>
      <c r="Q2513" s="74">
        <f>ROUND(L2513*N2513,2)</f>
        <v/>
      </c>
      <c r="R2513" s="75" t="n"/>
      <c r="S2513" s="76" t="n"/>
      <c r="T2513" s="77">
        <f>K2513-L2513</f>
        <v/>
      </c>
      <c r="U2513" s="77">
        <f>P2513-Q2513</f>
        <v/>
      </c>
      <c r="V2513" s="77">
        <f>ABS(U2513)</f>
        <v/>
      </c>
      <c r="W2513" s="78">
        <f>T2513/L2513</f>
        <v/>
      </c>
      <c r="X2513" s="79">
        <f>ABS(W2513)</f>
        <v/>
      </c>
    </row>
    <row r="2514" ht="11.4" customHeight="1">
      <c r="A2514" s="67" t="inlineStr">
        <is>
          <t>大甜167</t>
        </is>
      </c>
      <c r="B2514" s="67" t="inlineStr">
        <is>
          <t>1173</t>
        </is>
      </c>
      <c r="C2514" s="67" t="inlineStr">
        <is>
          <t>4991</t>
        </is>
      </c>
      <c r="D2514" s="68" t="inlineStr">
        <is>
          <t>03</t>
        </is>
      </c>
      <c r="E2514" s="68" t="inlineStr">
        <is>
          <t>10 装饰品及其他</t>
        </is>
      </c>
      <c r="F2514" s="68" t="inlineStr">
        <is>
          <t>10.09 装饰品安装</t>
        </is>
      </c>
      <c r="G2514" s="68" t="inlineStr">
        <is>
          <t>装饰品安装</t>
        </is>
      </c>
      <c r="H2514" s="68" t="inlineStr">
        <is>
          <t>装饰品安装</t>
        </is>
      </c>
      <c r="I2514" s="69" t="inlineStr">
        <is>
          <t>1000085727</t>
        </is>
      </c>
      <c r="J2514" s="69" t="inlineStr">
        <is>
          <t>室内可乐、汉堡、冰淇淋立体图案安装</t>
        </is>
      </c>
      <c r="K2514" s="70" t="n"/>
      <c r="L2514" s="70" t="n"/>
      <c r="M2514" s="71" t="inlineStr">
        <is>
          <t>m2</t>
        </is>
      </c>
      <c r="N2514" s="72" t="n">
        <v>255</v>
      </c>
      <c r="O2514" s="72">
        <f>ROUND(N2514*(1+$F$10),2)</f>
        <v/>
      </c>
      <c r="P2514" s="73">
        <f>ROUND(K2514*N2514,2)</f>
        <v/>
      </c>
      <c r="Q2514" s="74">
        <f>ROUND(L2514*N2514,2)</f>
        <v/>
      </c>
      <c r="R2514" s="75" t="n"/>
      <c r="S2514" s="76" t="n"/>
      <c r="T2514" s="77">
        <f>K2514-L2514</f>
        <v/>
      </c>
      <c r="U2514" s="77">
        <f>P2514-Q2514</f>
        <v/>
      </c>
      <c r="V2514" s="77">
        <f>ABS(U2514)</f>
        <v/>
      </c>
      <c r="W2514" s="78">
        <f>T2514/L2514</f>
        <v/>
      </c>
      <c r="X2514" s="79">
        <f>ABS(W2514)</f>
        <v/>
      </c>
    </row>
    <row r="2515" ht="11.4" customHeight="1">
      <c r="A2515" s="67" t="inlineStr">
        <is>
          <t>大甜167</t>
        </is>
      </c>
      <c r="B2515" s="67" t="inlineStr">
        <is>
          <t>1173</t>
        </is>
      </c>
      <c r="C2515" s="67" t="inlineStr">
        <is>
          <t>4991</t>
        </is>
      </c>
      <c r="D2515" s="68" t="inlineStr">
        <is>
          <t>03</t>
        </is>
      </c>
      <c r="E2515" s="68" t="inlineStr">
        <is>
          <t>10 装饰品及其他</t>
        </is>
      </c>
      <c r="F2515" s="68" t="inlineStr">
        <is>
          <t>10.09 装饰品安装</t>
        </is>
      </c>
      <c r="G2515" s="68" t="inlineStr">
        <is>
          <t>装饰品安装</t>
        </is>
      </c>
      <c r="H2515" s="68" t="inlineStr">
        <is>
          <t>装饰品安装</t>
        </is>
      </c>
      <c r="I2515" s="69" t="inlineStr">
        <is>
          <t>1000085728</t>
        </is>
      </c>
      <c r="J2515" s="69" t="inlineStr">
        <is>
          <t>玻璃屏风安装</t>
        </is>
      </c>
      <c r="K2515" s="70" t="n"/>
      <c r="L2515" s="70" t="n"/>
      <c r="M2515" s="71" t="inlineStr">
        <is>
          <t>个</t>
        </is>
      </c>
      <c r="N2515" s="72" t="n">
        <v>410.55</v>
      </c>
      <c r="O2515" s="72">
        <f>ROUND(N2515*(1+$F$10),2)</f>
        <v/>
      </c>
      <c r="P2515" s="73">
        <f>ROUND(K2515*N2515,2)</f>
        <v/>
      </c>
      <c r="Q2515" s="74">
        <f>ROUND(L2515*N2515,2)</f>
        <v/>
      </c>
      <c r="R2515" s="75" t="n"/>
      <c r="S2515" s="76" t="n"/>
      <c r="T2515" s="77">
        <f>K2515-L2515</f>
        <v/>
      </c>
      <c r="U2515" s="77">
        <f>P2515-Q2515</f>
        <v/>
      </c>
      <c r="V2515" s="77">
        <f>ABS(U2515)</f>
        <v/>
      </c>
      <c r="W2515" s="78">
        <f>T2515/L2515</f>
        <v/>
      </c>
      <c r="X2515" s="79">
        <f>ABS(W2515)</f>
        <v/>
      </c>
    </row>
    <row r="2516" ht="11.4" customHeight="1">
      <c r="A2516" s="67" t="inlineStr">
        <is>
          <t>大甜167</t>
        </is>
      </c>
      <c r="B2516" s="67" t="inlineStr">
        <is>
          <t>1173</t>
        </is>
      </c>
      <c r="C2516" s="67" t="inlineStr">
        <is>
          <t>4991</t>
        </is>
      </c>
      <c r="D2516" s="68" t="inlineStr">
        <is>
          <t>03</t>
        </is>
      </c>
      <c r="E2516" s="68" t="inlineStr">
        <is>
          <t>10 装饰品及其他</t>
        </is>
      </c>
      <c r="F2516" s="68" t="inlineStr">
        <is>
          <t>10.09 装饰品安装</t>
        </is>
      </c>
      <c r="G2516" s="68" t="inlineStr">
        <is>
          <t>装饰品安装</t>
        </is>
      </c>
      <c r="H2516" s="68" t="inlineStr">
        <is>
          <t>装饰品安装</t>
        </is>
      </c>
      <c r="I2516" s="69" t="inlineStr">
        <is>
          <t>1000085737</t>
        </is>
      </c>
      <c r="J2516" s="69" t="inlineStr">
        <is>
          <t>1200*1200非标绿色折弯花架（仅安装）</t>
        </is>
      </c>
      <c r="K2516" s="70" t="n"/>
      <c r="L2516" s="70" t="n"/>
      <c r="M2516" s="71" t="inlineStr">
        <is>
          <t>只</t>
        </is>
      </c>
      <c r="N2516" s="72" t="n">
        <v>1457.26</v>
      </c>
      <c r="O2516" s="72">
        <f>ROUND(N2516*(1+$F$10),2)</f>
        <v/>
      </c>
      <c r="P2516" s="73">
        <f>ROUND(K2516*N2516,2)</f>
        <v/>
      </c>
      <c r="Q2516" s="74">
        <f>ROUND(L2516*N2516,2)</f>
        <v/>
      </c>
      <c r="R2516" s="75" t="n"/>
      <c r="S2516" s="76" t="n"/>
      <c r="T2516" s="77">
        <f>K2516-L2516</f>
        <v/>
      </c>
      <c r="U2516" s="77">
        <f>P2516-Q2516</f>
        <v/>
      </c>
      <c r="V2516" s="77">
        <f>ABS(U2516)</f>
        <v/>
      </c>
      <c r="W2516" s="78">
        <f>T2516/L2516</f>
        <v/>
      </c>
      <c r="X2516" s="79">
        <f>ABS(W2516)</f>
        <v/>
      </c>
    </row>
    <row r="2517" ht="11.4" customHeight="1">
      <c r="A2517" s="67" t="inlineStr">
        <is>
          <t>67</t>
        </is>
      </c>
      <c r="B2517" s="67" t="inlineStr">
        <is>
          <t>1065</t>
        </is>
      </c>
      <c r="C2517" s="67" t="inlineStr">
        <is>
          <t>1645</t>
        </is>
      </c>
      <c r="D2517" s="68" t="inlineStr">
        <is>
          <t>01</t>
        </is>
      </c>
      <c r="E2517" s="68" t="inlineStr">
        <is>
          <t>6 物业施工费</t>
        </is>
      </c>
      <c r="F2517" s="68" t="inlineStr">
        <is>
          <t>6.1 总承包工程</t>
        </is>
      </c>
      <c r="G2517" s="68" t="inlineStr">
        <is>
          <t>6.1.1 内部装修工程</t>
        </is>
      </c>
      <c r="H2517" s="68" t="inlineStr">
        <is>
          <t>卫生间洁具</t>
        </is>
      </c>
      <c r="I2517" s="69" t="inlineStr">
        <is>
          <t>1000021509</t>
        </is>
      </c>
      <c r="J2517" s="69" t="inlineStr">
        <is>
          <t>蹲便器连冲洗阀-LEED认证</t>
        </is>
      </c>
      <c r="K2517" s="70" t="n"/>
      <c r="L2517" s="70" t="n"/>
      <c r="M2517" s="71" t="inlineStr">
        <is>
          <t>套</t>
        </is>
      </c>
      <c r="N2517" s="72" t="n">
        <v>2175.14</v>
      </c>
      <c r="O2517" s="72">
        <f>ROUND(N2517*(1+$F$10),2)</f>
        <v/>
      </c>
      <c r="P2517" s="73">
        <f>ROUND(K2517*N2517,2)</f>
        <v/>
      </c>
      <c r="Q2517" s="74">
        <f>ROUND(L2517*N2517,2)</f>
        <v/>
      </c>
      <c r="R2517" s="75" t="n"/>
      <c r="S2517" s="76" t="n"/>
      <c r="T2517" s="77">
        <f>K2517-L2517</f>
        <v/>
      </c>
      <c r="U2517" s="77">
        <f>P2517-Q2517</f>
        <v/>
      </c>
      <c r="V2517" s="77">
        <f>ABS(U2517)</f>
        <v/>
      </c>
      <c r="W2517" s="78">
        <f>T2517/L2517</f>
        <v/>
      </c>
      <c r="X2517" s="79">
        <f>ABS(W2517)</f>
        <v/>
      </c>
      <c r="AG2517" s="80" t="inlineStr">
        <is>
          <t>个数</t>
        </is>
      </c>
    </row>
    <row r="2518" ht="11.4" customHeight="1">
      <c r="A2518" s="67" t="inlineStr">
        <is>
          <t>144</t>
        </is>
      </c>
      <c r="B2518" s="67" t="inlineStr">
        <is>
          <t>1150</t>
        </is>
      </c>
      <c r="C2518" s="67" t="inlineStr">
        <is>
          <t>8491</t>
        </is>
      </c>
      <c r="D2518" s="68" t="inlineStr">
        <is>
          <t>01</t>
        </is>
      </c>
      <c r="E2518" s="68" t="inlineStr">
        <is>
          <t>8 设备</t>
        </is>
      </c>
      <c r="F2518" s="68" t="inlineStr">
        <is>
          <t>8.5a 承包商供应施工材料和设备</t>
        </is>
      </c>
      <c r="G2518" s="68" t="inlineStr">
        <is>
          <t>8.5.2 空调设备和控制系统</t>
        </is>
      </c>
      <c r="H2518" s="68" t="inlineStr">
        <is>
          <t>8.5.2 空调设备和控制系统</t>
        </is>
      </c>
      <c r="I2518" s="69" t="inlineStr">
        <is>
          <t>1000021589</t>
        </is>
      </c>
      <c r="J2518" s="69" t="inlineStr">
        <is>
          <t>供应（不含安装）F6+G4空气过滤系统</t>
        </is>
      </c>
      <c r="K2518" s="70" t="n">
        <v>2</v>
      </c>
      <c r="L2518" s="70" t="n">
        <v>2</v>
      </c>
      <c r="M2518" s="71" t="inlineStr">
        <is>
          <t>套</t>
        </is>
      </c>
      <c r="N2518" s="72" t="n">
        <v>2136.75</v>
      </c>
      <c r="O2518" s="72">
        <f>ROUND(N2518*(1+$F$10),2)</f>
        <v/>
      </c>
      <c r="P2518" s="73">
        <f>ROUND(K2518*N2518,2)</f>
        <v/>
      </c>
      <c r="Q2518" s="74">
        <f>ROUND(L2518*N2518,2)</f>
        <v/>
      </c>
      <c r="R2518" s="75" t="n"/>
      <c r="S2518" s="76" t="n"/>
      <c r="T2518" s="77">
        <f>K2518-L2518</f>
        <v/>
      </c>
      <c r="U2518" s="77">
        <f>P2518-Q2518</f>
        <v/>
      </c>
      <c r="V2518" s="77">
        <f>ABS(U2518)</f>
        <v/>
      </c>
      <c r="W2518" s="78">
        <f>T2518/L2518</f>
        <v/>
      </c>
      <c r="X2518" s="79">
        <f>ABS(W2518)</f>
        <v/>
      </c>
      <c r="AG2518" s="80" t="inlineStr">
        <is>
          <t>个数</t>
        </is>
      </c>
    </row>
    <row r="2519" ht="11.4" customHeight="1">
      <c r="A2519" s="67" t="inlineStr">
        <is>
          <t>134</t>
        </is>
      </c>
      <c r="B2519" s="67" t="inlineStr">
        <is>
          <t>1132</t>
        </is>
      </c>
      <c r="C2519" s="67" t="inlineStr">
        <is>
          <t>8426</t>
        </is>
      </c>
      <c r="D2519" s="68" t="inlineStr">
        <is>
          <t>01</t>
        </is>
      </c>
      <c r="E2519" s="68" t="inlineStr">
        <is>
          <t>8 设备</t>
        </is>
      </c>
      <c r="F2519" s="68" t="inlineStr">
        <is>
          <t>8.5a 承包商供应施工材料和设备</t>
        </is>
      </c>
      <c r="G2519" s="68" t="inlineStr">
        <is>
          <t>8.5.5 配电柜</t>
        </is>
      </c>
      <c r="H2519" s="68" t="inlineStr">
        <is>
          <t>配电系统</t>
        </is>
      </c>
      <c r="I2519" s="69" t="inlineStr">
        <is>
          <t>1000021594</t>
        </is>
      </c>
      <c r="J2519" s="69" t="inlineStr">
        <is>
          <t>Instore-供应单进线博耳（或施朗）总配电柜(仅主材)</t>
        </is>
      </c>
      <c r="K2519" s="70" t="n"/>
      <c r="L2519" s="70" t="n"/>
      <c r="M2519" s="71" t="inlineStr">
        <is>
          <t>台</t>
        </is>
      </c>
      <c r="N2519" s="72" t="n">
        <v>53846.15</v>
      </c>
      <c r="O2519" s="72">
        <f>ROUND(N2519*(1+$F$10),2)</f>
        <v/>
      </c>
      <c r="P2519" s="73">
        <f>ROUND(K2519*N2519,2)</f>
        <v/>
      </c>
      <c r="Q2519" s="74">
        <f>ROUND(L2519*N2519,2)</f>
        <v/>
      </c>
      <c r="R2519" s="75" t="n"/>
      <c r="S2519" s="76" t="n"/>
      <c r="T2519" s="77">
        <f>K2519-L2519</f>
        <v/>
      </c>
      <c r="U2519" s="77">
        <f>P2519-Q2519</f>
        <v/>
      </c>
      <c r="V2519" s="77">
        <f>ABS(U2519)</f>
        <v/>
      </c>
      <c r="W2519" s="78">
        <f>T2519/L2519</f>
        <v/>
      </c>
      <c r="X2519" s="79">
        <f>ABS(W2519)</f>
        <v/>
      </c>
      <c r="AH2519" s="80" t="inlineStr">
        <is>
          <t>委托书</t>
        </is>
      </c>
    </row>
    <row r="2520" ht="11.4" customHeight="1">
      <c r="A2520" s="67" t="inlineStr">
        <is>
          <t>134</t>
        </is>
      </c>
      <c r="B2520" s="67" t="inlineStr">
        <is>
          <t>1132</t>
        </is>
      </c>
      <c r="C2520" s="67" t="inlineStr">
        <is>
          <t>8426</t>
        </is>
      </c>
      <c r="D2520" s="68" t="inlineStr">
        <is>
          <t>01</t>
        </is>
      </c>
      <c r="E2520" s="68" t="inlineStr">
        <is>
          <t>8 设备</t>
        </is>
      </c>
      <c r="F2520" s="68" t="inlineStr">
        <is>
          <t>8.5a 承包商供应施工材料和设备</t>
        </is>
      </c>
      <c r="G2520" s="68" t="inlineStr">
        <is>
          <t>8.5.5 配电柜</t>
        </is>
      </c>
      <c r="H2520" s="68" t="inlineStr">
        <is>
          <t>配电系统</t>
        </is>
      </c>
      <c r="I2520" s="69" t="inlineStr">
        <is>
          <t>1000021595</t>
        </is>
      </c>
      <c r="J2520" s="69" t="inlineStr">
        <is>
          <t>Instore-供应双进线博耳（或施朗）总配电柜(仅主材)</t>
        </is>
      </c>
      <c r="K2520" s="70" t="n"/>
      <c r="L2520" s="70" t="n"/>
      <c r="M2520" s="71" t="inlineStr">
        <is>
          <t>台</t>
        </is>
      </c>
      <c r="N2520" s="72" t="n">
        <v>59230.77</v>
      </c>
      <c r="O2520" s="72">
        <f>ROUND(N2520*(1+$F$10),2)</f>
        <v/>
      </c>
      <c r="P2520" s="73">
        <f>ROUND(K2520*N2520,2)</f>
        <v/>
      </c>
      <c r="Q2520" s="74">
        <f>ROUND(L2520*N2520,2)</f>
        <v/>
      </c>
      <c r="R2520" s="75" t="n"/>
      <c r="S2520" s="76" t="n"/>
      <c r="T2520" s="77">
        <f>K2520-L2520</f>
        <v/>
      </c>
      <c r="U2520" s="77">
        <f>P2520-Q2520</f>
        <v/>
      </c>
      <c r="V2520" s="77">
        <f>ABS(U2520)</f>
        <v/>
      </c>
      <c r="W2520" s="78">
        <f>T2520/L2520</f>
        <v/>
      </c>
      <c r="X2520" s="79">
        <f>ABS(W2520)</f>
        <v/>
      </c>
      <c r="AH2520" s="80" t="inlineStr">
        <is>
          <t>委托书</t>
        </is>
      </c>
    </row>
    <row r="2521" ht="11.4" customHeight="1">
      <c r="A2521" s="67" t="inlineStr">
        <is>
          <t>134</t>
        </is>
      </c>
      <c r="B2521" s="67" t="inlineStr">
        <is>
          <t>1132</t>
        </is>
      </c>
      <c r="C2521" s="67" t="inlineStr">
        <is>
          <t>8426</t>
        </is>
      </c>
      <c r="D2521" s="68" t="inlineStr">
        <is>
          <t>01</t>
        </is>
      </c>
      <c r="E2521" s="68" t="inlineStr">
        <is>
          <t>8 设备</t>
        </is>
      </c>
      <c r="F2521" s="68" t="inlineStr">
        <is>
          <t>8.5a 承包商供应施工材料和设备</t>
        </is>
      </c>
      <c r="G2521" s="68" t="inlineStr">
        <is>
          <t>8.5.5 配电柜</t>
        </is>
      </c>
      <c r="H2521" s="68" t="inlineStr">
        <is>
          <t>配电系统</t>
        </is>
      </c>
      <c r="I2521" s="69" t="inlineStr">
        <is>
          <t>1000021596</t>
        </is>
      </c>
      <c r="J2521" s="69" t="inlineStr">
        <is>
          <t>DT- 供应博耳（或施朗）总配电柜(仅主材)</t>
        </is>
      </c>
      <c r="K2521" s="70" t="n"/>
      <c r="L2521" s="70" t="n"/>
      <c r="M2521" s="71" t="inlineStr">
        <is>
          <t>台</t>
        </is>
      </c>
      <c r="N2521" s="72" t="n">
        <v>60128.21</v>
      </c>
      <c r="O2521" s="72">
        <f>ROUND(N2521*(1+$F$10),2)</f>
        <v/>
      </c>
      <c r="P2521" s="73">
        <f>ROUND(K2521*N2521,2)</f>
        <v/>
      </c>
      <c r="Q2521" s="74">
        <f>ROUND(L2521*N2521,2)</f>
        <v/>
      </c>
      <c r="R2521" s="75" t="n"/>
      <c r="S2521" s="76" t="n"/>
      <c r="T2521" s="77">
        <f>K2521-L2521</f>
        <v/>
      </c>
      <c r="U2521" s="77">
        <f>P2521-Q2521</f>
        <v/>
      </c>
      <c r="V2521" s="77">
        <f>ABS(U2521)</f>
        <v/>
      </c>
      <c r="W2521" s="78">
        <f>T2521/L2521</f>
        <v/>
      </c>
      <c r="X2521" s="79">
        <f>ABS(W2521)</f>
        <v/>
      </c>
      <c r="AH2521" s="80" t="inlineStr">
        <is>
          <t>委托书</t>
        </is>
      </c>
    </row>
    <row r="2522" ht="11.4" customHeight="1">
      <c r="A2522" s="89" t="inlineStr">
        <is>
          <t>63</t>
        </is>
      </c>
      <c r="B2522" s="89" t="inlineStr">
        <is>
          <t>1061</t>
        </is>
      </c>
      <c r="C2522" s="89" t="inlineStr">
        <is>
          <t>1611</t>
        </is>
      </c>
      <c r="D2522" s="90" t="inlineStr">
        <is>
          <t>01</t>
        </is>
      </c>
      <c r="E2522" s="90" t="inlineStr">
        <is>
          <t>6 物业施工费</t>
        </is>
      </c>
      <c r="F2522" s="90" t="inlineStr">
        <is>
          <t>6.1 总承包工程</t>
        </is>
      </c>
      <c r="G2522" s="90" t="inlineStr">
        <is>
          <t>6.1.1 内部装修工程</t>
        </is>
      </c>
      <c r="H2522" s="90" t="inlineStr">
        <is>
          <t>员休室墙面</t>
        </is>
      </c>
      <c r="I2522" s="91" t="inlineStr">
        <is>
          <t>1000021686</t>
        </is>
      </c>
      <c r="J2522" s="92" t="inlineStr">
        <is>
          <t>墙面小黄砖50*50mm（冠军）</t>
        </is>
      </c>
      <c r="K2522" s="70" t="n">
        <v>6.92</v>
      </c>
      <c r="L2522" s="70" t="n">
        <v>6.97</v>
      </c>
      <c r="M2522" s="71" t="inlineStr">
        <is>
          <t>m2</t>
        </is>
      </c>
      <c r="N2522" s="72" t="n">
        <v>236.6</v>
      </c>
      <c r="O2522" s="72">
        <f>ROUND(N2522*(1+$F$10),2)</f>
        <v/>
      </c>
      <c r="P2522" s="73">
        <f>ROUND(K2522*N2522,2)</f>
        <v/>
      </c>
      <c r="Q2522" s="74">
        <f>ROUND(L2522*N2522,2)</f>
        <v/>
      </c>
      <c r="R2522" s="75" t="n"/>
      <c r="S2522" s="76" t="n"/>
      <c r="T2522" s="77">
        <f>K2522-L2522</f>
        <v/>
      </c>
      <c r="U2522" s="77">
        <f>P2522-Q2522</f>
        <v/>
      </c>
      <c r="V2522" s="77">
        <f>ABS(U2522)</f>
        <v/>
      </c>
      <c r="W2522" s="78">
        <f>T2522/L2522</f>
        <v/>
      </c>
      <c r="X2522" s="79">
        <f>ABS(W2522)</f>
        <v/>
      </c>
      <c r="AG2522" s="6" t="inlineStr">
        <is>
          <t>基本墙面积</t>
        </is>
      </c>
    </row>
    <row r="2523" ht="11.4" customHeight="1">
      <c r="A2523" s="89" t="inlineStr">
        <is>
          <t>55</t>
        </is>
      </c>
      <c r="B2523" s="89" t="inlineStr">
        <is>
          <t>1053</t>
        </is>
      </c>
      <c r="C2523" s="89" t="inlineStr">
        <is>
          <t>1611</t>
        </is>
      </c>
      <c r="D2523" s="90" t="inlineStr">
        <is>
          <t>01</t>
        </is>
      </c>
      <c r="E2523" s="90" t="inlineStr">
        <is>
          <t>6 物业施工费</t>
        </is>
      </c>
      <c r="F2523" s="90" t="inlineStr">
        <is>
          <t>6.1 总承包工程</t>
        </is>
      </c>
      <c r="G2523" s="90" t="inlineStr">
        <is>
          <t>6.1.1 内部装修工程</t>
        </is>
      </c>
      <c r="H2523" s="90" t="inlineStr">
        <is>
          <t>员休室墙面</t>
        </is>
      </c>
      <c r="I2523" s="91" t="inlineStr">
        <is>
          <t>1000021703</t>
        </is>
      </c>
      <c r="J2523" s="92" t="inlineStr">
        <is>
          <t>200x200x8mm白瓷砖（冠军）</t>
        </is>
      </c>
      <c r="K2523" s="83" t="n">
        <v>11.2</v>
      </c>
      <c r="L2523" s="70" t="n">
        <v>10.58</v>
      </c>
      <c r="M2523" s="71" t="inlineStr">
        <is>
          <t>m2</t>
        </is>
      </c>
      <c r="N2523" s="72" t="n">
        <v>118.11</v>
      </c>
      <c r="O2523" s="72">
        <f>ROUND(N2523*(1+$F$10),2)</f>
        <v/>
      </c>
      <c r="P2523" s="73">
        <f>ROUND(K2523*N2523,2)</f>
        <v/>
      </c>
      <c r="Q2523" s="74">
        <f>ROUND(L2523*N2523,2)</f>
        <v/>
      </c>
      <c r="R2523" s="75" t="n"/>
      <c r="S2523" s="76" t="n"/>
      <c r="T2523" s="77">
        <f>K2523-L2523</f>
        <v/>
      </c>
      <c r="U2523" s="77">
        <f>P2523-Q2523</f>
        <v/>
      </c>
      <c r="V2523" s="77">
        <f>ABS(U2523)</f>
        <v/>
      </c>
      <c r="W2523" s="78">
        <f>T2523/L2523</f>
        <v/>
      </c>
      <c r="X2523" s="79">
        <f>ABS(W2523)</f>
        <v/>
      </c>
      <c r="AG2523" s="6" t="inlineStr">
        <is>
          <t>基本墙面积</t>
        </is>
      </c>
    </row>
    <row r="2524" ht="11.4" customHeight="1">
      <c r="A2524" s="89" t="inlineStr">
        <is>
          <t>6058</t>
        </is>
      </c>
      <c r="B2524" s="89" t="inlineStr">
        <is>
          <t>1056</t>
        </is>
      </c>
      <c r="C2524" s="89" t="inlineStr">
        <is>
          <t>1611</t>
        </is>
      </c>
      <c r="D2524" s="90" t="inlineStr">
        <is>
          <t>61</t>
        </is>
      </c>
      <c r="E2524" s="90" t="inlineStr">
        <is>
          <t>McCafe-LHI</t>
        </is>
      </c>
      <c r="F2524" s="90" t="inlineStr">
        <is>
          <t>麦咖啡装修</t>
        </is>
      </c>
      <c r="G2524" s="90" t="inlineStr">
        <is>
          <t>麦咖啡装修</t>
        </is>
      </c>
      <c r="H2524" s="90" t="inlineStr">
        <is>
          <t>麦咖啡-天花</t>
        </is>
      </c>
      <c r="I2524" s="91" t="inlineStr">
        <is>
          <t>1000021490</t>
        </is>
      </c>
      <c r="J2524" s="92" t="inlineStr">
        <is>
          <t>孔板天花（含收边，含所有龙骨等辅件）</t>
        </is>
      </c>
      <c r="K2524" s="70" t="n">
        <v>0.42</v>
      </c>
      <c r="L2524" s="70" t="n">
        <v>0.42</v>
      </c>
      <c r="M2524" s="71" t="inlineStr">
        <is>
          <t>m2</t>
        </is>
      </c>
      <c r="N2524" s="72" t="n">
        <v>508.7</v>
      </c>
      <c r="O2524" s="72">
        <f>ROUND(N2524*(1+$F$10),2)</f>
        <v/>
      </c>
      <c r="P2524" s="73">
        <f>ROUND(K2524*N2524,2)</f>
        <v/>
      </c>
      <c r="Q2524" s="74">
        <f>ROUND(L2524*N2524,2)</f>
        <v/>
      </c>
      <c r="R2524" s="75" t="n"/>
      <c r="S2524" s="76" t="n"/>
      <c r="T2524" s="77">
        <f>K2524-L2524</f>
        <v/>
      </c>
      <c r="U2524" s="77">
        <f>P2524-Q2524</f>
        <v/>
      </c>
      <c r="V2524" s="77">
        <f>ABS(U2524)</f>
        <v/>
      </c>
      <c r="W2524" s="78">
        <f>T2524/L2524</f>
        <v/>
      </c>
      <c r="X2524" s="79">
        <f>ABS(W2524)</f>
        <v/>
      </c>
    </row>
    <row r="2525" ht="11.4" customHeight="1">
      <c r="A2525" s="89" t="inlineStr">
        <is>
          <t>57</t>
        </is>
      </c>
      <c r="B2525" s="89" t="inlineStr">
        <is>
          <t>1053</t>
        </is>
      </c>
      <c r="C2525" s="89" t="inlineStr">
        <is>
          <t>1611</t>
        </is>
      </c>
      <c r="D2525" s="90" t="inlineStr">
        <is>
          <t>01</t>
        </is>
      </c>
      <c r="E2525" s="90" t="inlineStr">
        <is>
          <t>6 物业施工费</t>
        </is>
      </c>
      <c r="F2525" s="90" t="inlineStr">
        <is>
          <t>6.1 总承包工程</t>
        </is>
      </c>
      <c r="G2525" s="90" t="inlineStr">
        <is>
          <t>6.1.1 内部装修工程</t>
        </is>
      </c>
      <c r="H2525" s="90" t="inlineStr">
        <is>
          <t>厨房墙面（不含员休室）</t>
        </is>
      </c>
      <c r="I2525" s="91" t="inlineStr">
        <is>
          <t>1000021686</t>
        </is>
      </c>
      <c r="J2525" s="92" t="inlineStr">
        <is>
          <t>墙面小黄砖50*50mm（冠军）</t>
        </is>
      </c>
      <c r="K2525" s="70" t="n">
        <v>0.5600000000000001</v>
      </c>
      <c r="L2525" s="70" t="n">
        <v>0.57</v>
      </c>
      <c r="M2525" s="71" t="inlineStr">
        <is>
          <t>m2</t>
        </is>
      </c>
      <c r="N2525" s="72" t="n">
        <v>236.6</v>
      </c>
      <c r="O2525" s="72">
        <f>ROUND(N2525*(1+$F$10),2)</f>
        <v/>
      </c>
      <c r="P2525" s="73">
        <f>ROUND(K2525*N2525,2)</f>
        <v/>
      </c>
      <c r="Q2525" s="74">
        <f>ROUND(L2525*N2525,2)</f>
        <v/>
      </c>
      <c r="R2525" s="75" t="n"/>
      <c r="S2525" s="76" t="n"/>
      <c r="T2525" s="77">
        <f>K2525-L2525</f>
        <v/>
      </c>
      <c r="U2525" s="77">
        <f>P2525-Q2525</f>
        <v/>
      </c>
      <c r="V2525" s="77">
        <f>ABS(U2525)</f>
        <v/>
      </c>
      <c r="W2525" s="78">
        <f>T2525/L2525</f>
        <v/>
      </c>
      <c r="X2525" s="79">
        <f>ABS(W2525)</f>
        <v/>
      </c>
      <c r="AG2525" s="6" t="inlineStr">
        <is>
          <t>基本墙面积</t>
        </is>
      </c>
    </row>
    <row r="2526" ht="11.4" customHeight="1">
      <c r="A2526" s="89" t="inlineStr">
        <is>
          <t>72</t>
        </is>
      </c>
      <c r="B2526" s="89" t="inlineStr">
        <is>
          <t>1070</t>
        </is>
      </c>
      <c r="C2526" s="89" t="inlineStr">
        <is>
          <t>1613</t>
        </is>
      </c>
      <c r="D2526" s="90" t="inlineStr">
        <is>
          <t>01</t>
        </is>
      </c>
      <c r="E2526" s="90" t="inlineStr">
        <is>
          <t>6 物业施工费</t>
        </is>
      </c>
      <c r="F2526" s="90" t="inlineStr">
        <is>
          <t>6.1 总承包工程</t>
        </is>
      </c>
      <c r="G2526" s="90" t="inlineStr">
        <is>
          <t>6.1.3 给排水工程（含独立甜品站以外的所有给排水）</t>
        </is>
      </c>
      <c r="H2526" s="90" t="inlineStr">
        <is>
          <t>给水(下列各项包含吊杆及全部配件)</t>
        </is>
      </c>
      <c r="I2526" s="91" t="n"/>
      <c r="J2526" s="92" t="inlineStr">
        <is>
          <t>Φ40mm铜阀门</t>
        </is>
      </c>
      <c r="K2526" s="70" t="n">
        <v>1</v>
      </c>
      <c r="L2526" s="70" t="n">
        <v>1</v>
      </c>
      <c r="M2526" s="71" t="inlineStr">
        <is>
          <t>只</t>
        </is>
      </c>
      <c r="N2526" s="72" t="n">
        <v>183</v>
      </c>
      <c r="O2526" s="72">
        <f>ROUND(N2526*(1+$F$10),2)</f>
        <v/>
      </c>
      <c r="P2526" s="73">
        <f>ROUND(K2526*N2526,2)</f>
        <v/>
      </c>
      <c r="Q2526" s="74">
        <f>ROUND(L2526*N2526,2)</f>
        <v/>
      </c>
      <c r="R2526" s="75" t="n"/>
      <c r="S2526" s="76" t="n"/>
      <c r="T2526" s="77">
        <f>K2526-L2526</f>
        <v/>
      </c>
      <c r="U2526" s="77">
        <f>P2526-Q2526</f>
        <v/>
      </c>
      <c r="V2526" s="77">
        <f>ABS(U2526)</f>
        <v/>
      </c>
      <c r="W2526" s="78">
        <f>T2526/L2526</f>
        <v/>
      </c>
      <c r="X2526" s="79">
        <f>ABS(W2526)</f>
        <v/>
      </c>
      <c r="AG2526" s="80" t="inlineStr">
        <is>
          <t>个数</t>
        </is>
      </c>
    </row>
    <row r="2527" ht="11.4" customHeight="1">
      <c r="A2527" s="89" t="inlineStr">
        <is>
          <t>59</t>
        </is>
      </c>
      <c r="B2527" s="89" t="inlineStr">
        <is>
          <t>1057</t>
        </is>
      </c>
      <c r="C2527" s="89" t="inlineStr">
        <is>
          <t>1611</t>
        </is>
      </c>
      <c r="D2527" s="90" t="inlineStr">
        <is>
          <t>01</t>
        </is>
      </c>
      <c r="E2527" s="90" t="inlineStr">
        <is>
          <t>6 物业施工费</t>
        </is>
      </c>
      <c r="F2527" s="90" t="inlineStr">
        <is>
          <t>6.1 总承包工程</t>
        </is>
      </c>
      <c r="G2527" s="90" t="inlineStr">
        <is>
          <t>6.1.1 内部装修工程</t>
        </is>
      </c>
      <c r="H2527" s="90" t="inlineStr">
        <is>
          <t>外立面装修</t>
        </is>
      </c>
      <c r="I2527" s="91" t="n"/>
      <c r="J2527" s="92" t="inlineStr">
        <is>
          <t>装饰百叶-喷炭绿色漆</t>
        </is>
      </c>
      <c r="K2527" s="70" t="n">
        <v>3.57</v>
      </c>
      <c r="L2527" s="70" t="n">
        <v>3.58</v>
      </c>
      <c r="M2527" s="71" t="inlineStr">
        <is>
          <t>㎡</t>
        </is>
      </c>
      <c r="N2527" s="72" t="n">
        <v>45.72</v>
      </c>
      <c r="O2527" s="72">
        <f>ROUND(N2527*(1+$F$10),2)</f>
        <v/>
      </c>
      <c r="P2527" s="73">
        <f>ROUND(K2527*N2527,2)</f>
        <v/>
      </c>
      <c r="Q2527" s="74">
        <f>ROUND(L2527*N2527,2)</f>
        <v/>
      </c>
      <c r="R2527" s="75" t="n"/>
      <c r="S2527" s="76" t="n"/>
      <c r="T2527" s="77">
        <f>K2527-L2527</f>
        <v/>
      </c>
      <c r="U2527" s="77">
        <f>P2527-Q2527</f>
        <v/>
      </c>
      <c r="V2527" s="77">
        <f>ABS(U2527)</f>
        <v/>
      </c>
      <c r="W2527" s="78">
        <f>T2527/L2527</f>
        <v/>
      </c>
      <c r="X2527" s="79">
        <f>ABS(W2527)</f>
        <v/>
      </c>
      <c r="AG2527" s="6" t="inlineStr">
        <is>
          <t>基本墙面积</t>
        </is>
      </c>
    </row>
    <row r="2528" ht="11.4" customHeight="1">
      <c r="A2528" s="89" t="inlineStr">
        <is>
          <t>144</t>
        </is>
      </c>
      <c r="B2528" s="89" t="inlineStr">
        <is>
          <t>1150</t>
        </is>
      </c>
      <c r="C2528" s="89" t="inlineStr">
        <is>
          <t>8491</t>
        </is>
      </c>
      <c r="D2528" s="90" t="inlineStr">
        <is>
          <t>01</t>
        </is>
      </c>
      <c r="E2528" s="90" t="inlineStr">
        <is>
          <t>8 设备</t>
        </is>
      </c>
      <c r="F2528" s="90" t="inlineStr">
        <is>
          <t>8.5a 承包商供应施工材料和设备</t>
        </is>
      </c>
      <c r="G2528" s="90" t="inlineStr">
        <is>
          <t>8.5.1 空调设备和控制系统</t>
        </is>
      </c>
      <c r="H2528" s="90" t="inlineStr">
        <is>
          <t>8.5.1 空调设备和控制系统</t>
        </is>
      </c>
      <c r="I2528" s="91" t="inlineStr"/>
      <c r="J2528" s="92" t="inlineStr">
        <is>
          <t>风幕机补差</t>
        </is>
      </c>
      <c r="K2528" s="70" t="n">
        <v>3</v>
      </c>
      <c r="L2528" s="70" t="n">
        <v>3</v>
      </c>
      <c r="M2528" s="71" t="inlineStr">
        <is>
          <t>只</t>
        </is>
      </c>
      <c r="N2528" s="72" t="n">
        <v>-186.77</v>
      </c>
      <c r="O2528" s="72">
        <f>ROUND(N2528*(1+$F$10),2)</f>
        <v/>
      </c>
      <c r="P2528" s="73">
        <f>ROUND(K2528*N2528,2)</f>
        <v/>
      </c>
      <c r="Q2528" s="74">
        <f>ROUND(L2528*N2528,2)</f>
        <v/>
      </c>
      <c r="R2528" s="75" t="n"/>
      <c r="S2528" s="76" t="n"/>
      <c r="T2528" s="77">
        <f>K2528-L2528</f>
        <v/>
      </c>
      <c r="U2528" s="77">
        <f>P2528-Q2528</f>
        <v/>
      </c>
      <c r="V2528" s="77">
        <f>ABS(U2528)</f>
        <v/>
      </c>
      <c r="W2528" s="78">
        <f>T2528/L2528</f>
        <v/>
      </c>
      <c r="X2528" s="79">
        <f>ABS(W2528)</f>
        <v/>
      </c>
      <c r="AG2528" s="80" t="inlineStr">
        <is>
          <t>是=风幕机</t>
        </is>
      </c>
    </row>
    <row r="2529" ht="11.4" customHeight="1">
      <c r="A2529" s="89" t="inlineStr">
        <is>
          <t>72</t>
        </is>
      </c>
      <c r="B2529" s="89" t="inlineStr">
        <is>
          <t>1070</t>
        </is>
      </c>
      <c r="C2529" s="89" t="inlineStr">
        <is>
          <t>1613</t>
        </is>
      </c>
      <c r="D2529" s="90" t="inlineStr">
        <is>
          <t>01</t>
        </is>
      </c>
      <c r="E2529" s="90" t="inlineStr">
        <is>
          <t>6 物业施工费</t>
        </is>
      </c>
      <c r="F2529" s="90" t="inlineStr">
        <is>
          <t>6.1 总承包工程</t>
        </is>
      </c>
      <c r="G2529" s="90" t="inlineStr">
        <is>
          <t>6.1.3 给排水工程（含独立甜品站以外的所有给排水）</t>
        </is>
      </c>
      <c r="H2529" s="90" t="inlineStr">
        <is>
          <t>给水(下列各项包含吊杆及全部配件)</t>
        </is>
      </c>
      <c r="I2529" s="91" t="n"/>
      <c r="J2529" s="92" t="inlineStr">
        <is>
          <t>耐高温PPR排水管</t>
        </is>
      </c>
      <c r="K2529" s="83" t="n">
        <v>4.1</v>
      </c>
      <c r="L2529" s="70" t="n">
        <v>8.83</v>
      </c>
      <c r="M2529" s="71" t="inlineStr">
        <is>
          <t>米</t>
        </is>
      </c>
      <c r="N2529" s="72" t="n">
        <v>52.58</v>
      </c>
      <c r="O2529" s="72">
        <f>ROUND(N2529*(1+$F$10),2)</f>
        <v/>
      </c>
      <c r="P2529" s="73">
        <f>ROUND(K2529*N2529,2)</f>
        <v/>
      </c>
      <c r="Q2529" s="74">
        <f>ROUND(L2529*N2529,2)</f>
        <v/>
      </c>
      <c r="R2529" s="75" t="n"/>
      <c r="S2529" s="76" t="n"/>
      <c r="T2529" s="77">
        <f>K2529-L2529</f>
        <v/>
      </c>
      <c r="U2529" s="77">
        <f>P2529-Q2529</f>
        <v/>
      </c>
      <c r="V2529" s="77">
        <f>ABS(U2529)</f>
        <v/>
      </c>
      <c r="W2529" s="78">
        <f>T2529/L2529</f>
        <v/>
      </c>
      <c r="X2529" s="79">
        <f>ABS(W2529)</f>
        <v/>
      </c>
      <c r="AG2529" s="6" t="inlineStr">
        <is>
          <t>总长度（插件计算）水管</t>
        </is>
      </c>
    </row>
    <row r="2530" ht="11.4" customHeight="1">
      <c r="A2530" s="89" t="inlineStr">
        <is>
          <t>55</t>
        </is>
      </c>
      <c r="B2530" s="89" t="inlineStr">
        <is>
          <t>1053</t>
        </is>
      </c>
      <c r="C2530" s="89" t="inlineStr">
        <is>
          <t>1611</t>
        </is>
      </c>
      <c r="D2530" s="90" t="inlineStr">
        <is>
          <t>01</t>
        </is>
      </c>
      <c r="E2530" s="90" t="inlineStr">
        <is>
          <t>6 物业施工费</t>
        </is>
      </c>
      <c r="F2530" s="90" t="inlineStr">
        <is>
          <t>6.1 总承包工程</t>
        </is>
      </c>
      <c r="G2530" s="90" t="inlineStr">
        <is>
          <t>6.1.1 内部装修工程</t>
        </is>
      </c>
      <c r="H2530" s="90" t="inlineStr">
        <is>
          <t>厨房地面(含不超过50mm厚的找平层)</t>
        </is>
      </c>
      <c r="I2530" s="91" t="inlineStr">
        <is>
          <t>1000041818</t>
        </is>
      </c>
      <c r="J2530" s="92" t="inlineStr">
        <is>
          <t>黑色踢脚（冠军，Geometry）</t>
        </is>
      </c>
      <c r="K2530" s="83" t="n">
        <v>8.32</v>
      </c>
      <c r="L2530" s="70">
        <f>1.74+8.3</f>
        <v/>
      </c>
      <c r="M2530" s="71" t="inlineStr">
        <is>
          <t>米</t>
        </is>
      </c>
      <c r="N2530" s="72" t="n">
        <v>41.36</v>
      </c>
      <c r="O2530" s="72">
        <f>ROUND(N2530*(1+$F$10),2)</f>
        <v/>
      </c>
      <c r="P2530" s="73" t="n"/>
      <c r="Q2530" s="73" t="n"/>
      <c r="R2530" s="75" t="n"/>
      <c r="S2530" s="93" t="n"/>
      <c r="T2530" s="77">
        <f>K2530-L2530</f>
        <v/>
      </c>
      <c r="U2530" s="77">
        <f>P2530-Q2530</f>
        <v/>
      </c>
      <c r="V2530" s="77">
        <f>ABS(U2530)</f>
        <v/>
      </c>
      <c r="W2530" s="78">
        <f>T2530/L2530</f>
        <v/>
      </c>
      <c r="X2530" s="79">
        <f>ABS(W2530)</f>
        <v/>
      </c>
      <c r="AG2530" s="6" t="inlineStr">
        <is>
          <t>踢脚线长度</t>
        </is>
      </c>
    </row>
    <row r="2531" ht="11.4" customHeight="1">
      <c r="A2531" s="89" t="inlineStr">
        <is>
          <t>57</t>
        </is>
      </c>
      <c r="B2531" s="89" t="inlineStr">
        <is>
          <t>1055</t>
        </is>
      </c>
      <c r="C2531" s="89" t="inlineStr">
        <is>
          <t>1611</t>
        </is>
      </c>
      <c r="D2531" s="90" t="inlineStr">
        <is>
          <t>01</t>
        </is>
      </c>
      <c r="E2531" s="90" t="inlineStr">
        <is>
          <t>6 物业施工费</t>
        </is>
      </c>
      <c r="F2531" s="90" t="inlineStr">
        <is>
          <t>6.1 总承包工程</t>
        </is>
      </c>
      <c r="G2531" s="90" t="inlineStr">
        <is>
          <t>6.1.1 内部装修工程</t>
        </is>
      </c>
      <c r="H2531" s="90" t="inlineStr">
        <is>
          <t>大堂墙面基层和装饰层（不含卫生间及楼梯）</t>
        </is>
      </c>
      <c r="I2531" s="91" t="n"/>
      <c r="J2531" s="92" t="inlineStr">
        <is>
          <t>墙面贴发丝不锈钢</t>
        </is>
      </c>
      <c r="K2531" s="83" t="n">
        <v>0</v>
      </c>
      <c r="L2531" s="70" t="n">
        <v>0.14</v>
      </c>
      <c r="M2531" s="71" t="inlineStr">
        <is>
          <t>m2</t>
        </is>
      </c>
      <c r="N2531" s="72" t="n">
        <v>468.9</v>
      </c>
      <c r="O2531" s="72">
        <f>ROUND(N2531*(1+$F$10),2)</f>
        <v/>
      </c>
      <c r="P2531" s="73" t="n"/>
      <c r="Q2531" s="73" t="n"/>
      <c r="R2531" s="75" t="n"/>
      <c r="S2531" s="94" t="n"/>
      <c r="T2531" s="77">
        <f>K2531-L2531</f>
        <v/>
      </c>
      <c r="U2531" s="77">
        <f>P2531-Q2531</f>
        <v/>
      </c>
      <c r="V2531" s="77">
        <f>ABS(U2531)</f>
        <v/>
      </c>
      <c r="W2531" s="78">
        <f>T2531/L2531</f>
        <v/>
      </c>
      <c r="X2531" s="79">
        <f>ABS(W2531)</f>
        <v/>
      </c>
      <c r="AG2531" s="6" t="inlineStr">
        <is>
          <t>基本墙面积</t>
        </is>
      </c>
    </row>
    <row r="2532" ht="11.4" customHeight="1">
      <c r="A2532" s="89" t="n"/>
      <c r="B2532" s="89" t="n"/>
      <c r="C2532" s="89" t="n"/>
      <c r="D2532" s="90" t="n"/>
      <c r="E2532" s="90" t="n"/>
      <c r="F2532" s="90" t="n"/>
      <c r="G2532" s="90" t="n"/>
      <c r="H2532" s="90" t="n"/>
      <c r="I2532" s="91" t="n"/>
      <c r="J2532" s="92" t="n"/>
      <c r="K2532" s="70" t="n"/>
      <c r="L2532" s="70" t="n"/>
      <c r="M2532" s="71" t="n"/>
      <c r="N2532" s="72" t="n"/>
      <c r="O2532" s="72">
        <f>ROUND(N2532*(1+$F$10),2)</f>
        <v/>
      </c>
      <c r="P2532" s="73" t="n"/>
      <c r="Q2532" s="73" t="n"/>
      <c r="R2532" s="75" t="n"/>
      <c r="S2532" s="94" t="n"/>
      <c r="T2532" s="77" t="n"/>
      <c r="U2532" s="77" t="n"/>
      <c r="V2532" s="77" t="n"/>
      <c r="W2532" s="78" t="n"/>
      <c r="X2532" s="79" t="n"/>
    </row>
    <row r="2533" ht="11.4" customHeight="1">
      <c r="A2533" s="89" t="n"/>
      <c r="B2533" s="89" t="n"/>
      <c r="C2533" s="89" t="n"/>
      <c r="D2533" s="90" t="n"/>
      <c r="E2533" s="90" t="n"/>
      <c r="F2533" s="90" t="n"/>
      <c r="G2533" s="90" t="n"/>
      <c r="H2533" s="90" t="n"/>
      <c r="I2533" s="91" t="n"/>
      <c r="J2533" s="92" t="n"/>
      <c r="K2533" s="70" t="n"/>
      <c r="L2533" s="70" t="n"/>
      <c r="M2533" s="71" t="n"/>
      <c r="N2533" s="72" t="n"/>
      <c r="O2533" s="72">
        <f>ROUND(N2533*(1+$F$10),2)</f>
        <v/>
      </c>
      <c r="P2533" s="73" t="n"/>
      <c r="Q2533" s="73" t="n"/>
      <c r="R2533" s="75" t="n"/>
      <c r="S2533" s="94" t="n"/>
      <c r="T2533" s="77" t="n"/>
      <c r="U2533" s="77" t="n"/>
      <c r="V2533" s="77" t="n"/>
      <c r="W2533" s="78" t="n"/>
      <c r="X2533" s="79" t="n"/>
    </row>
    <row r="2534" ht="11.4" customHeight="1">
      <c r="A2534" s="89" t="n"/>
      <c r="B2534" s="89" t="n"/>
      <c r="C2534" s="89" t="n"/>
      <c r="D2534" s="90" t="n"/>
      <c r="E2534" s="90" t="n"/>
      <c r="F2534" s="90" t="n"/>
      <c r="G2534" s="90" t="n"/>
      <c r="H2534" s="90" t="n"/>
      <c r="I2534" s="91" t="n"/>
      <c r="J2534" s="92" t="n"/>
      <c r="K2534" s="70" t="n"/>
      <c r="L2534" s="70" t="n"/>
      <c r="M2534" s="71" t="n"/>
      <c r="N2534" s="72" t="n"/>
      <c r="O2534" s="72">
        <f>ROUND(N2534*(1+$F$10),2)</f>
        <v/>
      </c>
      <c r="P2534" s="73" t="n"/>
      <c r="Q2534" s="73" t="n"/>
      <c r="R2534" s="75" t="n"/>
      <c r="S2534" s="94" t="n"/>
      <c r="T2534" s="77" t="n"/>
      <c r="U2534" s="77" t="n"/>
      <c r="V2534" s="77" t="n"/>
      <c r="W2534" s="78" t="n"/>
      <c r="X2534" s="79" t="n"/>
    </row>
    <row r="2535" ht="11.4" customHeight="1">
      <c r="A2535" s="89" t="n"/>
      <c r="B2535" s="89" t="n"/>
      <c r="C2535" s="89" t="n"/>
      <c r="D2535" s="90" t="n"/>
      <c r="E2535" s="90" t="n"/>
      <c r="F2535" s="90" t="n"/>
      <c r="G2535" s="90" t="n"/>
      <c r="H2535" s="90" t="n"/>
      <c r="I2535" s="91" t="n"/>
      <c r="J2535" s="92" t="n"/>
      <c r="K2535" s="70" t="n"/>
      <c r="L2535" s="70" t="n"/>
      <c r="M2535" s="71" t="n"/>
      <c r="N2535" s="72" t="n"/>
      <c r="O2535" s="72">
        <f>ROUND(N2535*(1+$F$10),2)</f>
        <v/>
      </c>
      <c r="P2535" s="73" t="n"/>
      <c r="Q2535" s="73" t="n"/>
      <c r="R2535" s="75" t="n"/>
      <c r="S2535" s="94" t="n"/>
      <c r="T2535" s="77" t="n"/>
      <c r="U2535" s="77" t="n"/>
      <c r="V2535" s="77" t="n"/>
      <c r="W2535" s="78" t="n"/>
      <c r="X2535" s="79" t="n"/>
    </row>
    <row r="2536" ht="11.4" customHeight="1">
      <c r="A2536" s="89" t="n"/>
      <c r="B2536" s="89" t="n"/>
      <c r="C2536" s="89" t="n"/>
      <c r="D2536" s="90" t="n"/>
      <c r="E2536" s="90" t="n"/>
      <c r="F2536" s="90" t="n"/>
      <c r="G2536" s="90" t="n"/>
      <c r="H2536" s="90" t="n"/>
      <c r="I2536" s="91" t="n"/>
      <c r="J2536" s="92" t="n"/>
      <c r="K2536" s="70" t="n"/>
      <c r="L2536" s="70" t="n"/>
      <c r="M2536" s="71" t="n"/>
      <c r="N2536" s="72" t="n"/>
      <c r="O2536" s="72">
        <f>ROUND(N2536*(1+$F$10),2)</f>
        <v/>
      </c>
      <c r="P2536" s="73" t="n"/>
      <c r="Q2536" s="73" t="n"/>
      <c r="R2536" s="75" t="n"/>
      <c r="S2536" s="94" t="n"/>
      <c r="T2536" s="77" t="n"/>
      <c r="U2536" s="77" t="n"/>
      <c r="V2536" s="77" t="n"/>
      <c r="W2536" s="78" t="n"/>
      <c r="X2536" s="79" t="n"/>
    </row>
    <row r="2537" ht="11.4" customHeight="1">
      <c r="A2537" s="89" t="n"/>
      <c r="B2537" s="89" t="n"/>
      <c r="C2537" s="89" t="n"/>
      <c r="D2537" s="90" t="n"/>
      <c r="E2537" s="90" t="n"/>
      <c r="F2537" s="90" t="n"/>
      <c r="G2537" s="90" t="n"/>
      <c r="H2537" s="90" t="n"/>
      <c r="I2537" s="91" t="n"/>
      <c r="J2537" s="92" t="n"/>
      <c r="K2537" s="70" t="n"/>
      <c r="L2537" s="70" t="n"/>
      <c r="M2537" s="71" t="n"/>
      <c r="N2537" s="72" t="n"/>
      <c r="O2537" s="72">
        <f>ROUND(N2537*(1+$F$10),2)</f>
        <v/>
      </c>
      <c r="P2537" s="73" t="n"/>
      <c r="Q2537" s="73" t="n"/>
      <c r="R2537" s="75" t="n"/>
      <c r="S2537" s="94" t="n"/>
      <c r="T2537" s="77" t="n"/>
      <c r="U2537" s="77" t="n"/>
      <c r="V2537" s="77" t="n"/>
      <c r="W2537" s="78" t="n"/>
      <c r="X2537" s="79" t="n"/>
    </row>
    <row r="2538" ht="11.4" customHeight="1">
      <c r="A2538" s="89" t="n"/>
      <c r="B2538" s="89" t="n"/>
      <c r="C2538" s="89" t="n"/>
      <c r="D2538" s="90" t="n"/>
      <c r="E2538" s="90" t="n"/>
      <c r="F2538" s="90" t="n"/>
      <c r="G2538" s="90" t="n"/>
      <c r="H2538" s="90" t="n"/>
      <c r="I2538" s="91" t="n"/>
      <c r="J2538" s="92" t="n"/>
      <c r="K2538" s="70" t="n"/>
      <c r="L2538" s="70" t="n"/>
      <c r="M2538" s="71" t="n"/>
      <c r="N2538" s="72" t="n"/>
      <c r="O2538" s="72">
        <f>ROUND(N2538*(1+$F$10),2)</f>
        <v/>
      </c>
      <c r="P2538" s="73" t="n"/>
      <c r="Q2538" s="73" t="n"/>
      <c r="R2538" s="75" t="n"/>
      <c r="S2538" s="94" t="n"/>
      <c r="T2538" s="77" t="n"/>
      <c r="U2538" s="77" t="n"/>
      <c r="V2538" s="77" t="n"/>
      <c r="W2538" s="78" t="n"/>
      <c r="X2538" s="79" t="n"/>
    </row>
    <row r="2539" ht="11.4" customHeight="1">
      <c r="A2539" s="89" t="n"/>
      <c r="B2539" s="89" t="n"/>
      <c r="C2539" s="89" t="n"/>
      <c r="D2539" s="90" t="n"/>
      <c r="E2539" s="90" t="n"/>
      <c r="F2539" s="90" t="n"/>
      <c r="G2539" s="90" t="n"/>
      <c r="H2539" s="90" t="n"/>
      <c r="I2539" s="91" t="n"/>
      <c r="J2539" s="92" t="n"/>
      <c r="K2539" s="70" t="n"/>
      <c r="L2539" s="70" t="n"/>
      <c r="M2539" s="71" t="n"/>
      <c r="N2539" s="72" t="n"/>
      <c r="O2539" s="72">
        <f>ROUND(N2539*(1+$F$10),2)</f>
        <v/>
      </c>
      <c r="P2539" s="73" t="n"/>
      <c r="Q2539" s="73" t="n"/>
      <c r="R2539" s="75" t="n"/>
      <c r="S2539" s="94" t="n"/>
      <c r="T2539" s="77" t="n"/>
      <c r="U2539" s="77" t="n"/>
      <c r="V2539" s="77" t="n"/>
      <c r="W2539" s="78" t="n"/>
      <c r="X2539" s="79" t="n"/>
    </row>
    <row r="2540" ht="22.2" customHeight="1">
      <c r="O2540" s="95" t="inlineStr">
        <is>
          <t>总计</t>
        </is>
      </c>
      <c r="P2540" s="6">
        <f>SUM(P13:P2529)</f>
        <v/>
      </c>
      <c r="Q2540" s="6">
        <f>SUM(Q13:Q2529)</f>
        <v/>
      </c>
      <c r="R2540" s="96" t="n"/>
      <c r="T2540" s="6" t="n"/>
      <c r="U2540" s="6" t="n"/>
      <c r="V2540" s="6">
        <f>SUM(V13:V2529)</f>
        <v/>
      </c>
      <c r="W2540" s="6" t="n"/>
      <c r="X2540" s="6" t="n"/>
    </row>
    <row r="2541" ht="22.2" customHeight="1">
      <c r="O2541" s="97" t="inlineStr">
        <is>
          <t>注意：请与FA Tool中的总价核对</t>
        </is>
      </c>
      <c r="T2541" s="77" t="n"/>
      <c r="U2541" s="77" t="n"/>
      <c r="V2541" s="77" t="n"/>
      <c r="W2541" s="78" t="n"/>
      <c r="X2541" s="79" t="n"/>
    </row>
    <row r="2542" ht="11.4" customHeight="1"/>
    <row r="2543" ht="11.4" customHeight="1"/>
  </sheetData>
  <mergeCells count="11">
    <mergeCell ref="O8:S8"/>
    <mergeCell ref="O2541:R2541"/>
    <mergeCell ref="O2:S2"/>
    <mergeCell ref="O10:S10"/>
    <mergeCell ref="O7:R7"/>
    <mergeCell ref="O5:S5"/>
    <mergeCell ref="P3:S3"/>
    <mergeCell ref="A1:S1"/>
    <mergeCell ref="O6:S6"/>
    <mergeCell ref="O9:S9"/>
    <mergeCell ref="O4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2025-12-10T07:40:24Z</dcterms:created>
  <dcterms:modified xsi:type="dcterms:W3CDTF">2025-12-10T07:40:31Z</dcterms:modified>
</cp:coreProperties>
</file>